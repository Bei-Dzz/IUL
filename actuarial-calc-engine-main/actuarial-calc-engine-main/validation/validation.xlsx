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ing projects\Actuarial Calculation Engine\validation\"/>
    </mc:Choice>
  </mc:AlternateContent>
  <xr:revisionPtr revIDLastSave="0" documentId="13_ncr:1_{D447FD9F-D1CB-4681-97D7-09A9C0FFBB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" sheetId="2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3" i="2" l="1"/>
  <c r="O1203" i="2"/>
  <c r="P1202" i="2"/>
  <c r="O1202" i="2"/>
  <c r="P1201" i="2"/>
  <c r="O1201" i="2"/>
  <c r="P1200" i="2"/>
  <c r="O1200" i="2"/>
  <c r="P1199" i="2"/>
  <c r="O1199" i="2"/>
  <c r="P1198" i="2"/>
  <c r="O1198" i="2"/>
  <c r="P1197" i="2"/>
  <c r="O1197" i="2"/>
  <c r="P1196" i="2"/>
  <c r="O1196" i="2"/>
  <c r="P1195" i="2"/>
  <c r="O1195" i="2"/>
  <c r="P1194" i="2"/>
  <c r="O1194" i="2"/>
  <c r="P1193" i="2"/>
  <c r="O1193" i="2"/>
  <c r="P1192" i="2"/>
  <c r="O1192" i="2"/>
  <c r="P1191" i="2"/>
  <c r="O1191" i="2"/>
  <c r="P1190" i="2"/>
  <c r="O1190" i="2"/>
  <c r="P1189" i="2"/>
  <c r="O1189" i="2"/>
  <c r="P1188" i="2"/>
  <c r="O1188" i="2"/>
  <c r="P1187" i="2"/>
  <c r="O1187" i="2"/>
  <c r="P1186" i="2"/>
  <c r="O1186" i="2"/>
  <c r="P1185" i="2"/>
  <c r="O1185" i="2"/>
  <c r="P1184" i="2"/>
  <c r="O1184" i="2"/>
  <c r="P1183" i="2"/>
  <c r="O1183" i="2"/>
  <c r="P1182" i="2"/>
  <c r="O1182" i="2"/>
  <c r="P1181" i="2"/>
  <c r="O1181" i="2"/>
  <c r="P1180" i="2"/>
  <c r="O1180" i="2"/>
  <c r="P1179" i="2"/>
  <c r="O1179" i="2"/>
  <c r="P1178" i="2"/>
  <c r="O1178" i="2"/>
  <c r="P1177" i="2"/>
  <c r="O1177" i="2"/>
  <c r="P1176" i="2"/>
  <c r="O1176" i="2"/>
  <c r="P1175" i="2"/>
  <c r="O1175" i="2"/>
  <c r="P1174" i="2"/>
  <c r="O1174" i="2"/>
  <c r="P1173" i="2"/>
  <c r="O1173" i="2"/>
  <c r="P1172" i="2"/>
  <c r="O1172" i="2"/>
  <c r="P1171" i="2"/>
  <c r="O1171" i="2"/>
  <c r="P1170" i="2"/>
  <c r="O1170" i="2"/>
  <c r="P1169" i="2"/>
  <c r="O1169" i="2"/>
  <c r="P1168" i="2"/>
  <c r="O1168" i="2"/>
  <c r="P1167" i="2"/>
  <c r="O1167" i="2"/>
  <c r="P1166" i="2"/>
  <c r="O1166" i="2"/>
  <c r="P1165" i="2"/>
  <c r="O1165" i="2"/>
  <c r="P1164" i="2"/>
  <c r="O1164" i="2"/>
  <c r="P1163" i="2"/>
  <c r="O1163" i="2"/>
  <c r="P1162" i="2"/>
  <c r="O1162" i="2"/>
  <c r="P1161" i="2"/>
  <c r="O1161" i="2"/>
  <c r="P1160" i="2"/>
  <c r="O1160" i="2"/>
  <c r="P1159" i="2"/>
  <c r="O1159" i="2"/>
  <c r="P1158" i="2"/>
  <c r="O1158" i="2"/>
  <c r="P1157" i="2"/>
  <c r="O1157" i="2"/>
  <c r="P1156" i="2"/>
  <c r="O1156" i="2"/>
  <c r="P1155" i="2"/>
  <c r="O1155" i="2"/>
  <c r="P1154" i="2"/>
  <c r="O1154" i="2"/>
  <c r="P1153" i="2"/>
  <c r="O1153" i="2"/>
  <c r="P1152" i="2"/>
  <c r="O1152" i="2"/>
  <c r="P1151" i="2"/>
  <c r="O1151" i="2"/>
  <c r="P1150" i="2"/>
  <c r="O1150" i="2"/>
  <c r="P1149" i="2"/>
  <c r="O1149" i="2"/>
  <c r="P1148" i="2"/>
  <c r="O1148" i="2"/>
  <c r="P1147" i="2"/>
  <c r="O1147" i="2"/>
  <c r="P1146" i="2"/>
  <c r="O1146" i="2"/>
  <c r="P1145" i="2"/>
  <c r="O1145" i="2"/>
  <c r="P1144" i="2"/>
  <c r="O1144" i="2"/>
  <c r="P1143" i="2"/>
  <c r="O1143" i="2"/>
  <c r="P1142" i="2"/>
  <c r="O1142" i="2"/>
  <c r="P1141" i="2"/>
  <c r="O1141" i="2"/>
  <c r="P1140" i="2"/>
  <c r="O1140" i="2"/>
  <c r="P1139" i="2"/>
  <c r="O1139" i="2"/>
  <c r="P1138" i="2"/>
  <c r="O1138" i="2"/>
  <c r="P1137" i="2"/>
  <c r="O1137" i="2"/>
  <c r="P1136" i="2"/>
  <c r="O1136" i="2"/>
  <c r="P1135" i="2"/>
  <c r="O1135" i="2"/>
  <c r="P1134" i="2"/>
  <c r="O1134" i="2"/>
  <c r="P1133" i="2"/>
  <c r="O1133" i="2"/>
  <c r="P1132" i="2"/>
  <c r="O1132" i="2"/>
  <c r="P1131" i="2"/>
  <c r="O1131" i="2"/>
  <c r="P1130" i="2"/>
  <c r="O1130" i="2"/>
  <c r="P1129" i="2"/>
  <c r="O1129" i="2"/>
  <c r="P1128" i="2"/>
  <c r="O1128" i="2"/>
  <c r="P1127" i="2"/>
  <c r="O1127" i="2"/>
  <c r="P1126" i="2"/>
  <c r="O1126" i="2"/>
  <c r="P1125" i="2"/>
  <c r="O1125" i="2"/>
  <c r="P1124" i="2"/>
  <c r="O1124" i="2"/>
  <c r="P1123" i="2"/>
  <c r="O1123" i="2"/>
  <c r="P1122" i="2"/>
  <c r="O1122" i="2"/>
  <c r="P1121" i="2"/>
  <c r="O1121" i="2"/>
  <c r="P1120" i="2"/>
  <c r="O1120" i="2"/>
  <c r="P1119" i="2"/>
  <c r="O1119" i="2"/>
  <c r="P1118" i="2"/>
  <c r="O1118" i="2"/>
  <c r="P1117" i="2"/>
  <c r="O1117" i="2"/>
  <c r="P1116" i="2"/>
  <c r="O1116" i="2"/>
  <c r="P1115" i="2"/>
  <c r="O1115" i="2"/>
  <c r="P1114" i="2"/>
  <c r="O1114" i="2"/>
  <c r="P1113" i="2"/>
  <c r="O1113" i="2"/>
  <c r="P1112" i="2"/>
  <c r="O1112" i="2"/>
  <c r="P1111" i="2"/>
  <c r="O1111" i="2"/>
  <c r="P1110" i="2"/>
  <c r="O1110" i="2"/>
  <c r="P1109" i="2"/>
  <c r="O1109" i="2"/>
  <c r="P1108" i="2"/>
  <c r="O1108" i="2"/>
  <c r="P1107" i="2"/>
  <c r="O1107" i="2"/>
  <c r="P1106" i="2"/>
  <c r="O1106" i="2"/>
  <c r="P1105" i="2"/>
  <c r="O1105" i="2"/>
  <c r="P1104" i="2"/>
  <c r="O1104" i="2"/>
  <c r="P1103" i="2"/>
  <c r="O1103" i="2"/>
  <c r="P1102" i="2"/>
  <c r="O1102" i="2"/>
  <c r="P1101" i="2"/>
  <c r="O1101" i="2"/>
  <c r="P1100" i="2"/>
  <c r="O1100" i="2"/>
  <c r="P1099" i="2"/>
  <c r="O1099" i="2"/>
  <c r="P1098" i="2"/>
  <c r="O1098" i="2"/>
  <c r="P1097" i="2"/>
  <c r="O1097" i="2"/>
  <c r="P1096" i="2"/>
  <c r="O1096" i="2"/>
  <c r="P1095" i="2"/>
  <c r="O1095" i="2"/>
  <c r="P1094" i="2"/>
  <c r="O1094" i="2"/>
  <c r="P1093" i="2"/>
  <c r="O1093" i="2"/>
  <c r="P1092" i="2"/>
  <c r="O1092" i="2"/>
  <c r="P1091" i="2"/>
  <c r="O1091" i="2"/>
  <c r="P1090" i="2"/>
  <c r="O1090" i="2"/>
  <c r="P1089" i="2"/>
  <c r="O1089" i="2"/>
  <c r="P1088" i="2"/>
  <c r="O1088" i="2"/>
  <c r="P1087" i="2"/>
  <c r="O1087" i="2"/>
  <c r="P1086" i="2"/>
  <c r="O1086" i="2"/>
  <c r="P1085" i="2"/>
  <c r="O1085" i="2"/>
  <c r="P1084" i="2"/>
  <c r="O1084" i="2"/>
  <c r="P1083" i="2"/>
  <c r="O1083" i="2"/>
  <c r="P1082" i="2"/>
  <c r="O1082" i="2"/>
  <c r="P1081" i="2"/>
  <c r="O1081" i="2"/>
  <c r="P1080" i="2"/>
  <c r="O1080" i="2"/>
  <c r="P1079" i="2"/>
  <c r="O1079" i="2"/>
  <c r="P1078" i="2"/>
  <c r="O1078" i="2"/>
  <c r="P1077" i="2"/>
  <c r="O1077" i="2"/>
  <c r="P1076" i="2"/>
  <c r="O1076" i="2"/>
  <c r="P1075" i="2"/>
  <c r="O1075" i="2"/>
  <c r="P1074" i="2"/>
  <c r="O1074" i="2"/>
  <c r="P1073" i="2"/>
  <c r="O1073" i="2"/>
  <c r="P1072" i="2"/>
  <c r="O1072" i="2"/>
  <c r="P1071" i="2"/>
  <c r="O1071" i="2"/>
  <c r="P1070" i="2"/>
  <c r="O1070" i="2"/>
  <c r="P1069" i="2"/>
  <c r="O1069" i="2"/>
  <c r="P1068" i="2"/>
  <c r="O1068" i="2"/>
  <c r="P1067" i="2"/>
  <c r="O1067" i="2"/>
  <c r="P1066" i="2"/>
  <c r="O1066" i="2"/>
  <c r="P1065" i="2"/>
  <c r="O1065" i="2"/>
  <c r="P1064" i="2"/>
  <c r="O1064" i="2"/>
  <c r="P1063" i="2"/>
  <c r="O1063" i="2"/>
  <c r="P1062" i="2"/>
  <c r="O1062" i="2"/>
  <c r="P1061" i="2"/>
  <c r="O1061" i="2"/>
  <c r="P1060" i="2"/>
  <c r="O1060" i="2"/>
  <c r="P1059" i="2"/>
  <c r="O1059" i="2"/>
  <c r="P1058" i="2"/>
  <c r="O1058" i="2"/>
  <c r="P1057" i="2"/>
  <c r="O1057" i="2"/>
  <c r="P1056" i="2"/>
  <c r="O1056" i="2"/>
  <c r="P1055" i="2"/>
  <c r="O1055" i="2"/>
  <c r="P1054" i="2"/>
  <c r="O1054" i="2"/>
  <c r="P1053" i="2"/>
  <c r="O1053" i="2"/>
  <c r="P1052" i="2"/>
  <c r="O1052" i="2"/>
  <c r="P1051" i="2"/>
  <c r="O1051" i="2"/>
  <c r="P1050" i="2"/>
  <c r="O1050" i="2"/>
  <c r="P1049" i="2"/>
  <c r="O1049" i="2"/>
  <c r="P1048" i="2"/>
  <c r="O1048" i="2"/>
  <c r="P1047" i="2"/>
  <c r="O1047" i="2"/>
  <c r="P1046" i="2"/>
  <c r="O1046" i="2"/>
  <c r="P1045" i="2"/>
  <c r="O1045" i="2"/>
  <c r="P1044" i="2"/>
  <c r="O1044" i="2"/>
  <c r="P1043" i="2"/>
  <c r="O1043" i="2"/>
  <c r="P1042" i="2"/>
  <c r="O1042" i="2"/>
  <c r="P1041" i="2"/>
  <c r="O1041" i="2"/>
  <c r="P1040" i="2"/>
  <c r="O1040" i="2"/>
  <c r="P1039" i="2"/>
  <c r="O1039" i="2"/>
  <c r="P1038" i="2"/>
  <c r="O1038" i="2"/>
  <c r="P1037" i="2"/>
  <c r="O1037" i="2"/>
  <c r="P1036" i="2"/>
  <c r="O1036" i="2"/>
  <c r="P1035" i="2"/>
  <c r="O1035" i="2"/>
  <c r="P1034" i="2"/>
  <c r="O1034" i="2"/>
  <c r="P1033" i="2"/>
  <c r="O1033" i="2"/>
  <c r="P1032" i="2"/>
  <c r="O1032" i="2"/>
  <c r="P1031" i="2"/>
  <c r="O1031" i="2"/>
  <c r="P1030" i="2"/>
  <c r="O1030" i="2"/>
  <c r="P1029" i="2"/>
  <c r="O1029" i="2"/>
  <c r="P1028" i="2"/>
  <c r="O1028" i="2"/>
  <c r="P1027" i="2"/>
  <c r="O1027" i="2"/>
  <c r="P1026" i="2"/>
  <c r="O1026" i="2"/>
  <c r="P1025" i="2"/>
  <c r="O1025" i="2"/>
  <c r="P1024" i="2"/>
  <c r="O1024" i="2"/>
  <c r="P1023" i="2"/>
  <c r="O1023" i="2"/>
  <c r="P1022" i="2"/>
  <c r="O1022" i="2"/>
  <c r="P1021" i="2"/>
  <c r="O1021" i="2"/>
  <c r="P1020" i="2"/>
  <c r="O1020" i="2"/>
  <c r="P1019" i="2"/>
  <c r="O1019" i="2"/>
  <c r="P1018" i="2"/>
  <c r="O1018" i="2"/>
  <c r="P1017" i="2"/>
  <c r="O1017" i="2"/>
  <c r="P1016" i="2"/>
  <c r="O1016" i="2"/>
  <c r="P1015" i="2"/>
  <c r="O1015" i="2"/>
  <c r="P1014" i="2"/>
  <c r="O1014" i="2"/>
  <c r="P1013" i="2"/>
  <c r="O1013" i="2"/>
  <c r="P1012" i="2"/>
  <c r="O1012" i="2"/>
  <c r="P1011" i="2"/>
  <c r="O1011" i="2"/>
  <c r="P1010" i="2"/>
  <c r="O1010" i="2"/>
  <c r="P1009" i="2"/>
  <c r="O1009" i="2"/>
  <c r="P1008" i="2"/>
  <c r="O1008" i="2"/>
  <c r="P1007" i="2"/>
  <c r="O1007" i="2"/>
  <c r="P1006" i="2"/>
  <c r="O1006" i="2"/>
  <c r="P1005" i="2"/>
  <c r="O1005" i="2"/>
  <c r="P1004" i="2"/>
  <c r="R1004" i="2" s="1"/>
  <c r="O1004" i="2"/>
  <c r="Q1004" i="2" s="1"/>
  <c r="P1003" i="2"/>
  <c r="O1003" i="2"/>
  <c r="P1002" i="2"/>
  <c r="O1002" i="2"/>
  <c r="P1001" i="2"/>
  <c r="O1001" i="2"/>
  <c r="P1000" i="2"/>
  <c r="O1000" i="2"/>
  <c r="P999" i="2"/>
  <c r="O999" i="2"/>
  <c r="P998" i="2"/>
  <c r="O998" i="2"/>
  <c r="P997" i="2"/>
  <c r="O997" i="2"/>
  <c r="P996" i="2"/>
  <c r="O996" i="2"/>
  <c r="P995" i="2"/>
  <c r="O995" i="2"/>
  <c r="P994" i="2"/>
  <c r="O994" i="2"/>
  <c r="P993" i="2"/>
  <c r="O993" i="2"/>
  <c r="P992" i="2"/>
  <c r="O992" i="2"/>
  <c r="P991" i="2"/>
  <c r="O991" i="2"/>
  <c r="P990" i="2"/>
  <c r="O990" i="2"/>
  <c r="P989" i="2"/>
  <c r="O989" i="2"/>
  <c r="P988" i="2"/>
  <c r="O988" i="2"/>
  <c r="P987" i="2"/>
  <c r="O987" i="2"/>
  <c r="P986" i="2"/>
  <c r="O986" i="2"/>
  <c r="P985" i="2"/>
  <c r="O985" i="2"/>
  <c r="P984" i="2"/>
  <c r="O984" i="2"/>
  <c r="P983" i="2"/>
  <c r="O983" i="2"/>
  <c r="P982" i="2"/>
  <c r="O982" i="2"/>
  <c r="P981" i="2"/>
  <c r="O981" i="2"/>
  <c r="P980" i="2"/>
  <c r="O980" i="2"/>
  <c r="P979" i="2"/>
  <c r="O979" i="2"/>
  <c r="P978" i="2"/>
  <c r="O978" i="2"/>
  <c r="P977" i="2"/>
  <c r="O977" i="2"/>
  <c r="P976" i="2"/>
  <c r="O976" i="2"/>
  <c r="P975" i="2"/>
  <c r="O975" i="2"/>
  <c r="P974" i="2"/>
  <c r="O974" i="2"/>
  <c r="P973" i="2"/>
  <c r="O973" i="2"/>
  <c r="P972" i="2"/>
  <c r="O972" i="2"/>
  <c r="P971" i="2"/>
  <c r="O971" i="2"/>
  <c r="P970" i="2"/>
  <c r="O970" i="2"/>
  <c r="P969" i="2"/>
  <c r="O969" i="2"/>
  <c r="P968" i="2"/>
  <c r="O968" i="2"/>
  <c r="P967" i="2"/>
  <c r="O967" i="2"/>
  <c r="P966" i="2"/>
  <c r="O966" i="2"/>
  <c r="P965" i="2"/>
  <c r="O965" i="2"/>
  <c r="P964" i="2"/>
  <c r="O964" i="2"/>
  <c r="P963" i="2"/>
  <c r="O963" i="2"/>
  <c r="P962" i="2"/>
  <c r="O962" i="2"/>
  <c r="P961" i="2"/>
  <c r="O961" i="2"/>
  <c r="P960" i="2"/>
  <c r="O960" i="2"/>
  <c r="P959" i="2"/>
  <c r="O959" i="2"/>
  <c r="P958" i="2"/>
  <c r="O958" i="2"/>
  <c r="P957" i="2"/>
  <c r="O957" i="2"/>
  <c r="P956" i="2"/>
  <c r="O956" i="2"/>
  <c r="P955" i="2"/>
  <c r="O955" i="2"/>
  <c r="P954" i="2"/>
  <c r="O954" i="2"/>
  <c r="P953" i="2"/>
  <c r="O953" i="2"/>
  <c r="P952" i="2"/>
  <c r="O952" i="2"/>
  <c r="P951" i="2"/>
  <c r="O951" i="2"/>
  <c r="P950" i="2"/>
  <c r="O950" i="2"/>
  <c r="P949" i="2"/>
  <c r="O949" i="2"/>
  <c r="P948" i="2"/>
  <c r="O948" i="2"/>
  <c r="P947" i="2"/>
  <c r="O947" i="2"/>
  <c r="P946" i="2"/>
  <c r="O946" i="2"/>
  <c r="P945" i="2"/>
  <c r="O945" i="2"/>
  <c r="P944" i="2"/>
  <c r="O944" i="2"/>
  <c r="P943" i="2"/>
  <c r="O943" i="2"/>
  <c r="P942" i="2"/>
  <c r="O942" i="2"/>
  <c r="P941" i="2"/>
  <c r="O941" i="2"/>
  <c r="P940" i="2"/>
  <c r="O940" i="2"/>
  <c r="P939" i="2"/>
  <c r="O939" i="2"/>
  <c r="P938" i="2"/>
  <c r="O938" i="2"/>
  <c r="P937" i="2"/>
  <c r="O937" i="2"/>
  <c r="P936" i="2"/>
  <c r="O936" i="2"/>
  <c r="P935" i="2"/>
  <c r="O935" i="2"/>
  <c r="P934" i="2"/>
  <c r="O934" i="2"/>
  <c r="P933" i="2"/>
  <c r="O933" i="2"/>
  <c r="P932" i="2"/>
  <c r="O932" i="2"/>
  <c r="P931" i="2"/>
  <c r="O931" i="2"/>
  <c r="P930" i="2"/>
  <c r="O930" i="2"/>
  <c r="P929" i="2"/>
  <c r="O929" i="2"/>
  <c r="P928" i="2"/>
  <c r="O928" i="2"/>
  <c r="P927" i="2"/>
  <c r="O927" i="2"/>
  <c r="P926" i="2"/>
  <c r="O926" i="2"/>
  <c r="P925" i="2"/>
  <c r="O925" i="2"/>
  <c r="P924" i="2"/>
  <c r="O924" i="2"/>
  <c r="P923" i="2"/>
  <c r="O923" i="2"/>
  <c r="P922" i="2"/>
  <c r="O922" i="2"/>
  <c r="P921" i="2"/>
  <c r="O921" i="2"/>
  <c r="P920" i="2"/>
  <c r="O920" i="2"/>
  <c r="P919" i="2"/>
  <c r="O919" i="2"/>
  <c r="P918" i="2"/>
  <c r="O918" i="2"/>
  <c r="P917" i="2"/>
  <c r="O917" i="2"/>
  <c r="P916" i="2"/>
  <c r="O916" i="2"/>
  <c r="P915" i="2"/>
  <c r="O915" i="2"/>
  <c r="P914" i="2"/>
  <c r="O914" i="2"/>
  <c r="P913" i="2"/>
  <c r="O913" i="2"/>
  <c r="P912" i="2"/>
  <c r="O912" i="2"/>
  <c r="P911" i="2"/>
  <c r="O911" i="2"/>
  <c r="P910" i="2"/>
  <c r="O910" i="2"/>
  <c r="P909" i="2"/>
  <c r="O909" i="2"/>
  <c r="P908" i="2"/>
  <c r="O908" i="2"/>
  <c r="P907" i="2"/>
  <c r="O907" i="2"/>
  <c r="P906" i="2"/>
  <c r="O906" i="2"/>
  <c r="P905" i="2"/>
  <c r="O905" i="2"/>
  <c r="P904" i="2"/>
  <c r="O904" i="2"/>
  <c r="P903" i="2"/>
  <c r="O903" i="2"/>
  <c r="P902" i="2"/>
  <c r="O902" i="2"/>
  <c r="P901" i="2"/>
  <c r="O901" i="2"/>
  <c r="P900" i="2"/>
  <c r="O900" i="2"/>
  <c r="P899" i="2"/>
  <c r="O899" i="2"/>
  <c r="P898" i="2"/>
  <c r="O898" i="2"/>
  <c r="P897" i="2"/>
  <c r="O897" i="2"/>
  <c r="P896" i="2"/>
  <c r="O896" i="2"/>
  <c r="P895" i="2"/>
  <c r="O895" i="2"/>
  <c r="P894" i="2"/>
  <c r="O894" i="2"/>
  <c r="P893" i="2"/>
  <c r="O893" i="2"/>
  <c r="P892" i="2"/>
  <c r="O892" i="2"/>
  <c r="P891" i="2"/>
  <c r="O891" i="2"/>
  <c r="P890" i="2"/>
  <c r="O890" i="2"/>
  <c r="P889" i="2"/>
  <c r="O889" i="2"/>
  <c r="P888" i="2"/>
  <c r="O888" i="2"/>
  <c r="P887" i="2"/>
  <c r="O887" i="2"/>
  <c r="P886" i="2"/>
  <c r="O886" i="2"/>
  <c r="P885" i="2"/>
  <c r="O885" i="2"/>
  <c r="P884" i="2"/>
  <c r="O884" i="2"/>
  <c r="P883" i="2"/>
  <c r="O883" i="2"/>
  <c r="P882" i="2"/>
  <c r="O882" i="2"/>
  <c r="P881" i="2"/>
  <c r="O881" i="2"/>
  <c r="P880" i="2"/>
  <c r="O880" i="2"/>
  <c r="P879" i="2"/>
  <c r="O879" i="2"/>
  <c r="P878" i="2"/>
  <c r="O878" i="2"/>
  <c r="P877" i="2"/>
  <c r="O877" i="2"/>
  <c r="P876" i="2"/>
  <c r="O876" i="2"/>
  <c r="P875" i="2"/>
  <c r="O875" i="2"/>
  <c r="P874" i="2"/>
  <c r="O874" i="2"/>
  <c r="P873" i="2"/>
  <c r="O873" i="2"/>
  <c r="P872" i="2"/>
  <c r="O872" i="2"/>
  <c r="P871" i="2"/>
  <c r="O871" i="2"/>
  <c r="P870" i="2"/>
  <c r="O870" i="2"/>
  <c r="P869" i="2"/>
  <c r="O869" i="2"/>
  <c r="P868" i="2"/>
  <c r="O868" i="2"/>
  <c r="P867" i="2"/>
  <c r="O867" i="2"/>
  <c r="P866" i="2"/>
  <c r="O866" i="2"/>
  <c r="P865" i="2"/>
  <c r="O865" i="2"/>
  <c r="P864" i="2"/>
  <c r="O864" i="2"/>
  <c r="P863" i="2"/>
  <c r="O863" i="2"/>
  <c r="P862" i="2"/>
  <c r="O862" i="2"/>
  <c r="P861" i="2"/>
  <c r="O861" i="2"/>
  <c r="P860" i="2"/>
  <c r="O860" i="2"/>
  <c r="P859" i="2"/>
  <c r="O859" i="2"/>
  <c r="P858" i="2"/>
  <c r="O858" i="2"/>
  <c r="P857" i="2"/>
  <c r="O857" i="2"/>
  <c r="P856" i="2"/>
  <c r="O856" i="2"/>
  <c r="P855" i="2"/>
  <c r="O855" i="2"/>
  <c r="P854" i="2"/>
  <c r="O854" i="2"/>
  <c r="P853" i="2"/>
  <c r="O853" i="2"/>
  <c r="P852" i="2"/>
  <c r="O852" i="2"/>
  <c r="P851" i="2"/>
  <c r="O851" i="2"/>
  <c r="P850" i="2"/>
  <c r="O850" i="2"/>
  <c r="P849" i="2"/>
  <c r="O849" i="2"/>
  <c r="P848" i="2"/>
  <c r="O848" i="2"/>
  <c r="P847" i="2"/>
  <c r="O847" i="2"/>
  <c r="P846" i="2"/>
  <c r="O846" i="2"/>
  <c r="P845" i="2"/>
  <c r="O845" i="2"/>
  <c r="P844" i="2"/>
  <c r="O844" i="2"/>
  <c r="P843" i="2"/>
  <c r="O843" i="2"/>
  <c r="P842" i="2"/>
  <c r="O842" i="2"/>
  <c r="P841" i="2"/>
  <c r="O841" i="2"/>
  <c r="P840" i="2"/>
  <c r="O840" i="2"/>
  <c r="P839" i="2"/>
  <c r="O839" i="2"/>
  <c r="P838" i="2"/>
  <c r="O838" i="2"/>
  <c r="P837" i="2"/>
  <c r="O837" i="2"/>
  <c r="P836" i="2"/>
  <c r="O836" i="2"/>
  <c r="P835" i="2"/>
  <c r="O835" i="2"/>
  <c r="P834" i="2"/>
  <c r="O834" i="2"/>
  <c r="P833" i="2"/>
  <c r="O833" i="2"/>
  <c r="P832" i="2"/>
  <c r="O832" i="2"/>
  <c r="P831" i="2"/>
  <c r="O831" i="2"/>
  <c r="P830" i="2"/>
  <c r="O830" i="2"/>
  <c r="P829" i="2"/>
  <c r="O829" i="2"/>
  <c r="P828" i="2"/>
  <c r="O828" i="2"/>
  <c r="P827" i="2"/>
  <c r="O827" i="2"/>
  <c r="P826" i="2"/>
  <c r="O826" i="2"/>
  <c r="P825" i="2"/>
  <c r="O825" i="2"/>
  <c r="P824" i="2"/>
  <c r="O824" i="2"/>
  <c r="P823" i="2"/>
  <c r="O823" i="2"/>
  <c r="P822" i="2"/>
  <c r="O822" i="2"/>
  <c r="P821" i="2"/>
  <c r="O821" i="2"/>
  <c r="P820" i="2"/>
  <c r="O820" i="2"/>
  <c r="P819" i="2"/>
  <c r="O819" i="2"/>
  <c r="P818" i="2"/>
  <c r="O818" i="2"/>
  <c r="P817" i="2"/>
  <c r="O817" i="2"/>
  <c r="P816" i="2"/>
  <c r="O816" i="2"/>
  <c r="P815" i="2"/>
  <c r="O815" i="2"/>
  <c r="P814" i="2"/>
  <c r="O814" i="2"/>
  <c r="P813" i="2"/>
  <c r="O813" i="2"/>
  <c r="P812" i="2"/>
  <c r="O812" i="2"/>
  <c r="P811" i="2"/>
  <c r="O811" i="2"/>
  <c r="P810" i="2"/>
  <c r="O810" i="2"/>
  <c r="P809" i="2"/>
  <c r="O809" i="2"/>
  <c r="P808" i="2"/>
  <c r="O808" i="2"/>
  <c r="P807" i="2"/>
  <c r="O807" i="2"/>
  <c r="P806" i="2"/>
  <c r="O806" i="2"/>
  <c r="P805" i="2"/>
  <c r="O805" i="2"/>
  <c r="P804" i="2"/>
  <c r="R804" i="2" s="1"/>
  <c r="O804" i="2"/>
  <c r="Q804" i="2" s="1"/>
  <c r="P803" i="2"/>
  <c r="R803" i="2" s="1"/>
  <c r="O803" i="2"/>
  <c r="P802" i="2"/>
  <c r="O802" i="2"/>
  <c r="P801" i="2"/>
  <c r="O801" i="2"/>
  <c r="P800" i="2"/>
  <c r="O800" i="2"/>
  <c r="P799" i="2"/>
  <c r="O799" i="2"/>
  <c r="P798" i="2"/>
  <c r="O798" i="2"/>
  <c r="P797" i="2"/>
  <c r="O797" i="2"/>
  <c r="P796" i="2"/>
  <c r="O796" i="2"/>
  <c r="P795" i="2"/>
  <c r="O795" i="2"/>
  <c r="P794" i="2"/>
  <c r="O794" i="2"/>
  <c r="P793" i="2"/>
  <c r="O793" i="2"/>
  <c r="P792" i="2"/>
  <c r="O792" i="2"/>
  <c r="P791" i="2"/>
  <c r="O791" i="2"/>
  <c r="P790" i="2"/>
  <c r="O790" i="2"/>
  <c r="P789" i="2"/>
  <c r="O789" i="2"/>
  <c r="P788" i="2"/>
  <c r="O788" i="2"/>
  <c r="P787" i="2"/>
  <c r="O787" i="2"/>
  <c r="P786" i="2"/>
  <c r="O786" i="2"/>
  <c r="P785" i="2"/>
  <c r="O785" i="2"/>
  <c r="P784" i="2"/>
  <c r="O784" i="2"/>
  <c r="P783" i="2"/>
  <c r="O783" i="2"/>
  <c r="P782" i="2"/>
  <c r="O782" i="2"/>
  <c r="P781" i="2"/>
  <c r="O781" i="2"/>
  <c r="P780" i="2"/>
  <c r="O780" i="2"/>
  <c r="P779" i="2"/>
  <c r="O779" i="2"/>
  <c r="P778" i="2"/>
  <c r="O778" i="2"/>
  <c r="P777" i="2"/>
  <c r="O777" i="2"/>
  <c r="P776" i="2"/>
  <c r="O776" i="2"/>
  <c r="P775" i="2"/>
  <c r="O775" i="2"/>
  <c r="P774" i="2"/>
  <c r="O774" i="2"/>
  <c r="P773" i="2"/>
  <c r="O773" i="2"/>
  <c r="P772" i="2"/>
  <c r="O772" i="2"/>
  <c r="P771" i="2"/>
  <c r="O771" i="2"/>
  <c r="P770" i="2"/>
  <c r="O770" i="2"/>
  <c r="P769" i="2"/>
  <c r="O769" i="2"/>
  <c r="P768" i="2"/>
  <c r="O768" i="2"/>
  <c r="P767" i="2"/>
  <c r="O767" i="2"/>
  <c r="P766" i="2"/>
  <c r="O766" i="2"/>
  <c r="P765" i="2"/>
  <c r="O765" i="2"/>
  <c r="P764" i="2"/>
  <c r="O764" i="2"/>
  <c r="P763" i="2"/>
  <c r="O763" i="2"/>
  <c r="P762" i="2"/>
  <c r="O762" i="2"/>
  <c r="P761" i="2"/>
  <c r="O761" i="2"/>
  <c r="P760" i="2"/>
  <c r="O760" i="2"/>
  <c r="P759" i="2"/>
  <c r="O759" i="2"/>
  <c r="P758" i="2"/>
  <c r="O758" i="2"/>
  <c r="P757" i="2"/>
  <c r="O757" i="2"/>
  <c r="P756" i="2"/>
  <c r="O756" i="2"/>
  <c r="P755" i="2"/>
  <c r="O755" i="2"/>
  <c r="P754" i="2"/>
  <c r="O754" i="2"/>
  <c r="P753" i="2"/>
  <c r="O753" i="2"/>
  <c r="P752" i="2"/>
  <c r="O752" i="2"/>
  <c r="P751" i="2"/>
  <c r="O751" i="2"/>
  <c r="P750" i="2"/>
  <c r="O750" i="2"/>
  <c r="P749" i="2"/>
  <c r="O749" i="2"/>
  <c r="P748" i="2"/>
  <c r="O748" i="2"/>
  <c r="P747" i="2"/>
  <c r="O747" i="2"/>
  <c r="P746" i="2"/>
  <c r="O746" i="2"/>
  <c r="P745" i="2"/>
  <c r="O745" i="2"/>
  <c r="P744" i="2"/>
  <c r="O744" i="2"/>
  <c r="P743" i="2"/>
  <c r="O743" i="2"/>
  <c r="P742" i="2"/>
  <c r="O742" i="2"/>
  <c r="P741" i="2"/>
  <c r="O741" i="2"/>
  <c r="P740" i="2"/>
  <c r="O740" i="2"/>
  <c r="P739" i="2"/>
  <c r="O739" i="2"/>
  <c r="P738" i="2"/>
  <c r="O738" i="2"/>
  <c r="P737" i="2"/>
  <c r="O737" i="2"/>
  <c r="P736" i="2"/>
  <c r="O736" i="2"/>
  <c r="P735" i="2"/>
  <c r="O735" i="2"/>
  <c r="P734" i="2"/>
  <c r="O734" i="2"/>
  <c r="P733" i="2"/>
  <c r="O733" i="2"/>
  <c r="P732" i="2"/>
  <c r="O732" i="2"/>
  <c r="P731" i="2"/>
  <c r="O731" i="2"/>
  <c r="P730" i="2"/>
  <c r="O730" i="2"/>
  <c r="P729" i="2"/>
  <c r="O729" i="2"/>
  <c r="P728" i="2"/>
  <c r="O728" i="2"/>
  <c r="P727" i="2"/>
  <c r="O727" i="2"/>
  <c r="P726" i="2"/>
  <c r="O726" i="2"/>
  <c r="P725" i="2"/>
  <c r="O725" i="2"/>
  <c r="P724" i="2"/>
  <c r="O724" i="2"/>
  <c r="P723" i="2"/>
  <c r="O723" i="2"/>
  <c r="P722" i="2"/>
  <c r="O722" i="2"/>
  <c r="P721" i="2"/>
  <c r="O721" i="2"/>
  <c r="P720" i="2"/>
  <c r="O720" i="2"/>
  <c r="P719" i="2"/>
  <c r="O719" i="2"/>
  <c r="P718" i="2"/>
  <c r="O718" i="2"/>
  <c r="P717" i="2"/>
  <c r="O717" i="2"/>
  <c r="P716" i="2"/>
  <c r="O716" i="2"/>
  <c r="P715" i="2"/>
  <c r="O715" i="2"/>
  <c r="P714" i="2"/>
  <c r="O714" i="2"/>
  <c r="P713" i="2"/>
  <c r="O713" i="2"/>
  <c r="P712" i="2"/>
  <c r="O712" i="2"/>
  <c r="P711" i="2"/>
  <c r="O711" i="2"/>
  <c r="P710" i="2"/>
  <c r="O710" i="2"/>
  <c r="P709" i="2"/>
  <c r="O709" i="2"/>
  <c r="P708" i="2"/>
  <c r="O708" i="2"/>
  <c r="P707" i="2"/>
  <c r="O707" i="2"/>
  <c r="P706" i="2"/>
  <c r="O706" i="2"/>
  <c r="P705" i="2"/>
  <c r="O705" i="2"/>
  <c r="P704" i="2"/>
  <c r="O704" i="2"/>
  <c r="P703" i="2"/>
  <c r="O703" i="2"/>
  <c r="P702" i="2"/>
  <c r="O702" i="2"/>
  <c r="P701" i="2"/>
  <c r="O701" i="2"/>
  <c r="P700" i="2"/>
  <c r="O700" i="2"/>
  <c r="P699" i="2"/>
  <c r="O699" i="2"/>
  <c r="P698" i="2"/>
  <c r="O698" i="2"/>
  <c r="P697" i="2"/>
  <c r="O697" i="2"/>
  <c r="P696" i="2"/>
  <c r="O696" i="2"/>
  <c r="P695" i="2"/>
  <c r="O695" i="2"/>
  <c r="P694" i="2"/>
  <c r="O694" i="2"/>
  <c r="P693" i="2"/>
  <c r="O693" i="2"/>
  <c r="P692" i="2"/>
  <c r="O692" i="2"/>
  <c r="P691" i="2"/>
  <c r="O691" i="2"/>
  <c r="P690" i="2"/>
  <c r="O690" i="2"/>
  <c r="P689" i="2"/>
  <c r="O689" i="2"/>
  <c r="P688" i="2"/>
  <c r="O688" i="2"/>
  <c r="P687" i="2"/>
  <c r="O687" i="2"/>
  <c r="P686" i="2"/>
  <c r="O686" i="2"/>
  <c r="P685" i="2"/>
  <c r="O685" i="2"/>
  <c r="P684" i="2"/>
  <c r="O684" i="2"/>
  <c r="P683" i="2"/>
  <c r="O683" i="2"/>
  <c r="P682" i="2"/>
  <c r="O682" i="2"/>
  <c r="P681" i="2"/>
  <c r="O681" i="2"/>
  <c r="P680" i="2"/>
  <c r="O680" i="2"/>
  <c r="P679" i="2"/>
  <c r="O679" i="2"/>
  <c r="P678" i="2"/>
  <c r="O678" i="2"/>
  <c r="P677" i="2"/>
  <c r="O677" i="2"/>
  <c r="P676" i="2"/>
  <c r="O676" i="2"/>
  <c r="P675" i="2"/>
  <c r="O675" i="2"/>
  <c r="P674" i="2"/>
  <c r="O674" i="2"/>
  <c r="P673" i="2"/>
  <c r="O673" i="2"/>
  <c r="P672" i="2"/>
  <c r="O672" i="2"/>
  <c r="P671" i="2"/>
  <c r="O671" i="2"/>
  <c r="P670" i="2"/>
  <c r="O670" i="2"/>
  <c r="P669" i="2"/>
  <c r="O669" i="2"/>
  <c r="P668" i="2"/>
  <c r="O668" i="2"/>
  <c r="P667" i="2"/>
  <c r="O667" i="2"/>
  <c r="P666" i="2"/>
  <c r="O666" i="2"/>
  <c r="P665" i="2"/>
  <c r="O665" i="2"/>
  <c r="P664" i="2"/>
  <c r="O664" i="2"/>
  <c r="P663" i="2"/>
  <c r="O663" i="2"/>
  <c r="P662" i="2"/>
  <c r="O662" i="2"/>
  <c r="P661" i="2"/>
  <c r="O661" i="2"/>
  <c r="P660" i="2"/>
  <c r="O660" i="2"/>
  <c r="P659" i="2"/>
  <c r="O659" i="2"/>
  <c r="P658" i="2"/>
  <c r="O658" i="2"/>
  <c r="P657" i="2"/>
  <c r="O657" i="2"/>
  <c r="P656" i="2"/>
  <c r="O656" i="2"/>
  <c r="P655" i="2"/>
  <c r="O655" i="2"/>
  <c r="P654" i="2"/>
  <c r="O654" i="2"/>
  <c r="P653" i="2"/>
  <c r="O653" i="2"/>
  <c r="P652" i="2"/>
  <c r="O652" i="2"/>
  <c r="P651" i="2"/>
  <c r="O651" i="2"/>
  <c r="P650" i="2"/>
  <c r="O650" i="2"/>
  <c r="P649" i="2"/>
  <c r="O649" i="2"/>
  <c r="P648" i="2"/>
  <c r="O648" i="2"/>
  <c r="P647" i="2"/>
  <c r="O647" i="2"/>
  <c r="P646" i="2"/>
  <c r="O646" i="2"/>
  <c r="P645" i="2"/>
  <c r="O645" i="2"/>
  <c r="P644" i="2"/>
  <c r="O644" i="2"/>
  <c r="P643" i="2"/>
  <c r="O643" i="2"/>
  <c r="P642" i="2"/>
  <c r="O642" i="2"/>
  <c r="P641" i="2"/>
  <c r="O641" i="2"/>
  <c r="P640" i="2"/>
  <c r="O640" i="2"/>
  <c r="P639" i="2"/>
  <c r="O639" i="2"/>
  <c r="P638" i="2"/>
  <c r="O638" i="2"/>
  <c r="P637" i="2"/>
  <c r="O637" i="2"/>
  <c r="P636" i="2"/>
  <c r="O636" i="2"/>
  <c r="P635" i="2"/>
  <c r="O635" i="2"/>
  <c r="P634" i="2"/>
  <c r="O634" i="2"/>
  <c r="P633" i="2"/>
  <c r="O633" i="2"/>
  <c r="P632" i="2"/>
  <c r="O632" i="2"/>
  <c r="P631" i="2"/>
  <c r="O631" i="2"/>
  <c r="P630" i="2"/>
  <c r="O630" i="2"/>
  <c r="P629" i="2"/>
  <c r="O629" i="2"/>
  <c r="P628" i="2"/>
  <c r="O628" i="2"/>
  <c r="P627" i="2"/>
  <c r="O627" i="2"/>
  <c r="P626" i="2"/>
  <c r="O626" i="2"/>
  <c r="P625" i="2"/>
  <c r="O625" i="2"/>
  <c r="P624" i="2"/>
  <c r="O624" i="2"/>
  <c r="P623" i="2"/>
  <c r="O623" i="2"/>
  <c r="P622" i="2"/>
  <c r="O622" i="2"/>
  <c r="P621" i="2"/>
  <c r="O621" i="2"/>
  <c r="P620" i="2"/>
  <c r="O620" i="2"/>
  <c r="P619" i="2"/>
  <c r="O619" i="2"/>
  <c r="P618" i="2"/>
  <c r="O618" i="2"/>
  <c r="P617" i="2"/>
  <c r="O617" i="2"/>
  <c r="P616" i="2"/>
  <c r="O616" i="2"/>
  <c r="P615" i="2"/>
  <c r="O615" i="2"/>
  <c r="P614" i="2"/>
  <c r="O614" i="2"/>
  <c r="P613" i="2"/>
  <c r="O613" i="2"/>
  <c r="P612" i="2"/>
  <c r="O612" i="2"/>
  <c r="P611" i="2"/>
  <c r="O611" i="2"/>
  <c r="P610" i="2"/>
  <c r="O610" i="2"/>
  <c r="P609" i="2"/>
  <c r="O609" i="2"/>
  <c r="P608" i="2"/>
  <c r="O608" i="2"/>
  <c r="P607" i="2"/>
  <c r="O607" i="2"/>
  <c r="P606" i="2"/>
  <c r="O606" i="2"/>
  <c r="P605" i="2"/>
  <c r="O605" i="2"/>
  <c r="P604" i="2"/>
  <c r="O604" i="2"/>
  <c r="P603" i="2"/>
  <c r="O603" i="2"/>
  <c r="P602" i="2"/>
  <c r="O602" i="2"/>
  <c r="P601" i="2"/>
  <c r="O601" i="2"/>
  <c r="P600" i="2"/>
  <c r="O600" i="2"/>
  <c r="P599" i="2"/>
  <c r="O599" i="2"/>
  <c r="P598" i="2"/>
  <c r="O598" i="2"/>
  <c r="P597" i="2"/>
  <c r="O597" i="2"/>
  <c r="P596" i="2"/>
  <c r="O596" i="2"/>
  <c r="P595" i="2"/>
  <c r="O595" i="2"/>
  <c r="P594" i="2"/>
  <c r="O594" i="2"/>
  <c r="P593" i="2"/>
  <c r="O593" i="2"/>
  <c r="P592" i="2"/>
  <c r="O592" i="2"/>
  <c r="P591" i="2"/>
  <c r="O591" i="2"/>
  <c r="P590" i="2"/>
  <c r="O590" i="2"/>
  <c r="P589" i="2"/>
  <c r="O589" i="2"/>
  <c r="P588" i="2"/>
  <c r="O588" i="2"/>
  <c r="P587" i="2"/>
  <c r="O587" i="2"/>
  <c r="P586" i="2"/>
  <c r="O586" i="2"/>
  <c r="P585" i="2"/>
  <c r="O585" i="2"/>
  <c r="P584" i="2"/>
  <c r="O584" i="2"/>
  <c r="P583" i="2"/>
  <c r="O583" i="2"/>
  <c r="P582" i="2"/>
  <c r="O582" i="2"/>
  <c r="P581" i="2"/>
  <c r="O581" i="2"/>
  <c r="P580" i="2"/>
  <c r="O580" i="2"/>
  <c r="P579" i="2"/>
  <c r="O579" i="2"/>
  <c r="P578" i="2"/>
  <c r="O578" i="2"/>
  <c r="P577" i="2"/>
  <c r="O577" i="2"/>
  <c r="P576" i="2"/>
  <c r="O576" i="2"/>
  <c r="P575" i="2"/>
  <c r="O575" i="2"/>
  <c r="P574" i="2"/>
  <c r="O574" i="2"/>
  <c r="P573" i="2"/>
  <c r="O573" i="2"/>
  <c r="P572" i="2"/>
  <c r="O572" i="2"/>
  <c r="P571" i="2"/>
  <c r="O571" i="2"/>
  <c r="P570" i="2"/>
  <c r="O570" i="2"/>
  <c r="P569" i="2"/>
  <c r="O569" i="2"/>
  <c r="P568" i="2"/>
  <c r="O568" i="2"/>
  <c r="P567" i="2"/>
  <c r="O567" i="2"/>
  <c r="P566" i="2"/>
  <c r="O566" i="2"/>
  <c r="P565" i="2"/>
  <c r="O565" i="2"/>
  <c r="P564" i="2"/>
  <c r="O564" i="2"/>
  <c r="P563" i="2"/>
  <c r="O563" i="2"/>
  <c r="P562" i="2"/>
  <c r="O562" i="2"/>
  <c r="P561" i="2"/>
  <c r="O561" i="2"/>
  <c r="P560" i="2"/>
  <c r="O560" i="2"/>
  <c r="P559" i="2"/>
  <c r="O559" i="2"/>
  <c r="P558" i="2"/>
  <c r="O558" i="2"/>
  <c r="P557" i="2"/>
  <c r="O557" i="2"/>
  <c r="P556" i="2"/>
  <c r="O556" i="2"/>
  <c r="P555" i="2"/>
  <c r="O555" i="2"/>
  <c r="P554" i="2"/>
  <c r="O554" i="2"/>
  <c r="P553" i="2"/>
  <c r="O553" i="2"/>
  <c r="P552" i="2"/>
  <c r="O552" i="2"/>
  <c r="P551" i="2"/>
  <c r="O551" i="2"/>
  <c r="P550" i="2"/>
  <c r="O550" i="2"/>
  <c r="P549" i="2"/>
  <c r="O549" i="2"/>
  <c r="P548" i="2"/>
  <c r="O548" i="2"/>
  <c r="P547" i="2"/>
  <c r="O547" i="2"/>
  <c r="P546" i="2"/>
  <c r="O546" i="2"/>
  <c r="P545" i="2"/>
  <c r="O545" i="2"/>
  <c r="P544" i="2"/>
  <c r="O544" i="2"/>
  <c r="P543" i="2"/>
  <c r="O543" i="2"/>
  <c r="P542" i="2"/>
  <c r="O542" i="2"/>
  <c r="P541" i="2"/>
  <c r="O541" i="2"/>
  <c r="P540" i="2"/>
  <c r="O540" i="2"/>
  <c r="P539" i="2"/>
  <c r="O539" i="2"/>
  <c r="P538" i="2"/>
  <c r="O538" i="2"/>
  <c r="P537" i="2"/>
  <c r="O537" i="2"/>
  <c r="P536" i="2"/>
  <c r="O536" i="2"/>
  <c r="P535" i="2"/>
  <c r="O535" i="2"/>
  <c r="P534" i="2"/>
  <c r="O534" i="2"/>
  <c r="P533" i="2"/>
  <c r="O533" i="2"/>
  <c r="P532" i="2"/>
  <c r="O532" i="2"/>
  <c r="P531" i="2"/>
  <c r="O531" i="2"/>
  <c r="P530" i="2"/>
  <c r="O530" i="2"/>
  <c r="P529" i="2"/>
  <c r="O529" i="2"/>
  <c r="P528" i="2"/>
  <c r="O528" i="2"/>
  <c r="P527" i="2"/>
  <c r="O527" i="2"/>
  <c r="P526" i="2"/>
  <c r="O526" i="2"/>
  <c r="P525" i="2"/>
  <c r="O525" i="2"/>
  <c r="P524" i="2"/>
  <c r="O524" i="2"/>
  <c r="P523" i="2"/>
  <c r="O523" i="2"/>
  <c r="P522" i="2"/>
  <c r="O522" i="2"/>
  <c r="P521" i="2"/>
  <c r="O521" i="2"/>
  <c r="P520" i="2"/>
  <c r="O520" i="2"/>
  <c r="P519" i="2"/>
  <c r="O519" i="2"/>
  <c r="P518" i="2"/>
  <c r="O518" i="2"/>
  <c r="P517" i="2"/>
  <c r="O517" i="2"/>
  <c r="P516" i="2"/>
  <c r="O516" i="2"/>
  <c r="P515" i="2"/>
  <c r="O515" i="2"/>
  <c r="P514" i="2"/>
  <c r="O514" i="2"/>
  <c r="P513" i="2"/>
  <c r="O513" i="2"/>
  <c r="P512" i="2"/>
  <c r="O512" i="2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P467" i="2"/>
  <c r="O467" i="2"/>
  <c r="P466" i="2"/>
  <c r="O466" i="2"/>
  <c r="P465" i="2"/>
  <c r="O465" i="2"/>
  <c r="P464" i="2"/>
  <c r="O464" i="2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Q404" i="2" s="1"/>
  <c r="P403" i="2"/>
  <c r="R403" i="2" s="1"/>
  <c r="O403" i="2"/>
  <c r="Q403" i="2" s="1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P395" i="2"/>
  <c r="O395" i="2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P380" i="2"/>
  <c r="O380" i="2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P370" i="2"/>
  <c r="O370" i="2"/>
  <c r="P369" i="2"/>
  <c r="O369" i="2"/>
  <c r="P368" i="2"/>
  <c r="O368" i="2"/>
  <c r="P367" i="2"/>
  <c r="O367" i="2"/>
  <c r="P366" i="2"/>
  <c r="O366" i="2"/>
  <c r="P365" i="2"/>
  <c r="O365" i="2"/>
  <c r="P364" i="2"/>
  <c r="O364" i="2"/>
  <c r="P363" i="2"/>
  <c r="O363" i="2"/>
  <c r="P362" i="2"/>
  <c r="O362" i="2"/>
  <c r="P361" i="2"/>
  <c r="O361" i="2"/>
  <c r="P360" i="2"/>
  <c r="O360" i="2"/>
  <c r="P359" i="2"/>
  <c r="O359" i="2"/>
  <c r="P358" i="2"/>
  <c r="O358" i="2"/>
  <c r="P357" i="2"/>
  <c r="O357" i="2"/>
  <c r="P356" i="2"/>
  <c r="O356" i="2"/>
  <c r="P355" i="2"/>
  <c r="O355" i="2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P346" i="2"/>
  <c r="O346" i="2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P322" i="2"/>
  <c r="O322" i="2"/>
  <c r="P321" i="2"/>
  <c r="O321" i="2"/>
  <c r="P320" i="2"/>
  <c r="O320" i="2"/>
  <c r="P319" i="2"/>
  <c r="O319" i="2"/>
  <c r="P318" i="2"/>
  <c r="O318" i="2"/>
  <c r="P317" i="2"/>
  <c r="O317" i="2"/>
  <c r="P316" i="2"/>
  <c r="O316" i="2"/>
  <c r="P315" i="2"/>
  <c r="O315" i="2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P252" i="2"/>
  <c r="O252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R203" i="2" s="1"/>
  <c r="O203" i="2"/>
  <c r="Q203" i="2" s="1"/>
  <c r="P202" i="2"/>
  <c r="R202" i="2" s="1"/>
  <c r="O202" i="2"/>
  <c r="Q202" i="2" s="1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Q3" i="2" s="1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I3" i="2"/>
  <c r="C3" i="2"/>
  <c r="A4" i="2"/>
  <c r="A5" i="2" l="1"/>
  <c r="B4" i="2"/>
  <c r="H4" i="2" s="1"/>
  <c r="L4" i="2" s="1"/>
  <c r="C4" i="2"/>
  <c r="D3" i="2"/>
  <c r="D4" i="2" l="1"/>
  <c r="C5" i="2"/>
  <c r="B5" i="2"/>
  <c r="H5" i="2" s="1"/>
  <c r="L5" i="2" s="1"/>
  <c r="A6" i="2"/>
  <c r="E3" i="2"/>
  <c r="F3" i="2" s="1"/>
  <c r="G3" i="2"/>
  <c r="E4" i="2" l="1"/>
  <c r="F4" i="2" s="1"/>
  <c r="J4" i="2" s="1"/>
  <c r="G4" i="2"/>
  <c r="M4" i="2"/>
  <c r="D5" i="2"/>
  <c r="M5" i="2" s="1"/>
  <c r="C6" i="2"/>
  <c r="B6" i="2"/>
  <c r="H6" i="2" s="1"/>
  <c r="L6" i="2" s="1"/>
  <c r="A7" i="2"/>
  <c r="K4" i="2"/>
  <c r="I4" i="2"/>
  <c r="G5" i="2" l="1"/>
  <c r="E5" i="2"/>
  <c r="F5" i="2" s="1"/>
  <c r="J5" i="2" s="1"/>
  <c r="K5" i="2" s="1"/>
  <c r="I5" i="2" s="1"/>
  <c r="D6" i="2"/>
  <c r="M6" i="2" s="1"/>
  <c r="C7" i="2"/>
  <c r="B7" i="2"/>
  <c r="H7" i="2" s="1"/>
  <c r="L7" i="2" s="1"/>
  <c r="A8" i="2"/>
  <c r="G6" i="2" l="1"/>
  <c r="E6" i="2"/>
  <c r="F6" i="2" s="1"/>
  <c r="J6" i="2" s="1"/>
  <c r="K6" i="2" s="1"/>
  <c r="D7" i="2"/>
  <c r="C8" i="2"/>
  <c r="B8" i="2"/>
  <c r="H8" i="2" s="1"/>
  <c r="L8" i="2" s="1"/>
  <c r="A9" i="2"/>
  <c r="G7" i="2" l="1"/>
  <c r="E7" i="2"/>
  <c r="F7" i="2" s="1"/>
  <c r="M7" i="2"/>
  <c r="D8" i="2"/>
  <c r="C9" i="2"/>
  <c r="B9" i="2"/>
  <c r="H9" i="2" s="1"/>
  <c r="L9" i="2" s="1"/>
  <c r="A10" i="2"/>
  <c r="I6" i="2"/>
  <c r="M8" i="2" l="1"/>
  <c r="G8" i="2"/>
  <c r="E8" i="2"/>
  <c r="F8" i="2" s="1"/>
  <c r="D9" i="2"/>
  <c r="C10" i="2"/>
  <c r="B10" i="2"/>
  <c r="H10" i="2" s="1"/>
  <c r="L10" i="2" s="1"/>
  <c r="A11" i="2"/>
  <c r="J7" i="2"/>
  <c r="K7" i="2"/>
  <c r="E9" i="2"/>
  <c r="F9" i="2" s="1"/>
  <c r="G9" i="2" l="1"/>
  <c r="M9" i="2"/>
  <c r="D10" i="2"/>
  <c r="M10" i="2" s="1"/>
  <c r="C11" i="2"/>
  <c r="B11" i="2"/>
  <c r="H11" i="2" s="1"/>
  <c r="L11" i="2" s="1"/>
  <c r="A12" i="2"/>
  <c r="I7" i="2"/>
  <c r="G10" i="2" l="1"/>
  <c r="E10" i="2"/>
  <c r="F10" i="2" s="1"/>
  <c r="D11" i="2"/>
  <c r="C12" i="2"/>
  <c r="B12" i="2"/>
  <c r="H12" i="2" s="1"/>
  <c r="L12" i="2" s="1"/>
  <c r="A13" i="2"/>
  <c r="J8" i="2"/>
  <c r="K8" i="2"/>
  <c r="G11" i="2" l="1"/>
  <c r="E11" i="2"/>
  <c r="F11" i="2" s="1"/>
  <c r="D12" i="2"/>
  <c r="M12" i="2" s="1"/>
  <c r="C13" i="2"/>
  <c r="M13" i="2" s="1"/>
  <c r="B13" i="2"/>
  <c r="H13" i="2" s="1"/>
  <c r="L13" i="2" s="1"/>
  <c r="A14" i="2"/>
  <c r="I8" i="2"/>
  <c r="D13" i="2"/>
  <c r="G12" i="2" l="1"/>
  <c r="E12" i="2"/>
  <c r="F12" i="2" s="1"/>
  <c r="C14" i="2"/>
  <c r="B14" i="2"/>
  <c r="H14" i="2" s="1"/>
  <c r="L14" i="2" s="1"/>
  <c r="A15" i="2"/>
  <c r="J9" i="2"/>
  <c r="K9" i="2"/>
  <c r="I9" i="2" s="1"/>
  <c r="J10" i="2" s="1"/>
  <c r="K10" i="2" s="1"/>
  <c r="I10" i="2" s="1"/>
  <c r="M11" i="2" s="1"/>
  <c r="G13" i="2"/>
  <c r="E13" i="2"/>
  <c r="F13" i="2" s="1"/>
  <c r="D14" i="2" l="1"/>
  <c r="M14" i="2" s="1"/>
  <c r="C15" i="2"/>
  <c r="B15" i="2"/>
  <c r="H15" i="2" s="1"/>
  <c r="L15" i="2" s="1"/>
  <c r="A16" i="2"/>
  <c r="J11" i="2"/>
  <c r="K11" i="2" s="1"/>
  <c r="I11" i="2" s="1"/>
  <c r="E14" i="2" l="1"/>
  <c r="F14" i="2" s="1"/>
  <c r="G14" i="2"/>
  <c r="D15" i="2"/>
  <c r="M15" i="2" s="1"/>
  <c r="C16" i="2"/>
  <c r="B16" i="2"/>
  <c r="H16" i="2" s="1"/>
  <c r="L16" i="2" s="1"/>
  <c r="A17" i="2"/>
  <c r="J12" i="2"/>
  <c r="K12" i="2" s="1"/>
  <c r="I12" i="2" s="1"/>
  <c r="G15" i="2" l="1"/>
  <c r="E15" i="2"/>
  <c r="F15" i="2" s="1"/>
  <c r="D16" i="2"/>
  <c r="M16" i="2" s="1"/>
  <c r="C17" i="2"/>
  <c r="B17" i="2"/>
  <c r="H17" i="2" s="1"/>
  <c r="L17" i="2" s="1"/>
  <c r="A18" i="2"/>
  <c r="J13" i="2"/>
  <c r="K13" i="2" s="1"/>
  <c r="I13" i="2" s="1"/>
  <c r="E16" i="2" l="1"/>
  <c r="F16" i="2" s="1"/>
  <c r="G16" i="2"/>
  <c r="D17" i="2"/>
  <c r="M17" i="2" s="1"/>
  <c r="C18" i="2"/>
  <c r="B18" i="2"/>
  <c r="H18" i="2" s="1"/>
  <c r="L18" i="2" s="1"/>
  <c r="A19" i="2"/>
  <c r="J14" i="2"/>
  <c r="G17" i="2"/>
  <c r="E17" i="2"/>
  <c r="F17" i="2" s="1"/>
  <c r="D18" i="2" l="1"/>
  <c r="M18" i="2" s="1"/>
  <c r="C19" i="2"/>
  <c r="B19" i="2"/>
  <c r="H19" i="2" s="1"/>
  <c r="L19" i="2" s="1"/>
  <c r="A20" i="2"/>
  <c r="K14" i="2"/>
  <c r="I14" i="2" s="1"/>
  <c r="J15" i="2" s="1"/>
  <c r="K15" i="2" s="1"/>
  <c r="I15" i="2" s="1"/>
  <c r="G18" i="2" l="1"/>
  <c r="E18" i="2"/>
  <c r="F18" i="2" s="1"/>
  <c r="D19" i="2"/>
  <c r="M19" i="2" s="1"/>
  <c r="C20" i="2"/>
  <c r="B20" i="2"/>
  <c r="H20" i="2" s="1"/>
  <c r="L20" i="2" s="1"/>
  <c r="A21" i="2"/>
  <c r="J16" i="2"/>
  <c r="K16" i="2"/>
  <c r="D20" i="2" l="1"/>
  <c r="C21" i="2"/>
  <c r="M20" i="2"/>
  <c r="G19" i="2"/>
  <c r="E19" i="2"/>
  <c r="F19" i="2" s="1"/>
  <c r="B21" i="2"/>
  <c r="H21" i="2" s="1"/>
  <c r="L21" i="2" s="1"/>
  <c r="A22" i="2"/>
  <c r="I16" i="2"/>
  <c r="G20" i="2"/>
  <c r="E20" i="2"/>
  <c r="F20" i="2" s="1"/>
  <c r="D21" i="2" l="1"/>
  <c r="C22" i="2"/>
  <c r="B22" i="2"/>
  <c r="H22" i="2" s="1"/>
  <c r="L22" i="2" s="1"/>
  <c r="A23" i="2"/>
  <c r="J17" i="2"/>
  <c r="K17" i="2"/>
  <c r="M21" i="2" l="1"/>
  <c r="G21" i="2"/>
  <c r="E21" i="2"/>
  <c r="F21" i="2" s="1"/>
  <c r="D22" i="2"/>
  <c r="C23" i="2"/>
  <c r="A24" i="2"/>
  <c r="B23" i="2"/>
  <c r="H23" i="2" s="1"/>
  <c r="L23" i="2" s="1"/>
  <c r="I17" i="2"/>
  <c r="D23" i="2"/>
  <c r="C24" i="2"/>
  <c r="M22" i="2" l="1"/>
  <c r="G22" i="2"/>
  <c r="E22" i="2"/>
  <c r="F22" i="2" s="1"/>
  <c r="A25" i="2"/>
  <c r="B24" i="2"/>
  <c r="H24" i="2" s="1"/>
  <c r="L24" i="2" s="1"/>
  <c r="J18" i="2"/>
  <c r="K18" i="2"/>
  <c r="I18" i="2"/>
  <c r="J19" i="2" s="1"/>
  <c r="K19" i="2" s="1"/>
  <c r="I19" i="2" s="1"/>
  <c r="G23" i="2"/>
  <c r="E23" i="2"/>
  <c r="F23" i="2" s="1"/>
  <c r="D24" i="2"/>
  <c r="M24" i="2" s="1"/>
  <c r="C25" i="2"/>
  <c r="A26" i="2" l="1"/>
  <c r="B25" i="2"/>
  <c r="H25" i="2" s="1"/>
  <c r="L25" i="2" s="1"/>
  <c r="J20" i="2"/>
  <c r="G24" i="2"/>
  <c r="E24" i="2"/>
  <c r="F24" i="2" s="1"/>
  <c r="D25" i="2"/>
  <c r="M25" i="2" s="1"/>
  <c r="C26" i="2"/>
  <c r="A27" i="2" l="1"/>
  <c r="B26" i="2"/>
  <c r="H26" i="2" s="1"/>
  <c r="L26" i="2" s="1"/>
  <c r="K20" i="2"/>
  <c r="I20" i="2" s="1"/>
  <c r="J21" i="2" s="1"/>
  <c r="K21" i="2" s="1"/>
  <c r="I21" i="2" s="1"/>
  <c r="G25" i="2"/>
  <c r="E25" i="2"/>
  <c r="F25" i="2" s="1"/>
  <c r="D26" i="2"/>
  <c r="M26" i="2" s="1"/>
  <c r="C27" i="2"/>
  <c r="A28" i="2" l="1"/>
  <c r="B27" i="2"/>
  <c r="H27" i="2" s="1"/>
  <c r="L27" i="2" s="1"/>
  <c r="J22" i="2"/>
  <c r="K22" i="2"/>
  <c r="G26" i="2"/>
  <c r="E26" i="2"/>
  <c r="F26" i="2" s="1"/>
  <c r="D27" i="2"/>
  <c r="M27" i="2" s="1"/>
  <c r="C28" i="2"/>
  <c r="A29" i="2" l="1"/>
  <c r="B28" i="2"/>
  <c r="H28" i="2" s="1"/>
  <c r="L28" i="2" s="1"/>
  <c r="I22" i="2"/>
  <c r="M23" i="2" s="1"/>
  <c r="G27" i="2"/>
  <c r="E27" i="2"/>
  <c r="F27" i="2" s="1"/>
  <c r="D28" i="2"/>
  <c r="M28" i="2" s="1"/>
  <c r="C29" i="2"/>
  <c r="A30" i="2" l="1"/>
  <c r="B29" i="2"/>
  <c r="H29" i="2" s="1"/>
  <c r="L29" i="2" s="1"/>
  <c r="J23" i="2"/>
  <c r="K23" i="2"/>
  <c r="G28" i="2"/>
  <c r="E28" i="2"/>
  <c r="F28" i="2" s="1"/>
  <c r="D29" i="2"/>
  <c r="M29" i="2" s="1"/>
  <c r="C30" i="2"/>
  <c r="A31" i="2" l="1"/>
  <c r="B30" i="2"/>
  <c r="H30" i="2" s="1"/>
  <c r="L30" i="2" s="1"/>
  <c r="I23" i="2"/>
  <c r="G29" i="2"/>
  <c r="E29" i="2"/>
  <c r="F29" i="2" s="1"/>
  <c r="D30" i="2"/>
  <c r="M30" i="2" s="1"/>
  <c r="C31" i="2"/>
  <c r="A32" i="2" l="1"/>
  <c r="B31" i="2"/>
  <c r="H31" i="2" s="1"/>
  <c r="L31" i="2" s="1"/>
  <c r="J24" i="2"/>
  <c r="K24" i="2" s="1"/>
  <c r="I24" i="2" s="1"/>
  <c r="G30" i="2"/>
  <c r="E30" i="2"/>
  <c r="F30" i="2" s="1"/>
  <c r="D31" i="2"/>
  <c r="M31" i="2" s="1"/>
  <c r="C32" i="2"/>
  <c r="A33" i="2" l="1"/>
  <c r="B32" i="2"/>
  <c r="H32" i="2" s="1"/>
  <c r="L32" i="2" s="1"/>
  <c r="J25" i="2"/>
  <c r="K25" i="2" s="1"/>
  <c r="G31" i="2"/>
  <c r="E31" i="2"/>
  <c r="F31" i="2" s="1"/>
  <c r="D32" i="2"/>
  <c r="M32" i="2" s="1"/>
  <c r="C33" i="2"/>
  <c r="A34" i="2" l="1"/>
  <c r="B33" i="2"/>
  <c r="H33" i="2" s="1"/>
  <c r="L33" i="2" s="1"/>
  <c r="I25" i="2"/>
  <c r="G32" i="2"/>
  <c r="E32" i="2"/>
  <c r="F32" i="2" s="1"/>
  <c r="D33" i="2"/>
  <c r="M33" i="2" s="1"/>
  <c r="C34" i="2"/>
  <c r="A35" i="2" l="1"/>
  <c r="B34" i="2"/>
  <c r="H34" i="2" s="1"/>
  <c r="L34" i="2" s="1"/>
  <c r="J26" i="2"/>
  <c r="K26" i="2" s="1"/>
  <c r="I26" i="2" s="1"/>
  <c r="G33" i="2"/>
  <c r="E33" i="2"/>
  <c r="F33" i="2" s="1"/>
  <c r="D34" i="2"/>
  <c r="M34" i="2" s="1"/>
  <c r="C35" i="2"/>
  <c r="A36" i="2" l="1"/>
  <c r="B35" i="2"/>
  <c r="H35" i="2" s="1"/>
  <c r="L35" i="2" s="1"/>
  <c r="J27" i="2"/>
  <c r="K27" i="2" s="1"/>
  <c r="I27" i="2" s="1"/>
  <c r="J28" i="2" s="1"/>
  <c r="K28" i="2" s="1"/>
  <c r="I28" i="2" s="1"/>
  <c r="G34" i="2"/>
  <c r="E34" i="2"/>
  <c r="F34" i="2" s="1"/>
  <c r="D35" i="2"/>
  <c r="C36" i="2"/>
  <c r="A37" i="2" l="1"/>
  <c r="B36" i="2"/>
  <c r="H36" i="2" s="1"/>
  <c r="L36" i="2" s="1"/>
  <c r="J29" i="2"/>
  <c r="K29" i="2" s="1"/>
  <c r="G35" i="2"/>
  <c r="E35" i="2"/>
  <c r="F35" i="2" s="1"/>
  <c r="D36" i="2"/>
  <c r="M36" i="2" s="1"/>
  <c r="C37" i="2"/>
  <c r="A38" i="2" l="1"/>
  <c r="B37" i="2"/>
  <c r="H37" i="2" s="1"/>
  <c r="L37" i="2" s="1"/>
  <c r="I29" i="2"/>
  <c r="G36" i="2"/>
  <c r="E36" i="2"/>
  <c r="F36" i="2" s="1"/>
  <c r="D37" i="2"/>
  <c r="M37" i="2" s="1"/>
  <c r="C38" i="2"/>
  <c r="A39" i="2" l="1"/>
  <c r="B38" i="2"/>
  <c r="H38" i="2" s="1"/>
  <c r="L38" i="2" s="1"/>
  <c r="J30" i="2"/>
  <c r="K30" i="2" s="1"/>
  <c r="I30" i="2" s="1"/>
  <c r="G37" i="2"/>
  <c r="E37" i="2"/>
  <c r="F37" i="2" s="1"/>
  <c r="D38" i="2"/>
  <c r="M38" i="2" s="1"/>
  <c r="C39" i="2"/>
  <c r="A40" i="2" l="1"/>
  <c r="B39" i="2"/>
  <c r="H39" i="2" s="1"/>
  <c r="L39" i="2" s="1"/>
  <c r="J31" i="2"/>
  <c r="K31" i="2" s="1"/>
  <c r="G38" i="2"/>
  <c r="E38" i="2"/>
  <c r="F38" i="2" s="1"/>
  <c r="D39" i="2"/>
  <c r="M39" i="2" s="1"/>
  <c r="C40" i="2"/>
  <c r="A41" i="2" l="1"/>
  <c r="B40" i="2"/>
  <c r="H40" i="2" s="1"/>
  <c r="L40" i="2" s="1"/>
  <c r="I31" i="2"/>
  <c r="G39" i="2"/>
  <c r="E39" i="2"/>
  <c r="F39" i="2" s="1"/>
  <c r="D40" i="2"/>
  <c r="M40" i="2" s="1"/>
  <c r="C41" i="2"/>
  <c r="A42" i="2" l="1"/>
  <c r="B41" i="2"/>
  <c r="H41" i="2" s="1"/>
  <c r="L41" i="2" s="1"/>
  <c r="J32" i="2"/>
  <c r="K32" i="2" s="1"/>
  <c r="I32" i="2" s="1"/>
  <c r="G40" i="2"/>
  <c r="E40" i="2"/>
  <c r="F40" i="2" s="1"/>
  <c r="D41" i="2"/>
  <c r="M41" i="2" s="1"/>
  <c r="C42" i="2"/>
  <c r="A43" i="2" l="1"/>
  <c r="B42" i="2"/>
  <c r="H42" i="2" s="1"/>
  <c r="L42" i="2" s="1"/>
  <c r="J33" i="2"/>
  <c r="K33" i="2" s="1"/>
  <c r="G41" i="2"/>
  <c r="E41" i="2"/>
  <c r="F41" i="2" s="1"/>
  <c r="D42" i="2"/>
  <c r="M42" i="2" s="1"/>
  <c r="C43" i="2"/>
  <c r="A44" i="2" l="1"/>
  <c r="B43" i="2"/>
  <c r="H43" i="2" s="1"/>
  <c r="L43" i="2" s="1"/>
  <c r="I33" i="2"/>
  <c r="G42" i="2"/>
  <c r="E42" i="2"/>
  <c r="F42" i="2" s="1"/>
  <c r="D43" i="2"/>
  <c r="M43" i="2" s="1"/>
  <c r="C44" i="2"/>
  <c r="A45" i="2" l="1"/>
  <c r="B44" i="2"/>
  <c r="H44" i="2" s="1"/>
  <c r="L44" i="2" s="1"/>
  <c r="J34" i="2"/>
  <c r="K34" i="2"/>
  <c r="G43" i="2"/>
  <c r="E43" i="2"/>
  <c r="F43" i="2" s="1"/>
  <c r="D44" i="2"/>
  <c r="M44" i="2" s="1"/>
  <c r="C45" i="2"/>
  <c r="A46" i="2" l="1"/>
  <c r="B45" i="2"/>
  <c r="H45" i="2" s="1"/>
  <c r="L45" i="2" s="1"/>
  <c r="I34" i="2"/>
  <c r="M35" i="2" s="1"/>
  <c r="G44" i="2"/>
  <c r="E44" i="2"/>
  <c r="F44" i="2" s="1"/>
  <c r="D45" i="2"/>
  <c r="M45" i="2" s="1"/>
  <c r="C46" i="2"/>
  <c r="A47" i="2" l="1"/>
  <c r="B46" i="2"/>
  <c r="H46" i="2" s="1"/>
  <c r="L46" i="2" s="1"/>
  <c r="J35" i="2"/>
  <c r="K35" i="2" s="1"/>
  <c r="G45" i="2"/>
  <c r="E45" i="2"/>
  <c r="F45" i="2" s="1"/>
  <c r="D46" i="2"/>
  <c r="M46" i="2" s="1"/>
  <c r="C47" i="2"/>
  <c r="A48" i="2" l="1"/>
  <c r="B47" i="2"/>
  <c r="H47" i="2" s="1"/>
  <c r="L47" i="2" s="1"/>
  <c r="I35" i="2"/>
  <c r="G46" i="2"/>
  <c r="E46" i="2"/>
  <c r="F46" i="2" s="1"/>
  <c r="D47" i="2"/>
  <c r="C48" i="2"/>
  <c r="A49" i="2" l="1"/>
  <c r="B48" i="2"/>
  <c r="H48" i="2" s="1"/>
  <c r="L48" i="2" s="1"/>
  <c r="J36" i="2"/>
  <c r="K36" i="2" s="1"/>
  <c r="I36" i="2" s="1"/>
  <c r="G47" i="2"/>
  <c r="E47" i="2"/>
  <c r="F47" i="2" s="1"/>
  <c r="D48" i="2"/>
  <c r="M48" i="2" s="1"/>
  <c r="C49" i="2"/>
  <c r="A50" i="2" l="1"/>
  <c r="B49" i="2"/>
  <c r="H49" i="2" s="1"/>
  <c r="L49" i="2" s="1"/>
  <c r="J37" i="2"/>
  <c r="K37" i="2" s="1"/>
  <c r="I37" i="2" s="1"/>
  <c r="G48" i="2"/>
  <c r="E48" i="2"/>
  <c r="F48" i="2" s="1"/>
  <c r="D49" i="2"/>
  <c r="M49" i="2" s="1"/>
  <c r="C50" i="2"/>
  <c r="A51" i="2" l="1"/>
  <c r="B50" i="2"/>
  <c r="H50" i="2" s="1"/>
  <c r="L50" i="2" s="1"/>
  <c r="J38" i="2"/>
  <c r="K38" i="2" s="1"/>
  <c r="I38" i="2" s="1"/>
  <c r="G49" i="2"/>
  <c r="E49" i="2"/>
  <c r="F49" i="2" s="1"/>
  <c r="D50" i="2"/>
  <c r="M50" i="2" s="1"/>
  <c r="C51" i="2"/>
  <c r="A52" i="2" l="1"/>
  <c r="B51" i="2"/>
  <c r="H51" i="2" s="1"/>
  <c r="L51" i="2" s="1"/>
  <c r="J39" i="2"/>
  <c r="K39" i="2" s="1"/>
  <c r="I39" i="2" s="1"/>
  <c r="G50" i="2"/>
  <c r="E50" i="2"/>
  <c r="F50" i="2" s="1"/>
  <c r="D51" i="2"/>
  <c r="M51" i="2" s="1"/>
  <c r="C52" i="2"/>
  <c r="A53" i="2" l="1"/>
  <c r="B52" i="2"/>
  <c r="H52" i="2" s="1"/>
  <c r="L52" i="2" s="1"/>
  <c r="J40" i="2"/>
  <c r="K40" i="2" s="1"/>
  <c r="I40" i="2" s="1"/>
  <c r="G51" i="2"/>
  <c r="E51" i="2"/>
  <c r="F51" i="2" s="1"/>
  <c r="D52" i="2"/>
  <c r="M52" i="2" s="1"/>
  <c r="C53" i="2"/>
  <c r="A54" i="2" l="1"/>
  <c r="B53" i="2"/>
  <c r="H53" i="2" s="1"/>
  <c r="L53" i="2" s="1"/>
  <c r="J41" i="2"/>
  <c r="K41" i="2" s="1"/>
  <c r="I41" i="2" s="1"/>
  <c r="G52" i="2"/>
  <c r="E52" i="2"/>
  <c r="F52" i="2" s="1"/>
  <c r="D53" i="2"/>
  <c r="M53" i="2" s="1"/>
  <c r="C54" i="2"/>
  <c r="A55" i="2" l="1"/>
  <c r="B54" i="2"/>
  <c r="H54" i="2" s="1"/>
  <c r="L54" i="2" s="1"/>
  <c r="J42" i="2"/>
  <c r="K42" i="2" s="1"/>
  <c r="I42" i="2" s="1"/>
  <c r="J43" i="2" s="1"/>
  <c r="K43" i="2" s="1"/>
  <c r="I43" i="2" s="1"/>
  <c r="G53" i="2"/>
  <c r="E53" i="2"/>
  <c r="F53" i="2" s="1"/>
  <c r="D54" i="2"/>
  <c r="M54" i="2" s="1"/>
  <c r="C55" i="2"/>
  <c r="A56" i="2" l="1"/>
  <c r="B55" i="2"/>
  <c r="H55" i="2" s="1"/>
  <c r="L55" i="2" s="1"/>
  <c r="J44" i="2"/>
  <c r="K44" i="2" s="1"/>
  <c r="I44" i="2" s="1"/>
  <c r="G54" i="2"/>
  <c r="E54" i="2"/>
  <c r="F54" i="2" s="1"/>
  <c r="D55" i="2"/>
  <c r="M55" i="2" s="1"/>
  <c r="C56" i="2"/>
  <c r="A57" i="2" l="1"/>
  <c r="B56" i="2"/>
  <c r="H56" i="2" s="1"/>
  <c r="L56" i="2" s="1"/>
  <c r="J45" i="2"/>
  <c r="K45" i="2" s="1"/>
  <c r="I45" i="2" s="1"/>
  <c r="J46" i="2" s="1"/>
  <c r="K46" i="2" s="1"/>
  <c r="I46" i="2" s="1"/>
  <c r="M47" i="2" s="1"/>
  <c r="G55" i="2"/>
  <c r="E55" i="2"/>
  <c r="F55" i="2" s="1"/>
  <c r="D56" i="2"/>
  <c r="M56" i="2" s="1"/>
  <c r="C57" i="2"/>
  <c r="A58" i="2" l="1"/>
  <c r="B57" i="2"/>
  <c r="H57" i="2" s="1"/>
  <c r="L57" i="2" s="1"/>
  <c r="J47" i="2"/>
  <c r="K47" i="2" s="1"/>
  <c r="I47" i="2" s="1"/>
  <c r="G56" i="2"/>
  <c r="E56" i="2"/>
  <c r="F56" i="2" s="1"/>
  <c r="D57" i="2"/>
  <c r="M57" i="2" s="1"/>
  <c r="C58" i="2"/>
  <c r="A59" i="2" l="1"/>
  <c r="B58" i="2"/>
  <c r="H58" i="2" s="1"/>
  <c r="L58" i="2" s="1"/>
  <c r="J48" i="2"/>
  <c r="K48" i="2" s="1"/>
  <c r="I48" i="2" s="1"/>
  <c r="J49" i="2" s="1"/>
  <c r="K49" i="2" s="1"/>
  <c r="I49" i="2" s="1"/>
  <c r="G57" i="2"/>
  <c r="E57" i="2"/>
  <c r="F57" i="2" s="1"/>
  <c r="D58" i="2"/>
  <c r="M58" i="2" s="1"/>
  <c r="C59" i="2"/>
  <c r="A60" i="2" l="1"/>
  <c r="B59" i="2"/>
  <c r="H59" i="2" s="1"/>
  <c r="L59" i="2" s="1"/>
  <c r="J50" i="2"/>
  <c r="K50" i="2"/>
  <c r="G58" i="2"/>
  <c r="E58" i="2"/>
  <c r="F58" i="2" s="1"/>
  <c r="D59" i="2"/>
  <c r="M59" i="2" s="1"/>
  <c r="C60" i="2"/>
  <c r="A61" i="2" l="1"/>
  <c r="B60" i="2"/>
  <c r="H60" i="2" s="1"/>
  <c r="L60" i="2" s="1"/>
  <c r="I50" i="2"/>
  <c r="G59" i="2"/>
  <c r="E59" i="2"/>
  <c r="F59" i="2" s="1"/>
  <c r="D60" i="2"/>
  <c r="M60" i="2" s="1"/>
  <c r="C61" i="2"/>
  <c r="A62" i="2" l="1"/>
  <c r="B61" i="2"/>
  <c r="H61" i="2" s="1"/>
  <c r="L61" i="2" s="1"/>
  <c r="J51" i="2"/>
  <c r="K51" i="2" s="1"/>
  <c r="I51" i="2" s="1"/>
  <c r="G60" i="2"/>
  <c r="E60" i="2"/>
  <c r="F60" i="2" s="1"/>
  <c r="D61" i="2"/>
  <c r="M61" i="2" s="1"/>
  <c r="C62" i="2"/>
  <c r="A63" i="2" l="1"/>
  <c r="B62" i="2"/>
  <c r="H62" i="2" s="1"/>
  <c r="L62" i="2" s="1"/>
  <c r="J52" i="2"/>
  <c r="K52" i="2" s="1"/>
  <c r="I52" i="2" s="1"/>
  <c r="J53" i="2" s="1"/>
  <c r="K53" i="2" s="1"/>
  <c r="I53" i="2" s="1"/>
  <c r="G61" i="2"/>
  <c r="E61" i="2"/>
  <c r="F61" i="2" s="1"/>
  <c r="D62" i="2"/>
  <c r="M62" i="2" s="1"/>
  <c r="C63" i="2"/>
  <c r="A64" i="2" l="1"/>
  <c r="B63" i="2"/>
  <c r="H63" i="2" s="1"/>
  <c r="L63" i="2" s="1"/>
  <c r="J54" i="2"/>
  <c r="G62" i="2"/>
  <c r="E62" i="2"/>
  <c r="F62" i="2" s="1"/>
  <c r="D63" i="2"/>
  <c r="M63" i="2" s="1"/>
  <c r="C64" i="2"/>
  <c r="A65" i="2" l="1"/>
  <c r="B64" i="2"/>
  <c r="H64" i="2" s="1"/>
  <c r="L64" i="2" s="1"/>
  <c r="K54" i="2"/>
  <c r="I54" i="2" s="1"/>
  <c r="G63" i="2"/>
  <c r="E63" i="2"/>
  <c r="F63" i="2" s="1"/>
  <c r="D64" i="2"/>
  <c r="M64" i="2" s="1"/>
  <c r="C65" i="2"/>
  <c r="A66" i="2" l="1"/>
  <c r="B65" i="2"/>
  <c r="H65" i="2" s="1"/>
  <c r="L65" i="2" s="1"/>
  <c r="J55" i="2"/>
  <c r="K55" i="2" s="1"/>
  <c r="I55" i="2" s="1"/>
  <c r="G64" i="2"/>
  <c r="E64" i="2"/>
  <c r="F64" i="2" s="1"/>
  <c r="D65" i="2"/>
  <c r="M65" i="2" s="1"/>
  <c r="C66" i="2"/>
  <c r="A67" i="2" l="1"/>
  <c r="B66" i="2"/>
  <c r="H66" i="2" s="1"/>
  <c r="L66" i="2" s="1"/>
  <c r="J56" i="2"/>
  <c r="K56" i="2" s="1"/>
  <c r="G65" i="2"/>
  <c r="E65" i="2"/>
  <c r="F65" i="2" s="1"/>
  <c r="D66" i="2"/>
  <c r="M66" i="2" s="1"/>
  <c r="C67" i="2"/>
  <c r="A68" i="2" l="1"/>
  <c r="B67" i="2"/>
  <c r="H67" i="2" s="1"/>
  <c r="L67" i="2" s="1"/>
  <c r="I56" i="2"/>
  <c r="G66" i="2"/>
  <c r="E66" i="2"/>
  <c r="F66" i="2" s="1"/>
  <c r="D67" i="2"/>
  <c r="M67" i="2" s="1"/>
  <c r="C68" i="2"/>
  <c r="J57" i="2" l="1"/>
  <c r="A69" i="2"/>
  <c r="B68" i="2"/>
  <c r="H68" i="2" s="1"/>
  <c r="L68" i="2" s="1"/>
  <c r="G67" i="2"/>
  <c r="E67" i="2"/>
  <c r="F67" i="2" s="1"/>
  <c r="D68" i="2"/>
  <c r="M68" i="2" s="1"/>
  <c r="C69" i="2"/>
  <c r="K57" i="2" l="1"/>
  <c r="I57" i="2"/>
  <c r="A70" i="2"/>
  <c r="B69" i="2"/>
  <c r="H69" i="2" s="1"/>
  <c r="L69" i="2" s="1"/>
  <c r="G68" i="2"/>
  <c r="E68" i="2"/>
  <c r="F68" i="2" s="1"/>
  <c r="D69" i="2"/>
  <c r="M69" i="2" s="1"/>
  <c r="C70" i="2"/>
  <c r="J58" i="2" l="1"/>
  <c r="K58" i="2" s="1"/>
  <c r="I58" i="2" s="1"/>
  <c r="A71" i="2"/>
  <c r="B70" i="2"/>
  <c r="H70" i="2" s="1"/>
  <c r="L70" i="2" s="1"/>
  <c r="G69" i="2"/>
  <c r="E69" i="2"/>
  <c r="F69" i="2" s="1"/>
  <c r="D70" i="2"/>
  <c r="M70" i="2" s="1"/>
  <c r="C71" i="2"/>
  <c r="J59" i="2" l="1"/>
  <c r="I59" i="2" s="1"/>
  <c r="K59" i="2"/>
  <c r="A72" i="2"/>
  <c r="B71" i="2"/>
  <c r="H71" i="2" s="1"/>
  <c r="L71" i="2" s="1"/>
  <c r="G70" i="2"/>
  <c r="E70" i="2"/>
  <c r="F70" i="2" s="1"/>
  <c r="D71" i="2"/>
  <c r="M71" i="2" s="1"/>
  <c r="C72" i="2"/>
  <c r="J60" i="2" l="1"/>
  <c r="A73" i="2"/>
  <c r="B72" i="2"/>
  <c r="H72" i="2" s="1"/>
  <c r="L72" i="2" s="1"/>
  <c r="G71" i="2"/>
  <c r="E71" i="2"/>
  <c r="F71" i="2" s="1"/>
  <c r="D72" i="2"/>
  <c r="M72" i="2" s="1"/>
  <c r="C73" i="2"/>
  <c r="K60" i="2" l="1"/>
  <c r="I60" i="2"/>
  <c r="A74" i="2"/>
  <c r="B73" i="2"/>
  <c r="H73" i="2" s="1"/>
  <c r="L73" i="2" s="1"/>
  <c r="G72" i="2"/>
  <c r="E72" i="2"/>
  <c r="F72" i="2" s="1"/>
  <c r="D73" i="2"/>
  <c r="M73" i="2" s="1"/>
  <c r="C74" i="2"/>
  <c r="J61" i="2" l="1"/>
  <c r="K61" i="2"/>
  <c r="I61" i="2" s="1"/>
  <c r="A75" i="2"/>
  <c r="B74" i="2"/>
  <c r="H74" i="2" s="1"/>
  <c r="L74" i="2" s="1"/>
  <c r="G73" i="2"/>
  <c r="E73" i="2"/>
  <c r="F73" i="2" s="1"/>
  <c r="D74" i="2"/>
  <c r="M74" i="2" s="1"/>
  <c r="C75" i="2"/>
  <c r="J62" i="2" l="1"/>
  <c r="A76" i="2"/>
  <c r="B75" i="2"/>
  <c r="H75" i="2" s="1"/>
  <c r="L75" i="2" s="1"/>
  <c r="G74" i="2"/>
  <c r="E74" i="2"/>
  <c r="F74" i="2" s="1"/>
  <c r="D75" i="2"/>
  <c r="M75" i="2" s="1"/>
  <c r="C76" i="2"/>
  <c r="K62" i="2" l="1"/>
  <c r="I62" i="2"/>
  <c r="A77" i="2"/>
  <c r="B76" i="2"/>
  <c r="H76" i="2" s="1"/>
  <c r="L76" i="2" s="1"/>
  <c r="G75" i="2"/>
  <c r="E75" i="2"/>
  <c r="F75" i="2" s="1"/>
  <c r="D76" i="2"/>
  <c r="M76" i="2" s="1"/>
  <c r="C77" i="2"/>
  <c r="J63" i="2" l="1"/>
  <c r="K63" i="2" s="1"/>
  <c r="I63" i="2"/>
  <c r="A78" i="2"/>
  <c r="B77" i="2"/>
  <c r="H77" i="2" s="1"/>
  <c r="L77" i="2" s="1"/>
  <c r="G76" i="2"/>
  <c r="E76" i="2"/>
  <c r="F76" i="2" s="1"/>
  <c r="D77" i="2"/>
  <c r="M77" i="2" s="1"/>
  <c r="C78" i="2"/>
  <c r="J64" i="2" l="1"/>
  <c r="K64" i="2"/>
  <c r="I64" i="2" s="1"/>
  <c r="J65" i="2" s="1"/>
  <c r="K65" i="2" s="1"/>
  <c r="I65" i="2" s="1"/>
  <c r="A79" i="2"/>
  <c r="B78" i="2"/>
  <c r="H78" i="2" s="1"/>
  <c r="L78" i="2" s="1"/>
  <c r="G77" i="2"/>
  <c r="E77" i="2"/>
  <c r="F77" i="2" s="1"/>
  <c r="D78" i="2"/>
  <c r="M78" i="2" s="1"/>
  <c r="C79" i="2"/>
  <c r="J66" i="2" l="1"/>
  <c r="A80" i="2"/>
  <c r="B79" i="2"/>
  <c r="H79" i="2" s="1"/>
  <c r="L79" i="2" s="1"/>
  <c r="G78" i="2"/>
  <c r="E78" i="2"/>
  <c r="F78" i="2" s="1"/>
  <c r="D79" i="2"/>
  <c r="M79" i="2" s="1"/>
  <c r="C80" i="2"/>
  <c r="K66" i="2" l="1"/>
  <c r="I66" i="2" s="1"/>
  <c r="A81" i="2"/>
  <c r="B80" i="2"/>
  <c r="H80" i="2" s="1"/>
  <c r="L80" i="2" s="1"/>
  <c r="G79" i="2"/>
  <c r="E79" i="2"/>
  <c r="F79" i="2" s="1"/>
  <c r="D80" i="2"/>
  <c r="M80" i="2" s="1"/>
  <c r="C81" i="2"/>
  <c r="J67" i="2" l="1"/>
  <c r="K67" i="2"/>
  <c r="I67" i="2" s="1"/>
  <c r="J68" i="2" s="1"/>
  <c r="K68" i="2" s="1"/>
  <c r="I68" i="2" s="1"/>
  <c r="A82" i="2"/>
  <c r="B81" i="2"/>
  <c r="H81" i="2" s="1"/>
  <c r="L81" i="2" s="1"/>
  <c r="G80" i="2"/>
  <c r="E80" i="2"/>
  <c r="F80" i="2" s="1"/>
  <c r="D81" i="2"/>
  <c r="M81" i="2" s="1"/>
  <c r="C82" i="2"/>
  <c r="J69" i="2" l="1"/>
  <c r="K69" i="2" s="1"/>
  <c r="I69" i="2" s="1"/>
  <c r="A83" i="2"/>
  <c r="B82" i="2"/>
  <c r="H82" i="2" s="1"/>
  <c r="L82" i="2" s="1"/>
  <c r="G81" i="2"/>
  <c r="E81" i="2"/>
  <c r="F81" i="2" s="1"/>
  <c r="D82" i="2"/>
  <c r="M82" i="2" s="1"/>
  <c r="C83" i="2"/>
  <c r="J70" i="2" l="1"/>
  <c r="K70" i="2" s="1"/>
  <c r="I70" i="2" s="1"/>
  <c r="J71" i="2" s="1"/>
  <c r="K71" i="2" s="1"/>
  <c r="I71" i="2" s="1"/>
  <c r="A84" i="2"/>
  <c r="B83" i="2"/>
  <c r="H83" i="2" s="1"/>
  <c r="L83" i="2" s="1"/>
  <c r="G82" i="2"/>
  <c r="E82" i="2"/>
  <c r="F82" i="2" s="1"/>
  <c r="D83" i="2"/>
  <c r="M83" i="2" s="1"/>
  <c r="C84" i="2"/>
  <c r="A85" i="2" l="1"/>
  <c r="B84" i="2"/>
  <c r="H84" i="2" s="1"/>
  <c r="L84" i="2" s="1"/>
  <c r="J72" i="2"/>
  <c r="K72" i="2"/>
  <c r="G83" i="2"/>
  <c r="E83" i="2"/>
  <c r="F83" i="2" s="1"/>
  <c r="D84" i="2"/>
  <c r="M84" i="2" s="1"/>
  <c r="C85" i="2"/>
  <c r="A86" i="2" l="1"/>
  <c r="B85" i="2"/>
  <c r="H85" i="2" s="1"/>
  <c r="L85" i="2" s="1"/>
  <c r="I72" i="2"/>
  <c r="J73" i="2"/>
  <c r="K73" i="2"/>
  <c r="G84" i="2"/>
  <c r="E84" i="2"/>
  <c r="F84" i="2" s="1"/>
  <c r="D85" i="2"/>
  <c r="M85" i="2" s="1"/>
  <c r="C86" i="2"/>
  <c r="A87" i="2" l="1"/>
  <c r="B86" i="2"/>
  <c r="H86" i="2" s="1"/>
  <c r="L86" i="2" s="1"/>
  <c r="I73" i="2"/>
  <c r="G85" i="2"/>
  <c r="E85" i="2"/>
  <c r="F85" i="2" s="1"/>
  <c r="D86" i="2"/>
  <c r="M86" i="2" s="1"/>
  <c r="C87" i="2"/>
  <c r="A88" i="2" l="1"/>
  <c r="B87" i="2"/>
  <c r="H87" i="2" s="1"/>
  <c r="L87" i="2" s="1"/>
  <c r="J74" i="2"/>
  <c r="K74" i="2"/>
  <c r="G86" i="2"/>
  <c r="E86" i="2"/>
  <c r="F86" i="2" s="1"/>
  <c r="D87" i="2"/>
  <c r="M87" i="2" s="1"/>
  <c r="C88" i="2"/>
  <c r="I74" i="2" l="1"/>
  <c r="A89" i="2"/>
  <c r="B88" i="2"/>
  <c r="H88" i="2" s="1"/>
  <c r="L88" i="2" s="1"/>
  <c r="G87" i="2"/>
  <c r="E87" i="2"/>
  <c r="F87" i="2" s="1"/>
  <c r="D88" i="2"/>
  <c r="M88" i="2" s="1"/>
  <c r="C89" i="2"/>
  <c r="J75" i="2" l="1"/>
  <c r="K75" i="2"/>
  <c r="I75" i="2" s="1"/>
  <c r="A90" i="2"/>
  <c r="B89" i="2"/>
  <c r="H89" i="2" s="1"/>
  <c r="L89" i="2" s="1"/>
  <c r="J76" i="2"/>
  <c r="K76" i="2" s="1"/>
  <c r="I76" i="2" s="1"/>
  <c r="G88" i="2"/>
  <c r="E88" i="2"/>
  <c r="F88" i="2" s="1"/>
  <c r="D89" i="2"/>
  <c r="M89" i="2" s="1"/>
  <c r="C90" i="2"/>
  <c r="A91" i="2" l="1"/>
  <c r="B90" i="2"/>
  <c r="H90" i="2" s="1"/>
  <c r="L90" i="2" s="1"/>
  <c r="J77" i="2"/>
  <c r="K77" i="2"/>
  <c r="G89" i="2"/>
  <c r="E89" i="2"/>
  <c r="F89" i="2" s="1"/>
  <c r="D90" i="2"/>
  <c r="M90" i="2" s="1"/>
  <c r="C91" i="2"/>
  <c r="A92" i="2" l="1"/>
  <c r="B91" i="2"/>
  <c r="H91" i="2" s="1"/>
  <c r="L91" i="2" s="1"/>
  <c r="I77" i="2"/>
  <c r="G90" i="2"/>
  <c r="E90" i="2"/>
  <c r="F90" i="2" s="1"/>
  <c r="D91" i="2"/>
  <c r="M91" i="2" s="1"/>
  <c r="C92" i="2"/>
  <c r="J78" i="2" l="1"/>
  <c r="I78" i="2" s="1"/>
  <c r="K78" i="2"/>
  <c r="A93" i="2"/>
  <c r="B92" i="2"/>
  <c r="H92" i="2" s="1"/>
  <c r="L92" i="2" s="1"/>
  <c r="G91" i="2"/>
  <c r="E91" i="2"/>
  <c r="F91" i="2" s="1"/>
  <c r="D92" i="2"/>
  <c r="M92" i="2" s="1"/>
  <c r="C93" i="2"/>
  <c r="J79" i="2" l="1"/>
  <c r="K79" i="2" s="1"/>
  <c r="I79" i="2" s="1"/>
  <c r="J80" i="2" s="1"/>
  <c r="A94" i="2"/>
  <c r="B93" i="2"/>
  <c r="H93" i="2" s="1"/>
  <c r="L93" i="2" s="1"/>
  <c r="G92" i="2"/>
  <c r="E92" i="2"/>
  <c r="F92" i="2" s="1"/>
  <c r="D93" i="2"/>
  <c r="M93" i="2" s="1"/>
  <c r="C94" i="2"/>
  <c r="A95" i="2" l="1"/>
  <c r="B94" i="2"/>
  <c r="H94" i="2" s="1"/>
  <c r="L94" i="2" s="1"/>
  <c r="K80" i="2"/>
  <c r="I80" i="2" s="1"/>
  <c r="G93" i="2"/>
  <c r="E93" i="2"/>
  <c r="F93" i="2" s="1"/>
  <c r="D94" i="2"/>
  <c r="M94" i="2" s="1"/>
  <c r="C95" i="2"/>
  <c r="A96" i="2" l="1"/>
  <c r="B95" i="2"/>
  <c r="H95" i="2" s="1"/>
  <c r="L95" i="2" s="1"/>
  <c r="J81" i="2"/>
  <c r="K81" i="2" s="1"/>
  <c r="I81" i="2" s="1"/>
  <c r="G94" i="2"/>
  <c r="E94" i="2"/>
  <c r="F94" i="2" s="1"/>
  <c r="D95" i="2"/>
  <c r="M95" i="2" s="1"/>
  <c r="C96" i="2"/>
  <c r="A97" i="2" l="1"/>
  <c r="B96" i="2"/>
  <c r="H96" i="2" s="1"/>
  <c r="L96" i="2" s="1"/>
  <c r="J82" i="2"/>
  <c r="G95" i="2"/>
  <c r="E95" i="2"/>
  <c r="F95" i="2" s="1"/>
  <c r="D96" i="2"/>
  <c r="M96" i="2" s="1"/>
  <c r="C97" i="2"/>
  <c r="A98" i="2" l="1"/>
  <c r="B97" i="2"/>
  <c r="H97" i="2" s="1"/>
  <c r="L97" i="2" s="1"/>
  <c r="K82" i="2"/>
  <c r="I82" i="2" s="1"/>
  <c r="G96" i="2"/>
  <c r="E96" i="2"/>
  <c r="F96" i="2" s="1"/>
  <c r="D97" i="2"/>
  <c r="M97" i="2" s="1"/>
  <c r="C98" i="2"/>
  <c r="A99" i="2" l="1"/>
  <c r="B98" i="2"/>
  <c r="H98" i="2" s="1"/>
  <c r="L98" i="2" s="1"/>
  <c r="J83" i="2"/>
  <c r="K83" i="2" s="1"/>
  <c r="I83" i="2" s="1"/>
  <c r="G97" i="2"/>
  <c r="E97" i="2"/>
  <c r="F97" i="2" s="1"/>
  <c r="D98" i="2"/>
  <c r="M98" i="2" s="1"/>
  <c r="C99" i="2"/>
  <c r="A100" i="2" l="1"/>
  <c r="B99" i="2"/>
  <c r="H99" i="2" s="1"/>
  <c r="L99" i="2" s="1"/>
  <c r="J84" i="2"/>
  <c r="K84" i="2"/>
  <c r="G98" i="2"/>
  <c r="E98" i="2"/>
  <c r="F98" i="2" s="1"/>
  <c r="D99" i="2"/>
  <c r="M99" i="2" s="1"/>
  <c r="C100" i="2"/>
  <c r="A101" i="2" l="1"/>
  <c r="B100" i="2"/>
  <c r="H100" i="2" s="1"/>
  <c r="L100" i="2" s="1"/>
  <c r="I84" i="2"/>
  <c r="J85" i="2"/>
  <c r="K85" i="2" s="1"/>
  <c r="G99" i="2"/>
  <c r="E99" i="2"/>
  <c r="F99" i="2" s="1"/>
  <c r="D100" i="2"/>
  <c r="M100" i="2" s="1"/>
  <c r="C101" i="2"/>
  <c r="A102" i="2" l="1"/>
  <c r="B101" i="2"/>
  <c r="H101" i="2" s="1"/>
  <c r="L101" i="2" s="1"/>
  <c r="I85" i="2"/>
  <c r="G100" i="2"/>
  <c r="E100" i="2"/>
  <c r="F100" i="2" s="1"/>
  <c r="D101" i="2"/>
  <c r="M101" i="2" s="1"/>
  <c r="C102" i="2"/>
  <c r="A103" i="2" l="1"/>
  <c r="B102" i="2"/>
  <c r="H102" i="2" s="1"/>
  <c r="L102" i="2" s="1"/>
  <c r="J86" i="2"/>
  <c r="K86" i="2"/>
  <c r="G101" i="2"/>
  <c r="E101" i="2"/>
  <c r="F101" i="2" s="1"/>
  <c r="D102" i="2"/>
  <c r="M102" i="2" s="1"/>
  <c r="C103" i="2"/>
  <c r="I86" i="2" l="1"/>
  <c r="A104" i="2"/>
  <c r="B103" i="2"/>
  <c r="H103" i="2" s="1"/>
  <c r="L103" i="2" s="1"/>
  <c r="J87" i="2"/>
  <c r="K87" i="2" s="1"/>
  <c r="I87" i="2" s="1"/>
  <c r="G102" i="2"/>
  <c r="E102" i="2"/>
  <c r="F102" i="2" s="1"/>
  <c r="D103" i="2"/>
  <c r="M103" i="2" s="1"/>
  <c r="C104" i="2"/>
  <c r="A105" i="2" l="1"/>
  <c r="B104" i="2"/>
  <c r="H104" i="2" s="1"/>
  <c r="L104" i="2" s="1"/>
  <c r="J88" i="2"/>
  <c r="K88" i="2" s="1"/>
  <c r="I88" i="2" s="1"/>
  <c r="G103" i="2"/>
  <c r="E103" i="2"/>
  <c r="F103" i="2" s="1"/>
  <c r="D104" i="2"/>
  <c r="M104" i="2" s="1"/>
  <c r="C105" i="2"/>
  <c r="A106" i="2" l="1"/>
  <c r="B105" i="2"/>
  <c r="H105" i="2" s="1"/>
  <c r="L105" i="2" s="1"/>
  <c r="J89" i="2"/>
  <c r="G104" i="2"/>
  <c r="E104" i="2"/>
  <c r="F104" i="2" s="1"/>
  <c r="D105" i="2"/>
  <c r="M105" i="2" s="1"/>
  <c r="C106" i="2"/>
  <c r="A107" i="2" l="1"/>
  <c r="B106" i="2"/>
  <c r="H106" i="2" s="1"/>
  <c r="L106" i="2" s="1"/>
  <c r="K89" i="2"/>
  <c r="I89" i="2" s="1"/>
  <c r="G105" i="2"/>
  <c r="E105" i="2"/>
  <c r="F105" i="2" s="1"/>
  <c r="D106" i="2"/>
  <c r="M106" i="2" s="1"/>
  <c r="C107" i="2"/>
  <c r="A108" i="2" l="1"/>
  <c r="B107" i="2"/>
  <c r="H107" i="2" s="1"/>
  <c r="L107" i="2" s="1"/>
  <c r="J90" i="2"/>
  <c r="K90" i="2" s="1"/>
  <c r="I90" i="2" s="1"/>
  <c r="G106" i="2"/>
  <c r="E106" i="2"/>
  <c r="F106" i="2" s="1"/>
  <c r="D107" i="2"/>
  <c r="M107" i="2" s="1"/>
  <c r="C108" i="2"/>
  <c r="A109" i="2" l="1"/>
  <c r="B108" i="2"/>
  <c r="H108" i="2" s="1"/>
  <c r="L108" i="2" s="1"/>
  <c r="J91" i="2"/>
  <c r="G107" i="2"/>
  <c r="E107" i="2"/>
  <c r="F107" i="2" s="1"/>
  <c r="D108" i="2"/>
  <c r="M108" i="2" s="1"/>
  <c r="C109" i="2"/>
  <c r="A110" i="2" l="1"/>
  <c r="B109" i="2"/>
  <c r="H109" i="2" s="1"/>
  <c r="L109" i="2" s="1"/>
  <c r="K91" i="2"/>
  <c r="I91" i="2" s="1"/>
  <c r="G108" i="2"/>
  <c r="E108" i="2"/>
  <c r="F108" i="2" s="1"/>
  <c r="D109" i="2"/>
  <c r="M109" i="2" s="1"/>
  <c r="C110" i="2"/>
  <c r="A111" i="2" l="1"/>
  <c r="B110" i="2"/>
  <c r="H110" i="2" s="1"/>
  <c r="L110" i="2" s="1"/>
  <c r="J92" i="2"/>
  <c r="K92" i="2" s="1"/>
  <c r="I92" i="2" s="1"/>
  <c r="G109" i="2"/>
  <c r="E109" i="2"/>
  <c r="F109" i="2" s="1"/>
  <c r="D110" i="2"/>
  <c r="M110" i="2" s="1"/>
  <c r="C111" i="2"/>
  <c r="A112" i="2" l="1"/>
  <c r="B111" i="2"/>
  <c r="H111" i="2" s="1"/>
  <c r="L111" i="2" s="1"/>
  <c r="J93" i="2"/>
  <c r="G110" i="2"/>
  <c r="E110" i="2"/>
  <c r="F110" i="2" s="1"/>
  <c r="D111" i="2"/>
  <c r="M111" i="2" s="1"/>
  <c r="C112" i="2"/>
  <c r="A113" i="2" l="1"/>
  <c r="B112" i="2"/>
  <c r="H112" i="2" s="1"/>
  <c r="L112" i="2" s="1"/>
  <c r="K93" i="2"/>
  <c r="I93" i="2" s="1"/>
  <c r="G111" i="2"/>
  <c r="E111" i="2"/>
  <c r="F111" i="2" s="1"/>
  <c r="D112" i="2"/>
  <c r="M112" i="2" s="1"/>
  <c r="C113" i="2"/>
  <c r="A114" i="2" l="1"/>
  <c r="B113" i="2"/>
  <c r="H113" i="2" s="1"/>
  <c r="L113" i="2" s="1"/>
  <c r="J94" i="2"/>
  <c r="K94" i="2"/>
  <c r="I94" i="2" s="1"/>
  <c r="G112" i="2"/>
  <c r="E112" i="2"/>
  <c r="F112" i="2" s="1"/>
  <c r="D113" i="2"/>
  <c r="M113" i="2" s="1"/>
  <c r="C114" i="2"/>
  <c r="A115" i="2" l="1"/>
  <c r="B114" i="2"/>
  <c r="H114" i="2" s="1"/>
  <c r="L114" i="2" s="1"/>
  <c r="J95" i="2"/>
  <c r="K95" i="2"/>
  <c r="G113" i="2"/>
  <c r="E113" i="2"/>
  <c r="F113" i="2" s="1"/>
  <c r="D114" i="2"/>
  <c r="M114" i="2" s="1"/>
  <c r="C115" i="2"/>
  <c r="A116" i="2" l="1"/>
  <c r="B115" i="2"/>
  <c r="H115" i="2" s="1"/>
  <c r="L115" i="2" s="1"/>
  <c r="I95" i="2"/>
  <c r="G114" i="2"/>
  <c r="E114" i="2"/>
  <c r="F114" i="2" s="1"/>
  <c r="D115" i="2"/>
  <c r="M115" i="2" s="1"/>
  <c r="C116" i="2"/>
  <c r="A117" i="2" l="1"/>
  <c r="B116" i="2"/>
  <c r="H116" i="2" s="1"/>
  <c r="L116" i="2" s="1"/>
  <c r="J96" i="2"/>
  <c r="K96" i="2" s="1"/>
  <c r="I96" i="2" s="1"/>
  <c r="G115" i="2"/>
  <c r="E115" i="2"/>
  <c r="F115" i="2" s="1"/>
  <c r="D116" i="2"/>
  <c r="M116" i="2" s="1"/>
  <c r="C117" i="2"/>
  <c r="A118" i="2" l="1"/>
  <c r="B117" i="2"/>
  <c r="H117" i="2" s="1"/>
  <c r="L117" i="2" s="1"/>
  <c r="J97" i="2"/>
  <c r="K97" i="2" s="1"/>
  <c r="G116" i="2"/>
  <c r="E116" i="2"/>
  <c r="F116" i="2" s="1"/>
  <c r="D117" i="2"/>
  <c r="M117" i="2" s="1"/>
  <c r="C118" i="2"/>
  <c r="A119" i="2" l="1"/>
  <c r="B118" i="2"/>
  <c r="H118" i="2" s="1"/>
  <c r="L118" i="2" s="1"/>
  <c r="I97" i="2"/>
  <c r="G117" i="2"/>
  <c r="E117" i="2"/>
  <c r="F117" i="2" s="1"/>
  <c r="D118" i="2"/>
  <c r="M118" i="2" s="1"/>
  <c r="C119" i="2"/>
  <c r="A120" i="2" l="1"/>
  <c r="B119" i="2"/>
  <c r="H119" i="2" s="1"/>
  <c r="L119" i="2" s="1"/>
  <c r="J98" i="2"/>
  <c r="G118" i="2"/>
  <c r="E118" i="2"/>
  <c r="F118" i="2" s="1"/>
  <c r="D119" i="2"/>
  <c r="M119" i="2" s="1"/>
  <c r="C120" i="2"/>
  <c r="A121" i="2" l="1"/>
  <c r="B120" i="2"/>
  <c r="H120" i="2" s="1"/>
  <c r="L120" i="2" s="1"/>
  <c r="K98" i="2"/>
  <c r="I98" i="2"/>
  <c r="G119" i="2"/>
  <c r="E119" i="2"/>
  <c r="F119" i="2" s="1"/>
  <c r="D120" i="2"/>
  <c r="M120" i="2" s="1"/>
  <c r="C121" i="2"/>
  <c r="A122" i="2" l="1"/>
  <c r="B121" i="2"/>
  <c r="H121" i="2" s="1"/>
  <c r="L121" i="2" s="1"/>
  <c r="J99" i="2"/>
  <c r="G120" i="2"/>
  <c r="E120" i="2"/>
  <c r="F120" i="2" s="1"/>
  <c r="D121" i="2"/>
  <c r="M121" i="2" s="1"/>
  <c r="C122" i="2"/>
  <c r="A123" i="2" l="1"/>
  <c r="B122" i="2"/>
  <c r="H122" i="2" s="1"/>
  <c r="L122" i="2" s="1"/>
  <c r="K99" i="2"/>
  <c r="I99" i="2" s="1"/>
  <c r="G121" i="2"/>
  <c r="E121" i="2"/>
  <c r="F121" i="2" s="1"/>
  <c r="D122" i="2"/>
  <c r="M122" i="2" s="1"/>
  <c r="C123" i="2"/>
  <c r="A124" i="2" l="1"/>
  <c r="B123" i="2"/>
  <c r="H123" i="2" s="1"/>
  <c r="L123" i="2" s="1"/>
  <c r="J100" i="2"/>
  <c r="G122" i="2"/>
  <c r="E122" i="2"/>
  <c r="F122" i="2" s="1"/>
  <c r="D123" i="2"/>
  <c r="M123" i="2" s="1"/>
  <c r="C124" i="2"/>
  <c r="A125" i="2" l="1"/>
  <c r="B124" i="2"/>
  <c r="H124" i="2" s="1"/>
  <c r="L124" i="2" s="1"/>
  <c r="K100" i="2"/>
  <c r="I100" i="2" s="1"/>
  <c r="G123" i="2"/>
  <c r="E123" i="2"/>
  <c r="F123" i="2" s="1"/>
  <c r="D124" i="2"/>
  <c r="M124" i="2" s="1"/>
  <c r="C125" i="2"/>
  <c r="A126" i="2" l="1"/>
  <c r="B125" i="2"/>
  <c r="H125" i="2" s="1"/>
  <c r="L125" i="2" s="1"/>
  <c r="J101" i="2"/>
  <c r="K101" i="2"/>
  <c r="I101" i="2" s="1"/>
  <c r="G124" i="2"/>
  <c r="E124" i="2"/>
  <c r="F124" i="2" s="1"/>
  <c r="D125" i="2"/>
  <c r="M125" i="2" s="1"/>
  <c r="C126" i="2"/>
  <c r="A127" i="2" l="1"/>
  <c r="B126" i="2"/>
  <c r="H126" i="2" s="1"/>
  <c r="L126" i="2" s="1"/>
  <c r="J102" i="2"/>
  <c r="G125" i="2"/>
  <c r="E125" i="2"/>
  <c r="F125" i="2" s="1"/>
  <c r="D126" i="2"/>
  <c r="M126" i="2" s="1"/>
  <c r="C127" i="2"/>
  <c r="A128" i="2" l="1"/>
  <c r="B127" i="2"/>
  <c r="H127" i="2" s="1"/>
  <c r="L127" i="2" s="1"/>
  <c r="K102" i="2"/>
  <c r="I102" i="2"/>
  <c r="J103" i="2" s="1"/>
  <c r="K103" i="2" s="1"/>
  <c r="I103" i="2" s="1"/>
  <c r="G126" i="2"/>
  <c r="E126" i="2"/>
  <c r="F126" i="2" s="1"/>
  <c r="D127" i="2"/>
  <c r="M127" i="2" s="1"/>
  <c r="C128" i="2"/>
  <c r="A129" i="2" l="1"/>
  <c r="B128" i="2"/>
  <c r="H128" i="2" s="1"/>
  <c r="L128" i="2" s="1"/>
  <c r="J104" i="2"/>
  <c r="K104" i="2"/>
  <c r="I104" i="2"/>
  <c r="G127" i="2"/>
  <c r="E127" i="2"/>
  <c r="F127" i="2" s="1"/>
  <c r="D128" i="2"/>
  <c r="M128" i="2" s="1"/>
  <c r="C129" i="2"/>
  <c r="A130" i="2" l="1"/>
  <c r="B129" i="2"/>
  <c r="H129" i="2" s="1"/>
  <c r="L129" i="2" s="1"/>
  <c r="J105" i="2"/>
  <c r="K105" i="2" s="1"/>
  <c r="I105" i="2" s="1"/>
  <c r="G128" i="2"/>
  <c r="E128" i="2"/>
  <c r="F128" i="2" s="1"/>
  <c r="D129" i="2"/>
  <c r="M129" i="2" s="1"/>
  <c r="C130" i="2"/>
  <c r="A131" i="2" l="1"/>
  <c r="B130" i="2"/>
  <c r="H130" i="2" s="1"/>
  <c r="L130" i="2" s="1"/>
  <c r="J106" i="2"/>
  <c r="G129" i="2"/>
  <c r="E129" i="2"/>
  <c r="F129" i="2" s="1"/>
  <c r="D130" i="2"/>
  <c r="M130" i="2" s="1"/>
  <c r="C131" i="2"/>
  <c r="A132" i="2" l="1"/>
  <c r="B131" i="2"/>
  <c r="H131" i="2" s="1"/>
  <c r="L131" i="2" s="1"/>
  <c r="K106" i="2"/>
  <c r="I106" i="2" s="1"/>
  <c r="G130" i="2"/>
  <c r="E130" i="2"/>
  <c r="F130" i="2" s="1"/>
  <c r="D131" i="2"/>
  <c r="M131" i="2" s="1"/>
  <c r="C132" i="2"/>
  <c r="A133" i="2" l="1"/>
  <c r="B132" i="2"/>
  <c r="H132" i="2" s="1"/>
  <c r="L132" i="2" s="1"/>
  <c r="J107" i="2"/>
  <c r="K107" i="2"/>
  <c r="I107" i="2"/>
  <c r="G131" i="2"/>
  <c r="E131" i="2"/>
  <c r="F131" i="2" s="1"/>
  <c r="D132" i="2"/>
  <c r="M132" i="2" s="1"/>
  <c r="C133" i="2"/>
  <c r="A134" i="2" l="1"/>
  <c r="B133" i="2"/>
  <c r="H133" i="2" s="1"/>
  <c r="L133" i="2" s="1"/>
  <c r="J108" i="2"/>
  <c r="K108" i="2"/>
  <c r="G132" i="2"/>
  <c r="E132" i="2"/>
  <c r="F132" i="2" s="1"/>
  <c r="D133" i="2"/>
  <c r="M133" i="2" s="1"/>
  <c r="C134" i="2"/>
  <c r="I108" i="2" l="1"/>
  <c r="A135" i="2"/>
  <c r="B134" i="2"/>
  <c r="H134" i="2" s="1"/>
  <c r="L134" i="2" s="1"/>
  <c r="J109" i="2"/>
  <c r="G133" i="2"/>
  <c r="E133" i="2"/>
  <c r="F133" i="2" s="1"/>
  <c r="D134" i="2"/>
  <c r="M134" i="2" s="1"/>
  <c r="C135" i="2"/>
  <c r="A136" i="2" l="1"/>
  <c r="B135" i="2"/>
  <c r="H135" i="2" s="1"/>
  <c r="L135" i="2" s="1"/>
  <c r="K109" i="2"/>
  <c r="I109" i="2"/>
  <c r="J110" i="2" s="1"/>
  <c r="K110" i="2" s="1"/>
  <c r="I110" i="2" s="1"/>
  <c r="G134" i="2"/>
  <c r="E134" i="2"/>
  <c r="F134" i="2" s="1"/>
  <c r="D135" i="2"/>
  <c r="M135" i="2" s="1"/>
  <c r="C136" i="2"/>
  <c r="A137" i="2" l="1"/>
  <c r="B136" i="2"/>
  <c r="H136" i="2" s="1"/>
  <c r="L136" i="2" s="1"/>
  <c r="J111" i="2"/>
  <c r="K111" i="2"/>
  <c r="I111" i="2"/>
  <c r="G135" i="2"/>
  <c r="E135" i="2"/>
  <c r="F135" i="2" s="1"/>
  <c r="D136" i="2"/>
  <c r="M136" i="2" s="1"/>
  <c r="C137" i="2"/>
  <c r="A138" i="2" l="1"/>
  <c r="B137" i="2"/>
  <c r="H137" i="2" s="1"/>
  <c r="L137" i="2" s="1"/>
  <c r="J112" i="2"/>
  <c r="G136" i="2"/>
  <c r="E136" i="2"/>
  <c r="F136" i="2" s="1"/>
  <c r="D137" i="2"/>
  <c r="M137" i="2" s="1"/>
  <c r="C138" i="2"/>
  <c r="A139" i="2" l="1"/>
  <c r="B138" i="2"/>
  <c r="H138" i="2" s="1"/>
  <c r="L138" i="2" s="1"/>
  <c r="K112" i="2"/>
  <c r="I112" i="2" s="1"/>
  <c r="G137" i="2"/>
  <c r="E137" i="2"/>
  <c r="F137" i="2" s="1"/>
  <c r="D138" i="2"/>
  <c r="M138" i="2" s="1"/>
  <c r="C139" i="2"/>
  <c r="A140" i="2" l="1"/>
  <c r="B139" i="2"/>
  <c r="H139" i="2" s="1"/>
  <c r="L139" i="2" s="1"/>
  <c r="J113" i="2"/>
  <c r="I113" i="2" s="1"/>
  <c r="K113" i="2"/>
  <c r="G138" i="2"/>
  <c r="E138" i="2"/>
  <c r="F138" i="2" s="1"/>
  <c r="D139" i="2"/>
  <c r="M139" i="2" s="1"/>
  <c r="C140" i="2"/>
  <c r="A141" i="2" l="1"/>
  <c r="B140" i="2"/>
  <c r="H140" i="2" s="1"/>
  <c r="L140" i="2" s="1"/>
  <c r="J114" i="2"/>
  <c r="G139" i="2"/>
  <c r="E139" i="2"/>
  <c r="F139" i="2" s="1"/>
  <c r="D140" i="2"/>
  <c r="M140" i="2" s="1"/>
  <c r="C141" i="2"/>
  <c r="A142" i="2" l="1"/>
  <c r="B141" i="2"/>
  <c r="H141" i="2" s="1"/>
  <c r="L141" i="2" s="1"/>
  <c r="K114" i="2"/>
  <c r="I114" i="2" s="1"/>
  <c r="G140" i="2"/>
  <c r="E140" i="2"/>
  <c r="F140" i="2" s="1"/>
  <c r="D141" i="2"/>
  <c r="M141" i="2" s="1"/>
  <c r="C142" i="2"/>
  <c r="A143" i="2" l="1"/>
  <c r="B142" i="2"/>
  <c r="H142" i="2" s="1"/>
  <c r="L142" i="2" s="1"/>
  <c r="J115" i="2"/>
  <c r="K115" i="2"/>
  <c r="I115" i="2" s="1"/>
  <c r="J116" i="2" s="1"/>
  <c r="K116" i="2" s="1"/>
  <c r="I116" i="2" s="1"/>
  <c r="G141" i="2"/>
  <c r="E141" i="2"/>
  <c r="F141" i="2" s="1"/>
  <c r="D142" i="2"/>
  <c r="M142" i="2" s="1"/>
  <c r="C143" i="2"/>
  <c r="B143" i="2" l="1"/>
  <c r="H143" i="2" s="1"/>
  <c r="L143" i="2" s="1"/>
  <c r="A144" i="2"/>
  <c r="J117" i="2"/>
  <c r="G142" i="2"/>
  <c r="E142" i="2"/>
  <c r="F142" i="2" s="1"/>
  <c r="D143" i="2"/>
  <c r="M143" i="2" s="1"/>
  <c r="C144" i="2"/>
  <c r="A145" i="2" l="1"/>
  <c r="B144" i="2"/>
  <c r="H144" i="2" s="1"/>
  <c r="L144" i="2" s="1"/>
  <c r="K117" i="2"/>
  <c r="I117" i="2" s="1"/>
  <c r="G143" i="2"/>
  <c r="E143" i="2"/>
  <c r="F143" i="2" s="1"/>
  <c r="D144" i="2"/>
  <c r="M144" i="2" s="1"/>
  <c r="C145" i="2"/>
  <c r="A146" i="2" l="1"/>
  <c r="B145" i="2"/>
  <c r="H145" i="2" s="1"/>
  <c r="L145" i="2" s="1"/>
  <c r="J118" i="2"/>
  <c r="K118" i="2" s="1"/>
  <c r="I118" i="2" s="1"/>
  <c r="G144" i="2"/>
  <c r="E144" i="2"/>
  <c r="F144" i="2" s="1"/>
  <c r="D145" i="2"/>
  <c r="M145" i="2" s="1"/>
  <c r="C146" i="2"/>
  <c r="A147" i="2" l="1"/>
  <c r="B146" i="2"/>
  <c r="H146" i="2" s="1"/>
  <c r="L146" i="2" s="1"/>
  <c r="J119" i="2"/>
  <c r="G145" i="2"/>
  <c r="E145" i="2"/>
  <c r="F145" i="2" s="1"/>
  <c r="D146" i="2"/>
  <c r="M146" i="2" s="1"/>
  <c r="C147" i="2"/>
  <c r="A148" i="2" l="1"/>
  <c r="B147" i="2"/>
  <c r="H147" i="2" s="1"/>
  <c r="L147" i="2" s="1"/>
  <c r="K119" i="2"/>
  <c r="I119" i="2" s="1"/>
  <c r="G146" i="2"/>
  <c r="E146" i="2"/>
  <c r="F146" i="2" s="1"/>
  <c r="D147" i="2"/>
  <c r="M147" i="2" s="1"/>
  <c r="C148" i="2"/>
  <c r="A149" i="2" l="1"/>
  <c r="B148" i="2"/>
  <c r="H148" i="2" s="1"/>
  <c r="L148" i="2" s="1"/>
  <c r="J120" i="2"/>
  <c r="K120" i="2"/>
  <c r="I120" i="2"/>
  <c r="G147" i="2"/>
  <c r="E147" i="2"/>
  <c r="F147" i="2" s="1"/>
  <c r="D148" i="2"/>
  <c r="M148" i="2" s="1"/>
  <c r="C149" i="2"/>
  <c r="A150" i="2" l="1"/>
  <c r="B149" i="2"/>
  <c r="H149" i="2" s="1"/>
  <c r="L149" i="2" s="1"/>
  <c r="J121" i="2"/>
  <c r="G148" i="2"/>
  <c r="E148" i="2"/>
  <c r="F148" i="2" s="1"/>
  <c r="D149" i="2"/>
  <c r="M149" i="2" s="1"/>
  <c r="C150" i="2"/>
  <c r="A151" i="2" l="1"/>
  <c r="B150" i="2"/>
  <c r="H150" i="2" s="1"/>
  <c r="L150" i="2" s="1"/>
  <c r="K121" i="2"/>
  <c r="I121" i="2" s="1"/>
  <c r="G149" i="2"/>
  <c r="E149" i="2"/>
  <c r="F149" i="2" s="1"/>
  <c r="D150" i="2"/>
  <c r="M150" i="2" s="1"/>
  <c r="C151" i="2"/>
  <c r="A152" i="2" l="1"/>
  <c r="B151" i="2"/>
  <c r="H151" i="2" s="1"/>
  <c r="L151" i="2" s="1"/>
  <c r="J122" i="2"/>
  <c r="G150" i="2"/>
  <c r="E150" i="2"/>
  <c r="F150" i="2" s="1"/>
  <c r="D151" i="2"/>
  <c r="M151" i="2" s="1"/>
  <c r="C152" i="2"/>
  <c r="A153" i="2" l="1"/>
  <c r="B152" i="2"/>
  <c r="H152" i="2" s="1"/>
  <c r="L152" i="2" s="1"/>
  <c r="K122" i="2"/>
  <c r="I122" i="2"/>
  <c r="G151" i="2"/>
  <c r="E151" i="2"/>
  <c r="F151" i="2" s="1"/>
  <c r="D152" i="2"/>
  <c r="M152" i="2" s="1"/>
  <c r="C153" i="2"/>
  <c r="A154" i="2" l="1"/>
  <c r="B153" i="2"/>
  <c r="H153" i="2" s="1"/>
  <c r="L153" i="2" s="1"/>
  <c r="J123" i="2"/>
  <c r="K123" i="2"/>
  <c r="I123" i="2"/>
  <c r="G152" i="2"/>
  <c r="E152" i="2"/>
  <c r="F152" i="2" s="1"/>
  <c r="D153" i="2"/>
  <c r="M153" i="2" s="1"/>
  <c r="C154" i="2"/>
  <c r="A155" i="2" l="1"/>
  <c r="B154" i="2"/>
  <c r="H154" i="2" s="1"/>
  <c r="L154" i="2" s="1"/>
  <c r="J124" i="2"/>
  <c r="K124" i="2" s="1"/>
  <c r="I124" i="2" s="1"/>
  <c r="G153" i="2"/>
  <c r="E153" i="2"/>
  <c r="F153" i="2" s="1"/>
  <c r="D154" i="2"/>
  <c r="M154" i="2" s="1"/>
  <c r="C155" i="2"/>
  <c r="B155" i="2" l="1"/>
  <c r="H155" i="2" s="1"/>
  <c r="L155" i="2" s="1"/>
  <c r="A156" i="2"/>
  <c r="J125" i="2"/>
  <c r="G154" i="2"/>
  <c r="E154" i="2"/>
  <c r="F154" i="2" s="1"/>
  <c r="D155" i="2"/>
  <c r="M155" i="2" s="1"/>
  <c r="C156" i="2"/>
  <c r="A157" i="2" l="1"/>
  <c r="B156" i="2"/>
  <c r="H156" i="2" s="1"/>
  <c r="L156" i="2" s="1"/>
  <c r="K125" i="2"/>
  <c r="I125" i="2" s="1"/>
  <c r="G155" i="2"/>
  <c r="E155" i="2"/>
  <c r="F155" i="2" s="1"/>
  <c r="D156" i="2"/>
  <c r="M156" i="2" s="1"/>
  <c r="C157" i="2"/>
  <c r="A158" i="2" l="1"/>
  <c r="B157" i="2"/>
  <c r="H157" i="2" s="1"/>
  <c r="L157" i="2" s="1"/>
  <c r="J126" i="2"/>
  <c r="G156" i="2"/>
  <c r="E156" i="2"/>
  <c r="F156" i="2" s="1"/>
  <c r="D157" i="2"/>
  <c r="M157" i="2" s="1"/>
  <c r="C158" i="2"/>
  <c r="A159" i="2" l="1"/>
  <c r="B158" i="2"/>
  <c r="H158" i="2" s="1"/>
  <c r="L158" i="2" s="1"/>
  <c r="K126" i="2"/>
  <c r="I126" i="2" s="1"/>
  <c r="G157" i="2"/>
  <c r="E157" i="2"/>
  <c r="F157" i="2" s="1"/>
  <c r="D158" i="2"/>
  <c r="M158" i="2" s="1"/>
  <c r="C159" i="2"/>
  <c r="A160" i="2" l="1"/>
  <c r="B159" i="2"/>
  <c r="H159" i="2" s="1"/>
  <c r="L159" i="2" s="1"/>
  <c r="J127" i="2"/>
  <c r="K127" i="2"/>
  <c r="G158" i="2"/>
  <c r="E158" i="2"/>
  <c r="F158" i="2" s="1"/>
  <c r="D159" i="2"/>
  <c r="M159" i="2" s="1"/>
  <c r="C160" i="2"/>
  <c r="A161" i="2" l="1"/>
  <c r="B160" i="2"/>
  <c r="H160" i="2" s="1"/>
  <c r="L160" i="2" s="1"/>
  <c r="I127" i="2"/>
  <c r="G159" i="2"/>
  <c r="E159" i="2"/>
  <c r="F159" i="2" s="1"/>
  <c r="D160" i="2"/>
  <c r="M160" i="2" s="1"/>
  <c r="C161" i="2"/>
  <c r="B161" i="2" l="1"/>
  <c r="H161" i="2" s="1"/>
  <c r="L161" i="2" s="1"/>
  <c r="A162" i="2"/>
  <c r="J128" i="2"/>
  <c r="K128" i="2" s="1"/>
  <c r="I128" i="2" s="1"/>
  <c r="G160" i="2"/>
  <c r="E160" i="2"/>
  <c r="F160" i="2" s="1"/>
  <c r="D161" i="2"/>
  <c r="M161" i="2" s="1"/>
  <c r="C162" i="2"/>
  <c r="B162" i="2" l="1"/>
  <c r="H162" i="2" s="1"/>
  <c r="L162" i="2" s="1"/>
  <c r="A163" i="2"/>
  <c r="J129" i="2"/>
  <c r="G161" i="2"/>
  <c r="E161" i="2"/>
  <c r="F161" i="2" s="1"/>
  <c r="D162" i="2"/>
  <c r="M162" i="2" s="1"/>
  <c r="C163" i="2"/>
  <c r="B163" i="2" l="1"/>
  <c r="H163" i="2" s="1"/>
  <c r="L163" i="2" s="1"/>
  <c r="A164" i="2"/>
  <c r="K129" i="2"/>
  <c r="I129" i="2" s="1"/>
  <c r="G162" i="2"/>
  <c r="E162" i="2"/>
  <c r="F162" i="2" s="1"/>
  <c r="D163" i="2"/>
  <c r="M163" i="2" s="1"/>
  <c r="C164" i="2"/>
  <c r="A165" i="2" l="1"/>
  <c r="B164" i="2"/>
  <c r="H164" i="2" s="1"/>
  <c r="L164" i="2" s="1"/>
  <c r="J130" i="2"/>
  <c r="K130" i="2"/>
  <c r="I130" i="2" s="1"/>
  <c r="G163" i="2"/>
  <c r="E163" i="2"/>
  <c r="F163" i="2" s="1"/>
  <c r="D164" i="2"/>
  <c r="M164" i="2" s="1"/>
  <c r="C165" i="2"/>
  <c r="B165" i="2" l="1"/>
  <c r="H165" i="2" s="1"/>
  <c r="L165" i="2" s="1"/>
  <c r="A166" i="2"/>
  <c r="K131" i="2"/>
  <c r="I131" i="2" s="1"/>
  <c r="J131" i="2"/>
  <c r="G164" i="2"/>
  <c r="E164" i="2"/>
  <c r="F164" i="2" s="1"/>
  <c r="D165" i="2"/>
  <c r="M165" i="2" s="1"/>
  <c r="C166" i="2"/>
  <c r="A167" i="2" l="1"/>
  <c r="B166" i="2"/>
  <c r="H166" i="2" s="1"/>
  <c r="L166" i="2" s="1"/>
  <c r="J132" i="2"/>
  <c r="G165" i="2"/>
  <c r="E165" i="2"/>
  <c r="F165" i="2" s="1"/>
  <c r="D166" i="2"/>
  <c r="M166" i="2" s="1"/>
  <c r="C167" i="2"/>
  <c r="A168" i="2" l="1"/>
  <c r="B167" i="2"/>
  <c r="H167" i="2" s="1"/>
  <c r="L167" i="2" s="1"/>
  <c r="K132" i="2"/>
  <c r="I132" i="2" s="1"/>
  <c r="J133" i="2" s="1"/>
  <c r="K133" i="2" s="1"/>
  <c r="I133" i="2" s="1"/>
  <c r="G166" i="2"/>
  <c r="E166" i="2"/>
  <c r="F166" i="2" s="1"/>
  <c r="D167" i="2"/>
  <c r="M167" i="2" s="1"/>
  <c r="C168" i="2"/>
  <c r="A169" i="2" l="1"/>
  <c r="B168" i="2"/>
  <c r="H168" i="2" s="1"/>
  <c r="L168" i="2" s="1"/>
  <c r="J134" i="2"/>
  <c r="G167" i="2"/>
  <c r="E167" i="2"/>
  <c r="F167" i="2" s="1"/>
  <c r="D168" i="2"/>
  <c r="M168" i="2" s="1"/>
  <c r="C169" i="2"/>
  <c r="A170" i="2" l="1"/>
  <c r="B169" i="2"/>
  <c r="H169" i="2" s="1"/>
  <c r="L169" i="2" s="1"/>
  <c r="K134" i="2"/>
  <c r="I134" i="2" s="1"/>
  <c r="G168" i="2"/>
  <c r="E168" i="2"/>
  <c r="F168" i="2" s="1"/>
  <c r="D169" i="2"/>
  <c r="M169" i="2" s="1"/>
  <c r="C170" i="2"/>
  <c r="A171" i="2" l="1"/>
  <c r="B170" i="2"/>
  <c r="H170" i="2" s="1"/>
  <c r="L170" i="2" s="1"/>
  <c r="J135" i="2"/>
  <c r="G169" i="2"/>
  <c r="E169" i="2"/>
  <c r="F169" i="2" s="1"/>
  <c r="D170" i="2"/>
  <c r="M170" i="2" s="1"/>
  <c r="C171" i="2"/>
  <c r="A172" i="2" l="1"/>
  <c r="B171" i="2"/>
  <c r="H171" i="2" s="1"/>
  <c r="L171" i="2" s="1"/>
  <c r="K135" i="2"/>
  <c r="I135" i="2"/>
  <c r="G170" i="2"/>
  <c r="E170" i="2"/>
  <c r="F170" i="2" s="1"/>
  <c r="D171" i="2"/>
  <c r="M171" i="2" s="1"/>
  <c r="C172" i="2"/>
  <c r="A173" i="2" l="1"/>
  <c r="B172" i="2"/>
  <c r="H172" i="2" s="1"/>
  <c r="L172" i="2" s="1"/>
  <c r="J136" i="2"/>
  <c r="G171" i="2"/>
  <c r="E171" i="2"/>
  <c r="F171" i="2" s="1"/>
  <c r="D172" i="2"/>
  <c r="M172" i="2" s="1"/>
  <c r="C173" i="2"/>
  <c r="A174" i="2" l="1"/>
  <c r="B173" i="2"/>
  <c r="H173" i="2" s="1"/>
  <c r="L173" i="2" s="1"/>
  <c r="K136" i="2"/>
  <c r="I136" i="2" s="1"/>
  <c r="G172" i="2"/>
  <c r="E172" i="2"/>
  <c r="F172" i="2" s="1"/>
  <c r="D173" i="2"/>
  <c r="M173" i="2" s="1"/>
  <c r="C174" i="2"/>
  <c r="A175" i="2" l="1"/>
  <c r="B174" i="2"/>
  <c r="H174" i="2" s="1"/>
  <c r="L174" i="2" s="1"/>
  <c r="J137" i="2"/>
  <c r="G173" i="2"/>
  <c r="E173" i="2"/>
  <c r="F173" i="2" s="1"/>
  <c r="D174" i="2"/>
  <c r="M174" i="2" s="1"/>
  <c r="C175" i="2"/>
  <c r="A176" i="2" l="1"/>
  <c r="B175" i="2"/>
  <c r="H175" i="2" s="1"/>
  <c r="L175" i="2" s="1"/>
  <c r="K137" i="2"/>
  <c r="I137" i="2" s="1"/>
  <c r="G174" i="2"/>
  <c r="E174" i="2"/>
  <c r="F174" i="2" s="1"/>
  <c r="D175" i="2"/>
  <c r="M175" i="2" s="1"/>
  <c r="C176" i="2"/>
  <c r="A177" i="2" l="1"/>
  <c r="B176" i="2"/>
  <c r="H176" i="2" s="1"/>
  <c r="L176" i="2" s="1"/>
  <c r="J138" i="2"/>
  <c r="K138" i="2"/>
  <c r="I138" i="2" s="1"/>
  <c r="G175" i="2"/>
  <c r="E175" i="2"/>
  <c r="F175" i="2" s="1"/>
  <c r="D176" i="2"/>
  <c r="M176" i="2" s="1"/>
  <c r="C177" i="2"/>
  <c r="B177" i="2" l="1"/>
  <c r="H177" i="2" s="1"/>
  <c r="L177" i="2" s="1"/>
  <c r="A178" i="2"/>
  <c r="J139" i="2"/>
  <c r="K139" i="2" s="1"/>
  <c r="I139" i="2" s="1"/>
  <c r="G176" i="2"/>
  <c r="E176" i="2"/>
  <c r="F176" i="2" s="1"/>
  <c r="D177" i="2"/>
  <c r="M177" i="2" s="1"/>
  <c r="C178" i="2"/>
  <c r="A179" i="2" l="1"/>
  <c r="B178" i="2"/>
  <c r="H178" i="2" s="1"/>
  <c r="L178" i="2" s="1"/>
  <c r="J140" i="2"/>
  <c r="K140" i="2" s="1"/>
  <c r="I140" i="2" s="1"/>
  <c r="J141" i="2" s="1"/>
  <c r="K141" i="2" s="1"/>
  <c r="I141" i="2" s="1"/>
  <c r="G177" i="2"/>
  <c r="E177" i="2"/>
  <c r="F177" i="2" s="1"/>
  <c r="D178" i="2"/>
  <c r="M178" i="2" s="1"/>
  <c r="C179" i="2"/>
  <c r="A180" i="2" l="1"/>
  <c r="B179" i="2"/>
  <c r="H179" i="2" s="1"/>
  <c r="L179" i="2" s="1"/>
  <c r="J142" i="2"/>
  <c r="K142" i="2" s="1"/>
  <c r="I142" i="2" s="1"/>
  <c r="G178" i="2"/>
  <c r="E178" i="2"/>
  <c r="F178" i="2" s="1"/>
  <c r="D179" i="2"/>
  <c r="M179" i="2" s="1"/>
  <c r="C180" i="2"/>
  <c r="A181" i="2" l="1"/>
  <c r="B180" i="2"/>
  <c r="H180" i="2" s="1"/>
  <c r="L180" i="2" s="1"/>
  <c r="J143" i="2"/>
  <c r="K143" i="2" s="1"/>
  <c r="I143" i="2" s="1"/>
  <c r="G179" i="2"/>
  <c r="E179" i="2"/>
  <c r="F179" i="2" s="1"/>
  <c r="D180" i="2"/>
  <c r="M180" i="2" s="1"/>
  <c r="C181" i="2"/>
  <c r="A182" i="2" l="1"/>
  <c r="B181" i="2"/>
  <c r="H181" i="2" s="1"/>
  <c r="L181" i="2" s="1"/>
  <c r="J144" i="2"/>
  <c r="K144" i="2" s="1"/>
  <c r="I144" i="2" s="1"/>
  <c r="G180" i="2"/>
  <c r="E180" i="2"/>
  <c r="F180" i="2" s="1"/>
  <c r="D181" i="2"/>
  <c r="M181" i="2" s="1"/>
  <c r="C182" i="2"/>
  <c r="A183" i="2" l="1"/>
  <c r="B182" i="2"/>
  <c r="H182" i="2" s="1"/>
  <c r="L182" i="2" s="1"/>
  <c r="J145" i="2"/>
  <c r="K145" i="2" s="1"/>
  <c r="I145" i="2" s="1"/>
  <c r="J146" i="2" s="1"/>
  <c r="K146" i="2" s="1"/>
  <c r="I146" i="2" s="1"/>
  <c r="J147" i="2" s="1"/>
  <c r="K147" i="2" s="1"/>
  <c r="I147" i="2" s="1"/>
  <c r="G181" i="2"/>
  <c r="E181" i="2"/>
  <c r="F181" i="2" s="1"/>
  <c r="D182" i="2"/>
  <c r="M182" i="2" s="1"/>
  <c r="C183" i="2"/>
  <c r="A184" i="2" l="1"/>
  <c r="B183" i="2"/>
  <c r="H183" i="2" s="1"/>
  <c r="L183" i="2" s="1"/>
  <c r="J148" i="2"/>
  <c r="K148" i="2"/>
  <c r="I148" i="2" s="1"/>
  <c r="J149" i="2" s="1"/>
  <c r="K149" i="2" s="1"/>
  <c r="I149" i="2" s="1"/>
  <c r="G182" i="2"/>
  <c r="E182" i="2"/>
  <c r="F182" i="2" s="1"/>
  <c r="D183" i="2"/>
  <c r="M183" i="2" s="1"/>
  <c r="C184" i="2"/>
  <c r="A185" i="2" l="1"/>
  <c r="B184" i="2"/>
  <c r="H184" i="2" s="1"/>
  <c r="L184" i="2" s="1"/>
  <c r="J150" i="2"/>
  <c r="K150" i="2" s="1"/>
  <c r="I150" i="2" s="1"/>
  <c r="G183" i="2"/>
  <c r="E183" i="2"/>
  <c r="F183" i="2" s="1"/>
  <c r="D184" i="2"/>
  <c r="M184" i="2" s="1"/>
  <c r="C185" i="2"/>
  <c r="A186" i="2" l="1"/>
  <c r="B185" i="2"/>
  <c r="H185" i="2" s="1"/>
  <c r="L185" i="2" s="1"/>
  <c r="J151" i="2"/>
  <c r="G184" i="2"/>
  <c r="E184" i="2"/>
  <c r="F184" i="2" s="1"/>
  <c r="D185" i="2"/>
  <c r="M185" i="2" s="1"/>
  <c r="C186" i="2"/>
  <c r="A187" i="2" l="1"/>
  <c r="B186" i="2"/>
  <c r="H186" i="2" s="1"/>
  <c r="L186" i="2" s="1"/>
  <c r="K151" i="2"/>
  <c r="I151" i="2" s="1"/>
  <c r="G185" i="2"/>
  <c r="E185" i="2"/>
  <c r="F185" i="2" s="1"/>
  <c r="D186" i="2"/>
  <c r="M186" i="2" s="1"/>
  <c r="C187" i="2"/>
  <c r="B187" i="2" l="1"/>
  <c r="H187" i="2" s="1"/>
  <c r="L187" i="2" s="1"/>
  <c r="A188" i="2"/>
  <c r="J152" i="2"/>
  <c r="K152" i="2"/>
  <c r="I152" i="2"/>
  <c r="G186" i="2"/>
  <c r="E186" i="2"/>
  <c r="F186" i="2" s="1"/>
  <c r="D187" i="2"/>
  <c r="M187" i="2" s="1"/>
  <c r="C188" i="2"/>
  <c r="A189" i="2" l="1"/>
  <c r="B188" i="2"/>
  <c r="H188" i="2" s="1"/>
  <c r="L188" i="2" s="1"/>
  <c r="J153" i="2"/>
  <c r="K153" i="2" s="1"/>
  <c r="I153" i="2" s="1"/>
  <c r="G187" i="2"/>
  <c r="E187" i="2"/>
  <c r="F187" i="2" s="1"/>
  <c r="D188" i="2"/>
  <c r="M188" i="2" s="1"/>
  <c r="C189" i="2"/>
  <c r="A190" i="2" l="1"/>
  <c r="B189" i="2"/>
  <c r="H189" i="2" s="1"/>
  <c r="L189" i="2" s="1"/>
  <c r="J154" i="2"/>
  <c r="K154" i="2" s="1"/>
  <c r="I154" i="2" s="1"/>
  <c r="G188" i="2"/>
  <c r="E188" i="2"/>
  <c r="F188" i="2" s="1"/>
  <c r="D189" i="2"/>
  <c r="M189" i="2" s="1"/>
  <c r="C190" i="2"/>
  <c r="A191" i="2" l="1"/>
  <c r="B190" i="2"/>
  <c r="H190" i="2" s="1"/>
  <c r="L190" i="2" s="1"/>
  <c r="J155" i="2"/>
  <c r="K155" i="2" s="1"/>
  <c r="I155" i="2" s="1"/>
  <c r="G189" i="2"/>
  <c r="E189" i="2"/>
  <c r="F189" i="2" s="1"/>
  <c r="D190" i="2"/>
  <c r="M190" i="2" s="1"/>
  <c r="C191" i="2"/>
  <c r="A192" i="2" l="1"/>
  <c r="B191" i="2"/>
  <c r="H191" i="2" s="1"/>
  <c r="L191" i="2" s="1"/>
  <c r="J156" i="2"/>
  <c r="G190" i="2"/>
  <c r="E190" i="2"/>
  <c r="F190" i="2" s="1"/>
  <c r="D191" i="2"/>
  <c r="M191" i="2" s="1"/>
  <c r="C192" i="2"/>
  <c r="A193" i="2" l="1"/>
  <c r="B192" i="2"/>
  <c r="H192" i="2" s="1"/>
  <c r="L192" i="2" s="1"/>
  <c r="K156" i="2"/>
  <c r="I156" i="2" s="1"/>
  <c r="G191" i="2"/>
  <c r="E191" i="2"/>
  <c r="F191" i="2" s="1"/>
  <c r="D192" i="2"/>
  <c r="M192" i="2" s="1"/>
  <c r="C193" i="2"/>
  <c r="A194" i="2" l="1"/>
  <c r="B193" i="2"/>
  <c r="H193" i="2" s="1"/>
  <c r="L193" i="2" s="1"/>
  <c r="J157" i="2"/>
  <c r="K157" i="2"/>
  <c r="I157" i="2" s="1"/>
  <c r="J158" i="2" s="1"/>
  <c r="K158" i="2" s="1"/>
  <c r="I158" i="2" s="1"/>
  <c r="G192" i="2"/>
  <c r="E192" i="2"/>
  <c r="F192" i="2" s="1"/>
  <c r="D193" i="2"/>
  <c r="M193" i="2" s="1"/>
  <c r="C194" i="2"/>
  <c r="A195" i="2" l="1"/>
  <c r="B194" i="2"/>
  <c r="H194" i="2" s="1"/>
  <c r="L194" i="2" s="1"/>
  <c r="J159" i="2"/>
  <c r="K159" i="2" s="1"/>
  <c r="I159" i="2" s="1"/>
  <c r="G193" i="2"/>
  <c r="E193" i="2"/>
  <c r="F193" i="2" s="1"/>
  <c r="D194" i="2"/>
  <c r="M194" i="2" s="1"/>
  <c r="C195" i="2"/>
  <c r="A196" i="2" l="1"/>
  <c r="B195" i="2"/>
  <c r="H195" i="2" s="1"/>
  <c r="L195" i="2" s="1"/>
  <c r="J160" i="2"/>
  <c r="G194" i="2"/>
  <c r="E194" i="2"/>
  <c r="F194" i="2" s="1"/>
  <c r="D195" i="2"/>
  <c r="M195" i="2" s="1"/>
  <c r="C196" i="2"/>
  <c r="B196" i="2" l="1"/>
  <c r="H196" i="2" s="1"/>
  <c r="L196" i="2" s="1"/>
  <c r="A197" i="2"/>
  <c r="K160" i="2"/>
  <c r="I160" i="2" s="1"/>
  <c r="G195" i="2"/>
  <c r="E195" i="2"/>
  <c r="F195" i="2" s="1"/>
  <c r="D196" i="2"/>
  <c r="M196" i="2" s="1"/>
  <c r="C197" i="2"/>
  <c r="A198" i="2" l="1"/>
  <c r="B197" i="2"/>
  <c r="H197" i="2" s="1"/>
  <c r="L197" i="2" s="1"/>
  <c r="J161" i="2"/>
  <c r="K161" i="2" s="1"/>
  <c r="I161" i="2" s="1"/>
  <c r="G196" i="2"/>
  <c r="E196" i="2"/>
  <c r="F196" i="2" s="1"/>
  <c r="D197" i="2"/>
  <c r="M197" i="2" s="1"/>
  <c r="C198" i="2"/>
  <c r="B198" i="2" l="1"/>
  <c r="H198" i="2" s="1"/>
  <c r="L198" i="2" s="1"/>
  <c r="A199" i="2"/>
  <c r="J162" i="2"/>
  <c r="G197" i="2"/>
  <c r="E197" i="2"/>
  <c r="F197" i="2" s="1"/>
  <c r="D198" i="2"/>
  <c r="M198" i="2" s="1"/>
  <c r="C199" i="2"/>
  <c r="A200" i="2" l="1"/>
  <c r="B199" i="2"/>
  <c r="H199" i="2" s="1"/>
  <c r="L199" i="2" s="1"/>
  <c r="K162" i="2"/>
  <c r="I162" i="2" s="1"/>
  <c r="G198" i="2"/>
  <c r="E198" i="2"/>
  <c r="F198" i="2" s="1"/>
  <c r="D199" i="2"/>
  <c r="M199" i="2" s="1"/>
  <c r="C200" i="2"/>
  <c r="A201" i="2" l="1"/>
  <c r="B200" i="2"/>
  <c r="H200" i="2" s="1"/>
  <c r="L200" i="2" s="1"/>
  <c r="J163" i="2"/>
  <c r="K163" i="2"/>
  <c r="I163" i="2" s="1"/>
  <c r="G199" i="2"/>
  <c r="E199" i="2"/>
  <c r="F199" i="2" s="1"/>
  <c r="D200" i="2"/>
  <c r="M200" i="2" s="1"/>
  <c r="C201" i="2"/>
  <c r="B201" i="2" l="1"/>
  <c r="H201" i="2" s="1"/>
  <c r="L201" i="2" s="1"/>
  <c r="A202" i="2"/>
  <c r="J164" i="2"/>
  <c r="K164" i="2" s="1"/>
  <c r="I164" i="2" s="1"/>
  <c r="G200" i="2"/>
  <c r="E200" i="2"/>
  <c r="F200" i="2" s="1"/>
  <c r="D201" i="2"/>
  <c r="M201" i="2" s="1"/>
  <c r="C202" i="2"/>
  <c r="A203" i="2" l="1"/>
  <c r="B202" i="2"/>
  <c r="H202" i="2" s="1"/>
  <c r="L202" i="2" s="1"/>
  <c r="J165" i="2"/>
  <c r="K165" i="2" s="1"/>
  <c r="I165" i="2" s="1"/>
  <c r="J166" i="2" s="1"/>
  <c r="K166" i="2" s="1"/>
  <c r="I166" i="2" s="1"/>
  <c r="G201" i="2"/>
  <c r="E201" i="2"/>
  <c r="F201" i="2" s="1"/>
  <c r="D202" i="2"/>
  <c r="M202" i="2" s="1"/>
  <c r="C203" i="2"/>
  <c r="A204" i="2" l="1"/>
  <c r="B203" i="2"/>
  <c r="H203" i="2" s="1"/>
  <c r="L203" i="2" s="1"/>
  <c r="J167" i="2"/>
  <c r="K167" i="2" s="1"/>
  <c r="I167" i="2" s="1"/>
  <c r="G202" i="2"/>
  <c r="E202" i="2"/>
  <c r="F202" i="2" s="1"/>
  <c r="D203" i="2"/>
  <c r="M203" i="2" s="1"/>
  <c r="C204" i="2"/>
  <c r="A205" i="2" l="1"/>
  <c r="B204" i="2"/>
  <c r="H204" i="2" s="1"/>
  <c r="L204" i="2" s="1"/>
  <c r="J168" i="2"/>
  <c r="G203" i="2"/>
  <c r="E203" i="2"/>
  <c r="F203" i="2" s="1"/>
  <c r="D204" i="2"/>
  <c r="M204" i="2" s="1"/>
  <c r="C205" i="2"/>
  <c r="A206" i="2" l="1"/>
  <c r="B205" i="2"/>
  <c r="H205" i="2" s="1"/>
  <c r="L205" i="2" s="1"/>
  <c r="K168" i="2"/>
  <c r="I168" i="2" s="1"/>
  <c r="G204" i="2"/>
  <c r="E204" i="2"/>
  <c r="F204" i="2" s="1"/>
  <c r="D205" i="2"/>
  <c r="M205" i="2" s="1"/>
  <c r="C206" i="2"/>
  <c r="B206" i="2" l="1"/>
  <c r="H206" i="2" s="1"/>
  <c r="L206" i="2" s="1"/>
  <c r="A207" i="2"/>
  <c r="J169" i="2"/>
  <c r="K169" i="2" s="1"/>
  <c r="G205" i="2"/>
  <c r="E205" i="2"/>
  <c r="F205" i="2" s="1"/>
  <c r="D206" i="2"/>
  <c r="M206" i="2" s="1"/>
  <c r="C207" i="2"/>
  <c r="A208" i="2" l="1"/>
  <c r="B207" i="2"/>
  <c r="H207" i="2" s="1"/>
  <c r="L207" i="2" s="1"/>
  <c r="I169" i="2"/>
  <c r="G206" i="2"/>
  <c r="E206" i="2"/>
  <c r="F206" i="2" s="1"/>
  <c r="D207" i="2"/>
  <c r="M207" i="2" s="1"/>
  <c r="C208" i="2"/>
  <c r="A209" i="2" l="1"/>
  <c r="B208" i="2"/>
  <c r="H208" i="2" s="1"/>
  <c r="L208" i="2" s="1"/>
  <c r="J170" i="2"/>
  <c r="K170" i="2"/>
  <c r="I170" i="2" s="1"/>
  <c r="J171" i="2" s="1"/>
  <c r="K171" i="2" s="1"/>
  <c r="I171" i="2" s="1"/>
  <c r="G207" i="2"/>
  <c r="E207" i="2"/>
  <c r="F207" i="2" s="1"/>
  <c r="D208" i="2"/>
  <c r="M208" i="2" s="1"/>
  <c r="C209" i="2"/>
  <c r="B209" i="2" l="1"/>
  <c r="H209" i="2" s="1"/>
  <c r="L209" i="2" s="1"/>
  <c r="A210" i="2"/>
  <c r="J172" i="2"/>
  <c r="G208" i="2"/>
  <c r="E208" i="2"/>
  <c r="F208" i="2" s="1"/>
  <c r="D209" i="2"/>
  <c r="M209" i="2" s="1"/>
  <c r="C210" i="2"/>
  <c r="A211" i="2" l="1"/>
  <c r="B210" i="2"/>
  <c r="H210" i="2" s="1"/>
  <c r="L210" i="2" s="1"/>
  <c r="K172" i="2"/>
  <c r="I172" i="2" s="1"/>
  <c r="G209" i="2"/>
  <c r="E209" i="2"/>
  <c r="F209" i="2" s="1"/>
  <c r="D210" i="2"/>
  <c r="M210" i="2" s="1"/>
  <c r="C211" i="2"/>
  <c r="A212" i="2" l="1"/>
  <c r="B211" i="2"/>
  <c r="H211" i="2" s="1"/>
  <c r="L211" i="2" s="1"/>
  <c r="J173" i="2"/>
  <c r="K173" i="2" s="1"/>
  <c r="I173" i="2" s="1"/>
  <c r="G210" i="2"/>
  <c r="E210" i="2"/>
  <c r="F210" i="2" s="1"/>
  <c r="D211" i="2"/>
  <c r="M211" i="2" s="1"/>
  <c r="C212" i="2"/>
  <c r="B212" i="2" l="1"/>
  <c r="H212" i="2" s="1"/>
  <c r="L212" i="2" s="1"/>
  <c r="A213" i="2"/>
  <c r="J174" i="2"/>
  <c r="G211" i="2"/>
  <c r="E211" i="2"/>
  <c r="F211" i="2" s="1"/>
  <c r="D212" i="2"/>
  <c r="M212" i="2" s="1"/>
  <c r="C213" i="2"/>
  <c r="A214" i="2" l="1"/>
  <c r="B213" i="2"/>
  <c r="H213" i="2" s="1"/>
  <c r="L213" i="2" s="1"/>
  <c r="K174" i="2"/>
  <c r="I174" i="2" s="1"/>
  <c r="G212" i="2"/>
  <c r="E212" i="2"/>
  <c r="F212" i="2" s="1"/>
  <c r="D213" i="2"/>
  <c r="M213" i="2" s="1"/>
  <c r="C214" i="2"/>
  <c r="B214" i="2" l="1"/>
  <c r="H214" i="2" s="1"/>
  <c r="L214" i="2" s="1"/>
  <c r="A215" i="2"/>
  <c r="J175" i="2"/>
  <c r="K175" i="2" s="1"/>
  <c r="I175" i="2" s="1"/>
  <c r="G213" i="2"/>
  <c r="E213" i="2"/>
  <c r="F213" i="2" s="1"/>
  <c r="D214" i="2"/>
  <c r="M214" i="2" s="1"/>
  <c r="C215" i="2"/>
  <c r="A216" i="2" l="1"/>
  <c r="B215" i="2"/>
  <c r="H215" i="2" s="1"/>
  <c r="L215" i="2" s="1"/>
  <c r="J176" i="2"/>
  <c r="K176" i="2" s="1"/>
  <c r="I176" i="2" s="1"/>
  <c r="J177" i="2" s="1"/>
  <c r="K177" i="2" s="1"/>
  <c r="I177" i="2" s="1"/>
  <c r="G214" i="2"/>
  <c r="E214" i="2"/>
  <c r="F214" i="2" s="1"/>
  <c r="D215" i="2"/>
  <c r="M215" i="2" s="1"/>
  <c r="C216" i="2"/>
  <c r="A217" i="2" l="1"/>
  <c r="B216" i="2"/>
  <c r="H216" i="2" s="1"/>
  <c r="L216" i="2" s="1"/>
  <c r="J178" i="2"/>
  <c r="K178" i="2" s="1"/>
  <c r="I178" i="2" s="1"/>
  <c r="G215" i="2"/>
  <c r="E215" i="2"/>
  <c r="F215" i="2" s="1"/>
  <c r="D216" i="2"/>
  <c r="M216" i="2" s="1"/>
  <c r="C217" i="2"/>
  <c r="A218" i="2" l="1"/>
  <c r="B217" i="2"/>
  <c r="H217" i="2" s="1"/>
  <c r="L217" i="2" s="1"/>
  <c r="J179" i="2"/>
  <c r="K179" i="2" s="1"/>
  <c r="I179" i="2" s="1"/>
  <c r="G216" i="2"/>
  <c r="E216" i="2"/>
  <c r="F216" i="2" s="1"/>
  <c r="D217" i="2"/>
  <c r="M217" i="2" s="1"/>
  <c r="C218" i="2"/>
  <c r="B218" i="2" l="1"/>
  <c r="H218" i="2" s="1"/>
  <c r="L218" i="2" s="1"/>
  <c r="A219" i="2"/>
  <c r="J180" i="2"/>
  <c r="G217" i="2"/>
  <c r="E217" i="2"/>
  <c r="F217" i="2" s="1"/>
  <c r="D218" i="2"/>
  <c r="M218" i="2" s="1"/>
  <c r="C219" i="2"/>
  <c r="A220" i="2" l="1"/>
  <c r="B219" i="2"/>
  <c r="H219" i="2" s="1"/>
  <c r="L219" i="2" s="1"/>
  <c r="K180" i="2"/>
  <c r="I180" i="2" s="1"/>
  <c r="G218" i="2"/>
  <c r="E218" i="2"/>
  <c r="F218" i="2" s="1"/>
  <c r="D219" i="2"/>
  <c r="M219" i="2" s="1"/>
  <c r="C220" i="2"/>
  <c r="B220" i="2" l="1"/>
  <c r="H220" i="2" s="1"/>
  <c r="L220" i="2" s="1"/>
  <c r="A221" i="2"/>
  <c r="J181" i="2"/>
  <c r="K181" i="2" s="1"/>
  <c r="I181" i="2" s="1"/>
  <c r="J182" i="2" s="1"/>
  <c r="K182" i="2" s="1"/>
  <c r="I182" i="2" s="1"/>
  <c r="J183" i="2" s="1"/>
  <c r="K183" i="2" s="1"/>
  <c r="I183" i="2" s="1"/>
  <c r="G219" i="2"/>
  <c r="E219" i="2"/>
  <c r="F219" i="2" s="1"/>
  <c r="D220" i="2"/>
  <c r="M220" i="2" s="1"/>
  <c r="C221" i="2"/>
  <c r="A222" i="2" l="1"/>
  <c r="B221" i="2"/>
  <c r="H221" i="2" s="1"/>
  <c r="L221" i="2" s="1"/>
  <c r="J184" i="2"/>
  <c r="K184" i="2" s="1"/>
  <c r="I184" i="2" s="1"/>
  <c r="G220" i="2"/>
  <c r="E220" i="2"/>
  <c r="F220" i="2" s="1"/>
  <c r="D221" i="2"/>
  <c r="M221" i="2" s="1"/>
  <c r="C222" i="2"/>
  <c r="A223" i="2" l="1"/>
  <c r="B222" i="2"/>
  <c r="H222" i="2" s="1"/>
  <c r="L222" i="2" s="1"/>
  <c r="J185" i="2"/>
  <c r="G221" i="2"/>
  <c r="E221" i="2"/>
  <c r="F221" i="2" s="1"/>
  <c r="D222" i="2"/>
  <c r="M222" i="2" s="1"/>
  <c r="C223" i="2"/>
  <c r="A224" i="2" l="1"/>
  <c r="B223" i="2"/>
  <c r="H223" i="2" s="1"/>
  <c r="L223" i="2" s="1"/>
  <c r="K185" i="2"/>
  <c r="I185" i="2" s="1"/>
  <c r="G222" i="2"/>
  <c r="E222" i="2"/>
  <c r="F222" i="2" s="1"/>
  <c r="D223" i="2"/>
  <c r="M223" i="2" s="1"/>
  <c r="C224" i="2"/>
  <c r="A225" i="2" l="1"/>
  <c r="B224" i="2"/>
  <c r="H224" i="2" s="1"/>
  <c r="L224" i="2" s="1"/>
  <c r="J186" i="2"/>
  <c r="K186" i="2"/>
  <c r="I186" i="2" s="1"/>
  <c r="G223" i="2"/>
  <c r="E223" i="2"/>
  <c r="F223" i="2" s="1"/>
  <c r="D224" i="2"/>
  <c r="M224" i="2" s="1"/>
  <c r="C225" i="2"/>
  <c r="A226" i="2" l="1"/>
  <c r="B225" i="2"/>
  <c r="H225" i="2" s="1"/>
  <c r="L225" i="2" s="1"/>
  <c r="J187" i="2"/>
  <c r="K187" i="2" s="1"/>
  <c r="I187" i="2" s="1"/>
  <c r="G224" i="2"/>
  <c r="E224" i="2"/>
  <c r="F224" i="2" s="1"/>
  <c r="D225" i="2"/>
  <c r="M225" i="2" s="1"/>
  <c r="C226" i="2"/>
  <c r="B226" i="2" l="1"/>
  <c r="H226" i="2" s="1"/>
  <c r="L226" i="2" s="1"/>
  <c r="A227" i="2"/>
  <c r="J188" i="2"/>
  <c r="G225" i="2"/>
  <c r="E225" i="2"/>
  <c r="F225" i="2" s="1"/>
  <c r="D226" i="2"/>
  <c r="M226" i="2" s="1"/>
  <c r="C227" i="2"/>
  <c r="A228" i="2" l="1"/>
  <c r="B227" i="2"/>
  <c r="H227" i="2" s="1"/>
  <c r="L227" i="2" s="1"/>
  <c r="K188" i="2"/>
  <c r="I188" i="2" s="1"/>
  <c r="J189" i="2" s="1"/>
  <c r="K189" i="2" s="1"/>
  <c r="I189" i="2" s="1"/>
  <c r="G226" i="2"/>
  <c r="E226" i="2"/>
  <c r="F226" i="2" s="1"/>
  <c r="D227" i="2"/>
  <c r="M227" i="2" s="1"/>
  <c r="C228" i="2"/>
  <c r="A229" i="2" l="1"/>
  <c r="B228" i="2"/>
  <c r="H228" i="2" s="1"/>
  <c r="L228" i="2" s="1"/>
  <c r="J190" i="2"/>
  <c r="K190" i="2" s="1"/>
  <c r="I190" i="2" s="1"/>
  <c r="G227" i="2"/>
  <c r="E227" i="2"/>
  <c r="F227" i="2" s="1"/>
  <c r="D228" i="2"/>
  <c r="M228" i="2" s="1"/>
  <c r="C229" i="2"/>
  <c r="A230" i="2" l="1"/>
  <c r="B229" i="2"/>
  <c r="H229" i="2" s="1"/>
  <c r="L229" i="2" s="1"/>
  <c r="J191" i="2"/>
  <c r="K191" i="2" s="1"/>
  <c r="I191" i="2" s="1"/>
  <c r="E228" i="2"/>
  <c r="F228" i="2" s="1"/>
  <c r="G228" i="2"/>
  <c r="D229" i="2"/>
  <c r="M229" i="2" s="1"/>
  <c r="C230" i="2"/>
  <c r="A231" i="2" l="1"/>
  <c r="B230" i="2"/>
  <c r="H230" i="2" s="1"/>
  <c r="L230" i="2" s="1"/>
  <c r="J192" i="2"/>
  <c r="K192" i="2" s="1"/>
  <c r="I192" i="2" s="1"/>
  <c r="G229" i="2"/>
  <c r="E229" i="2"/>
  <c r="F229" i="2" s="1"/>
  <c r="D230" i="2"/>
  <c r="M230" i="2" s="1"/>
  <c r="C231" i="2"/>
  <c r="A232" i="2" l="1"/>
  <c r="B231" i="2"/>
  <c r="H231" i="2" s="1"/>
  <c r="L231" i="2" s="1"/>
  <c r="J193" i="2"/>
  <c r="G230" i="2"/>
  <c r="E230" i="2"/>
  <c r="F230" i="2" s="1"/>
  <c r="D231" i="2"/>
  <c r="M231" i="2" s="1"/>
  <c r="C232" i="2"/>
  <c r="B232" i="2" l="1"/>
  <c r="H232" i="2" s="1"/>
  <c r="L232" i="2" s="1"/>
  <c r="A233" i="2"/>
  <c r="K193" i="2"/>
  <c r="I193" i="2" s="1"/>
  <c r="G231" i="2"/>
  <c r="E231" i="2"/>
  <c r="F231" i="2" s="1"/>
  <c r="D232" i="2"/>
  <c r="M232" i="2" s="1"/>
  <c r="C233" i="2"/>
  <c r="A234" i="2" l="1"/>
  <c r="B233" i="2"/>
  <c r="H233" i="2" s="1"/>
  <c r="L233" i="2" s="1"/>
  <c r="J194" i="2"/>
  <c r="K194" i="2"/>
  <c r="I194" i="2"/>
  <c r="G232" i="2"/>
  <c r="E232" i="2"/>
  <c r="F232" i="2" s="1"/>
  <c r="D233" i="2"/>
  <c r="M233" i="2" s="1"/>
  <c r="C234" i="2"/>
  <c r="B234" i="2" l="1"/>
  <c r="H234" i="2" s="1"/>
  <c r="L234" i="2" s="1"/>
  <c r="A235" i="2"/>
  <c r="J195" i="2"/>
  <c r="K195" i="2" s="1"/>
  <c r="I195" i="2" s="1"/>
  <c r="J196" i="2" s="1"/>
  <c r="K196" i="2" s="1"/>
  <c r="I196" i="2" s="1"/>
  <c r="G233" i="2"/>
  <c r="E233" i="2"/>
  <c r="F233" i="2" s="1"/>
  <c r="D234" i="2"/>
  <c r="M234" i="2" s="1"/>
  <c r="C235" i="2"/>
  <c r="A236" i="2" l="1"/>
  <c r="B235" i="2"/>
  <c r="H235" i="2" s="1"/>
  <c r="L235" i="2" s="1"/>
  <c r="J197" i="2"/>
  <c r="K197" i="2"/>
  <c r="G234" i="2"/>
  <c r="E234" i="2"/>
  <c r="F234" i="2" s="1"/>
  <c r="D235" i="2"/>
  <c r="M235" i="2" s="1"/>
  <c r="C236" i="2"/>
  <c r="A237" i="2" l="1"/>
  <c r="B236" i="2"/>
  <c r="H236" i="2" s="1"/>
  <c r="L236" i="2" s="1"/>
  <c r="I197" i="2"/>
  <c r="G235" i="2"/>
  <c r="E235" i="2"/>
  <c r="F235" i="2" s="1"/>
  <c r="D236" i="2"/>
  <c r="M236" i="2" s="1"/>
  <c r="C237" i="2"/>
  <c r="A238" i="2" l="1"/>
  <c r="B237" i="2"/>
  <c r="H237" i="2" s="1"/>
  <c r="L237" i="2" s="1"/>
  <c r="J198" i="2"/>
  <c r="K198" i="2"/>
  <c r="G236" i="2"/>
  <c r="E236" i="2"/>
  <c r="F236" i="2" s="1"/>
  <c r="D237" i="2"/>
  <c r="M237" i="2" s="1"/>
  <c r="C238" i="2"/>
  <c r="A239" i="2" l="1"/>
  <c r="B238" i="2"/>
  <c r="H238" i="2" s="1"/>
  <c r="L238" i="2" s="1"/>
  <c r="I198" i="2"/>
  <c r="G237" i="2"/>
  <c r="E237" i="2"/>
  <c r="F237" i="2" s="1"/>
  <c r="D238" i="2"/>
  <c r="M238" i="2" s="1"/>
  <c r="C239" i="2"/>
  <c r="A240" i="2" l="1"/>
  <c r="B239" i="2"/>
  <c r="H239" i="2" s="1"/>
  <c r="L239" i="2" s="1"/>
  <c r="J199" i="2"/>
  <c r="K199" i="2"/>
  <c r="I199" i="2"/>
  <c r="G238" i="2"/>
  <c r="E238" i="2"/>
  <c r="F238" i="2" s="1"/>
  <c r="D239" i="2"/>
  <c r="M239" i="2" s="1"/>
  <c r="C240" i="2"/>
  <c r="A241" i="2" l="1"/>
  <c r="B240" i="2"/>
  <c r="H240" i="2" s="1"/>
  <c r="L240" i="2" s="1"/>
  <c r="J200" i="2"/>
  <c r="K200" i="2" s="1"/>
  <c r="I200" i="2" s="1"/>
  <c r="G239" i="2"/>
  <c r="E239" i="2"/>
  <c r="F239" i="2" s="1"/>
  <c r="D240" i="2"/>
  <c r="M240" i="2" s="1"/>
  <c r="C241" i="2"/>
  <c r="A242" i="2" l="1"/>
  <c r="B241" i="2"/>
  <c r="H241" i="2" s="1"/>
  <c r="L241" i="2" s="1"/>
  <c r="J201" i="2"/>
  <c r="K201" i="2" s="1"/>
  <c r="I201" i="2" s="1"/>
  <c r="G240" i="2"/>
  <c r="E240" i="2"/>
  <c r="F240" i="2" s="1"/>
  <c r="D241" i="2"/>
  <c r="M241" i="2" s="1"/>
  <c r="C242" i="2"/>
  <c r="A243" i="2" l="1"/>
  <c r="B242" i="2"/>
  <c r="H242" i="2" s="1"/>
  <c r="L242" i="2" s="1"/>
  <c r="J202" i="2"/>
  <c r="G241" i="2"/>
  <c r="E241" i="2"/>
  <c r="F241" i="2" s="1"/>
  <c r="D242" i="2"/>
  <c r="M242" i="2" s="1"/>
  <c r="C243" i="2"/>
  <c r="B243" i="2" l="1"/>
  <c r="H243" i="2" s="1"/>
  <c r="L243" i="2" s="1"/>
  <c r="A244" i="2"/>
  <c r="K202" i="2"/>
  <c r="I202" i="2" s="1"/>
  <c r="G242" i="2"/>
  <c r="E242" i="2"/>
  <c r="F242" i="2" s="1"/>
  <c r="D243" i="2"/>
  <c r="M243" i="2" s="1"/>
  <c r="C244" i="2"/>
  <c r="A245" i="2" l="1"/>
  <c r="B244" i="2"/>
  <c r="H244" i="2" s="1"/>
  <c r="L244" i="2" s="1"/>
  <c r="J203" i="2"/>
  <c r="K203" i="2" s="1"/>
  <c r="I203" i="2" s="1"/>
  <c r="G243" i="2"/>
  <c r="E243" i="2"/>
  <c r="F243" i="2" s="1"/>
  <c r="D244" i="2"/>
  <c r="M244" i="2" s="1"/>
  <c r="C245" i="2"/>
  <c r="A246" i="2" l="1"/>
  <c r="B245" i="2"/>
  <c r="H245" i="2" s="1"/>
  <c r="L245" i="2" s="1"/>
  <c r="J204" i="2"/>
  <c r="K204" i="2" s="1"/>
  <c r="I204" i="2" s="1"/>
  <c r="J205" i="2" s="1"/>
  <c r="K205" i="2" s="1"/>
  <c r="I205" i="2" s="1"/>
  <c r="G244" i="2"/>
  <c r="E244" i="2"/>
  <c r="F244" i="2" s="1"/>
  <c r="D245" i="2"/>
  <c r="M245" i="2" s="1"/>
  <c r="C246" i="2"/>
  <c r="B246" i="2" l="1"/>
  <c r="H246" i="2" s="1"/>
  <c r="L246" i="2" s="1"/>
  <c r="A247" i="2"/>
  <c r="J206" i="2"/>
  <c r="K206" i="2" s="1"/>
  <c r="I206" i="2" s="1"/>
  <c r="J207" i="2" s="1"/>
  <c r="G245" i="2"/>
  <c r="E245" i="2"/>
  <c r="F245" i="2" s="1"/>
  <c r="D246" i="2"/>
  <c r="M246" i="2" s="1"/>
  <c r="C247" i="2"/>
  <c r="A248" i="2" l="1"/>
  <c r="B247" i="2"/>
  <c r="H247" i="2" s="1"/>
  <c r="L247" i="2" s="1"/>
  <c r="K207" i="2"/>
  <c r="I207" i="2" s="1"/>
  <c r="G246" i="2"/>
  <c r="E246" i="2"/>
  <c r="F246" i="2" s="1"/>
  <c r="D247" i="2"/>
  <c r="M247" i="2" s="1"/>
  <c r="C248" i="2"/>
  <c r="A249" i="2" l="1"/>
  <c r="B248" i="2"/>
  <c r="H248" i="2" s="1"/>
  <c r="L248" i="2" s="1"/>
  <c r="J208" i="2"/>
  <c r="G247" i="2"/>
  <c r="E247" i="2"/>
  <c r="F247" i="2" s="1"/>
  <c r="D248" i="2"/>
  <c r="M248" i="2" s="1"/>
  <c r="C249" i="2"/>
  <c r="A250" i="2" l="1"/>
  <c r="B249" i="2"/>
  <c r="H249" i="2" s="1"/>
  <c r="L249" i="2" s="1"/>
  <c r="K208" i="2"/>
  <c r="I208" i="2" s="1"/>
  <c r="G248" i="2"/>
  <c r="E248" i="2"/>
  <c r="F248" i="2" s="1"/>
  <c r="D249" i="2"/>
  <c r="M249" i="2" s="1"/>
  <c r="C250" i="2"/>
  <c r="B250" i="2" l="1"/>
  <c r="H250" i="2" s="1"/>
  <c r="L250" i="2" s="1"/>
  <c r="A251" i="2"/>
  <c r="J209" i="2"/>
  <c r="K209" i="2" s="1"/>
  <c r="I209" i="2" s="1"/>
  <c r="G249" i="2"/>
  <c r="E249" i="2"/>
  <c r="F249" i="2" s="1"/>
  <c r="D250" i="2"/>
  <c r="M250" i="2" s="1"/>
  <c r="C251" i="2"/>
  <c r="B251" i="2" l="1"/>
  <c r="H251" i="2" s="1"/>
  <c r="L251" i="2" s="1"/>
  <c r="A252" i="2"/>
  <c r="J210" i="2"/>
  <c r="K210" i="2"/>
  <c r="G250" i="2"/>
  <c r="E250" i="2"/>
  <c r="F250" i="2" s="1"/>
  <c r="D251" i="2"/>
  <c r="M251" i="2" s="1"/>
  <c r="C252" i="2"/>
  <c r="A253" i="2" l="1"/>
  <c r="B252" i="2"/>
  <c r="H252" i="2" s="1"/>
  <c r="L252" i="2" s="1"/>
  <c r="I210" i="2"/>
  <c r="J211" i="2"/>
  <c r="G251" i="2"/>
  <c r="E251" i="2"/>
  <c r="F251" i="2" s="1"/>
  <c r="D252" i="2"/>
  <c r="M252" i="2" s="1"/>
  <c r="C253" i="2"/>
  <c r="K211" i="2" l="1"/>
  <c r="B253" i="2"/>
  <c r="H253" i="2" s="1"/>
  <c r="L253" i="2" s="1"/>
  <c r="A254" i="2"/>
  <c r="I211" i="2"/>
  <c r="J212" i="2"/>
  <c r="G252" i="2"/>
  <c r="E252" i="2"/>
  <c r="F252" i="2" s="1"/>
  <c r="D253" i="2"/>
  <c r="M253" i="2" s="1"/>
  <c r="C254" i="2"/>
  <c r="K212" i="2" l="1"/>
  <c r="B254" i="2"/>
  <c r="H254" i="2" s="1"/>
  <c r="L254" i="2" s="1"/>
  <c r="A255" i="2"/>
  <c r="I212" i="2"/>
  <c r="J213" i="2"/>
  <c r="K213" i="2"/>
  <c r="G253" i="2"/>
  <c r="E253" i="2"/>
  <c r="F253" i="2" s="1"/>
  <c r="D254" i="2"/>
  <c r="M254" i="2" s="1"/>
  <c r="C255" i="2"/>
  <c r="A256" i="2" l="1"/>
  <c r="B255" i="2"/>
  <c r="H255" i="2" s="1"/>
  <c r="L255" i="2" s="1"/>
  <c r="I213" i="2"/>
  <c r="J214" i="2"/>
  <c r="G254" i="2"/>
  <c r="E254" i="2"/>
  <c r="F254" i="2" s="1"/>
  <c r="D255" i="2"/>
  <c r="M255" i="2" s="1"/>
  <c r="C256" i="2"/>
  <c r="B256" i="2" l="1"/>
  <c r="H256" i="2" s="1"/>
  <c r="L256" i="2" s="1"/>
  <c r="A257" i="2"/>
  <c r="K214" i="2"/>
  <c r="I214" i="2" s="1"/>
  <c r="G255" i="2"/>
  <c r="E255" i="2"/>
  <c r="F255" i="2" s="1"/>
  <c r="D256" i="2"/>
  <c r="M256" i="2" s="1"/>
  <c r="C257" i="2"/>
  <c r="A258" i="2" l="1"/>
  <c r="B257" i="2"/>
  <c r="H257" i="2" s="1"/>
  <c r="L257" i="2" s="1"/>
  <c r="J215" i="2"/>
  <c r="K215" i="2" s="1"/>
  <c r="I215" i="2" s="1"/>
  <c r="G256" i="2"/>
  <c r="E256" i="2"/>
  <c r="F256" i="2" s="1"/>
  <c r="D257" i="2"/>
  <c r="M257" i="2" s="1"/>
  <c r="C258" i="2"/>
  <c r="A259" i="2" l="1"/>
  <c r="B258" i="2"/>
  <c r="H258" i="2" s="1"/>
  <c r="L258" i="2" s="1"/>
  <c r="J216" i="2"/>
  <c r="K216" i="2" s="1"/>
  <c r="G257" i="2"/>
  <c r="E257" i="2"/>
  <c r="F257" i="2" s="1"/>
  <c r="D258" i="2"/>
  <c r="M258" i="2" s="1"/>
  <c r="C259" i="2"/>
  <c r="B259" i="2" l="1"/>
  <c r="H259" i="2" s="1"/>
  <c r="L259" i="2" s="1"/>
  <c r="A260" i="2"/>
  <c r="I216" i="2"/>
  <c r="J217" i="2"/>
  <c r="G258" i="2"/>
  <c r="E258" i="2"/>
  <c r="F258" i="2" s="1"/>
  <c r="D259" i="2"/>
  <c r="M259" i="2" s="1"/>
  <c r="C260" i="2"/>
  <c r="K217" i="2" l="1"/>
  <c r="A261" i="2"/>
  <c r="B260" i="2"/>
  <c r="H260" i="2" s="1"/>
  <c r="L260" i="2" s="1"/>
  <c r="I217" i="2"/>
  <c r="J218" i="2"/>
  <c r="G259" i="2"/>
  <c r="E259" i="2"/>
  <c r="F259" i="2" s="1"/>
  <c r="D260" i="2"/>
  <c r="M260" i="2" s="1"/>
  <c r="C261" i="2"/>
  <c r="B261" i="2" l="1"/>
  <c r="H261" i="2" s="1"/>
  <c r="L261" i="2" s="1"/>
  <c r="A262" i="2"/>
  <c r="K218" i="2"/>
  <c r="I218" i="2" s="1"/>
  <c r="G260" i="2"/>
  <c r="E260" i="2"/>
  <c r="F260" i="2" s="1"/>
  <c r="D261" i="2"/>
  <c r="M261" i="2" s="1"/>
  <c r="C262" i="2"/>
  <c r="B262" i="2" l="1"/>
  <c r="H262" i="2" s="1"/>
  <c r="L262" i="2" s="1"/>
  <c r="A263" i="2"/>
  <c r="J219" i="2"/>
  <c r="G261" i="2"/>
  <c r="E261" i="2"/>
  <c r="F261" i="2" s="1"/>
  <c r="D262" i="2"/>
  <c r="M262" i="2" s="1"/>
  <c r="C263" i="2"/>
  <c r="A264" i="2" l="1"/>
  <c r="B263" i="2"/>
  <c r="H263" i="2" s="1"/>
  <c r="L263" i="2" s="1"/>
  <c r="K219" i="2"/>
  <c r="I219" i="2" s="1"/>
  <c r="G262" i="2"/>
  <c r="E262" i="2"/>
  <c r="F262" i="2" s="1"/>
  <c r="D263" i="2"/>
  <c r="M263" i="2" s="1"/>
  <c r="C264" i="2"/>
  <c r="A265" i="2" l="1"/>
  <c r="B264" i="2"/>
  <c r="H264" i="2" s="1"/>
  <c r="L264" i="2" s="1"/>
  <c r="J220" i="2"/>
  <c r="K220" i="2" s="1"/>
  <c r="I220" i="2" s="1"/>
  <c r="G263" i="2"/>
  <c r="E263" i="2"/>
  <c r="F263" i="2" s="1"/>
  <c r="D264" i="2"/>
  <c r="M264" i="2" s="1"/>
  <c r="C265" i="2"/>
  <c r="A266" i="2" l="1"/>
  <c r="B265" i="2"/>
  <c r="H265" i="2" s="1"/>
  <c r="L265" i="2" s="1"/>
  <c r="J221" i="2"/>
  <c r="K221" i="2" s="1"/>
  <c r="G264" i="2"/>
  <c r="E264" i="2"/>
  <c r="F264" i="2" s="1"/>
  <c r="D265" i="2"/>
  <c r="M265" i="2" s="1"/>
  <c r="C266" i="2"/>
  <c r="A267" i="2" l="1"/>
  <c r="B266" i="2"/>
  <c r="H266" i="2" s="1"/>
  <c r="L266" i="2" s="1"/>
  <c r="I221" i="2"/>
  <c r="J222" i="2" s="1"/>
  <c r="K222" i="2" s="1"/>
  <c r="G265" i="2"/>
  <c r="E265" i="2"/>
  <c r="F265" i="2" s="1"/>
  <c r="D266" i="2"/>
  <c r="M266" i="2" s="1"/>
  <c r="C267" i="2"/>
  <c r="A268" i="2" l="1"/>
  <c r="B267" i="2"/>
  <c r="H267" i="2" s="1"/>
  <c r="L267" i="2" s="1"/>
  <c r="I222" i="2"/>
  <c r="J223" i="2"/>
  <c r="K223" i="2"/>
  <c r="G266" i="2"/>
  <c r="E266" i="2"/>
  <c r="F266" i="2" s="1"/>
  <c r="D267" i="2"/>
  <c r="M267" i="2" s="1"/>
  <c r="C268" i="2"/>
  <c r="B268" i="2" l="1"/>
  <c r="H268" i="2" s="1"/>
  <c r="L268" i="2" s="1"/>
  <c r="A269" i="2"/>
  <c r="I223" i="2"/>
  <c r="J224" i="2"/>
  <c r="K224" i="2" s="1"/>
  <c r="I224" i="2" s="1"/>
  <c r="G267" i="2"/>
  <c r="E267" i="2"/>
  <c r="F267" i="2" s="1"/>
  <c r="D268" i="2"/>
  <c r="M268" i="2" s="1"/>
  <c r="C269" i="2"/>
  <c r="A270" i="2" l="1"/>
  <c r="B269" i="2"/>
  <c r="H269" i="2" s="1"/>
  <c r="L269" i="2" s="1"/>
  <c r="J225" i="2"/>
  <c r="K225" i="2"/>
  <c r="G268" i="2"/>
  <c r="E268" i="2"/>
  <c r="F268" i="2" s="1"/>
  <c r="D269" i="2"/>
  <c r="M269" i="2" s="1"/>
  <c r="C270" i="2"/>
  <c r="A271" i="2" l="1"/>
  <c r="B270" i="2"/>
  <c r="H270" i="2" s="1"/>
  <c r="L270" i="2" s="1"/>
  <c r="I225" i="2"/>
  <c r="J226" i="2" s="1"/>
  <c r="G269" i="2"/>
  <c r="E269" i="2"/>
  <c r="F269" i="2" s="1"/>
  <c r="D270" i="2"/>
  <c r="M270" i="2" s="1"/>
  <c r="C271" i="2"/>
  <c r="A272" i="2" l="1"/>
  <c r="B271" i="2"/>
  <c r="H271" i="2" s="1"/>
  <c r="L271" i="2" s="1"/>
  <c r="K226" i="2"/>
  <c r="I226" i="2" s="1"/>
  <c r="G270" i="2"/>
  <c r="E270" i="2"/>
  <c r="F270" i="2" s="1"/>
  <c r="D271" i="2"/>
  <c r="M271" i="2" s="1"/>
  <c r="C272" i="2"/>
  <c r="A273" i="2" l="1"/>
  <c r="B272" i="2"/>
  <c r="H272" i="2" s="1"/>
  <c r="L272" i="2" s="1"/>
  <c r="J227" i="2"/>
  <c r="K227" i="2" s="1"/>
  <c r="I227" i="2" s="1"/>
  <c r="G271" i="2"/>
  <c r="E271" i="2"/>
  <c r="F271" i="2" s="1"/>
  <c r="D272" i="2"/>
  <c r="M272" i="2" s="1"/>
  <c r="C273" i="2"/>
  <c r="A274" i="2" l="1"/>
  <c r="B273" i="2"/>
  <c r="H273" i="2" s="1"/>
  <c r="L273" i="2" s="1"/>
  <c r="J228" i="2"/>
  <c r="K228" i="2"/>
  <c r="G272" i="2"/>
  <c r="E272" i="2"/>
  <c r="F272" i="2" s="1"/>
  <c r="D273" i="2"/>
  <c r="M273" i="2" s="1"/>
  <c r="C274" i="2"/>
  <c r="A275" i="2" l="1"/>
  <c r="B274" i="2"/>
  <c r="H274" i="2" s="1"/>
  <c r="L274" i="2" s="1"/>
  <c r="I228" i="2"/>
  <c r="J229" i="2"/>
  <c r="G273" i="2"/>
  <c r="E273" i="2"/>
  <c r="F273" i="2" s="1"/>
  <c r="D274" i="2"/>
  <c r="M274" i="2" s="1"/>
  <c r="C275" i="2"/>
  <c r="A276" i="2" l="1"/>
  <c r="B275" i="2"/>
  <c r="H275" i="2" s="1"/>
  <c r="L275" i="2" s="1"/>
  <c r="K229" i="2"/>
  <c r="I229" i="2" s="1"/>
  <c r="G274" i="2"/>
  <c r="E274" i="2"/>
  <c r="F274" i="2" s="1"/>
  <c r="D275" i="2"/>
  <c r="M275" i="2" s="1"/>
  <c r="C276" i="2"/>
  <c r="B276" i="2" l="1"/>
  <c r="H276" i="2" s="1"/>
  <c r="L276" i="2" s="1"/>
  <c r="A277" i="2"/>
  <c r="J230" i="2"/>
  <c r="G275" i="2"/>
  <c r="E275" i="2"/>
  <c r="F275" i="2" s="1"/>
  <c r="D276" i="2"/>
  <c r="M276" i="2" s="1"/>
  <c r="C277" i="2"/>
  <c r="B277" i="2" l="1"/>
  <c r="H277" i="2" s="1"/>
  <c r="L277" i="2" s="1"/>
  <c r="A278" i="2"/>
  <c r="K230" i="2"/>
  <c r="I230" i="2"/>
  <c r="G276" i="2"/>
  <c r="E276" i="2"/>
  <c r="F276" i="2" s="1"/>
  <c r="D277" i="2"/>
  <c r="M277" i="2" s="1"/>
  <c r="C278" i="2"/>
  <c r="A279" i="2" l="1"/>
  <c r="B278" i="2"/>
  <c r="H278" i="2" s="1"/>
  <c r="L278" i="2" s="1"/>
  <c r="J231" i="2"/>
  <c r="K231" i="2" s="1"/>
  <c r="I231" i="2" s="1"/>
  <c r="G277" i="2"/>
  <c r="E277" i="2"/>
  <c r="F277" i="2" s="1"/>
  <c r="D278" i="2"/>
  <c r="M278" i="2" s="1"/>
  <c r="C279" i="2"/>
  <c r="A280" i="2" l="1"/>
  <c r="B279" i="2"/>
  <c r="H279" i="2" s="1"/>
  <c r="L279" i="2" s="1"/>
  <c r="J232" i="2"/>
  <c r="K232" i="2"/>
  <c r="G278" i="2"/>
  <c r="E278" i="2"/>
  <c r="F278" i="2" s="1"/>
  <c r="D279" i="2"/>
  <c r="M279" i="2" s="1"/>
  <c r="C280" i="2"/>
  <c r="A281" i="2" l="1"/>
  <c r="B280" i="2"/>
  <c r="H280" i="2" s="1"/>
  <c r="L280" i="2" s="1"/>
  <c r="I232" i="2"/>
  <c r="J233" i="2"/>
  <c r="K233" i="2" s="1"/>
  <c r="G279" i="2"/>
  <c r="E279" i="2"/>
  <c r="F279" i="2" s="1"/>
  <c r="D280" i="2"/>
  <c r="M280" i="2" s="1"/>
  <c r="C281" i="2"/>
  <c r="A282" i="2" l="1"/>
  <c r="B281" i="2"/>
  <c r="H281" i="2" s="1"/>
  <c r="L281" i="2" s="1"/>
  <c r="I233" i="2"/>
  <c r="J234" i="2"/>
  <c r="K234" i="2"/>
  <c r="G280" i="2"/>
  <c r="E280" i="2"/>
  <c r="F280" i="2" s="1"/>
  <c r="D281" i="2"/>
  <c r="M281" i="2" s="1"/>
  <c r="C282" i="2"/>
  <c r="B282" i="2" l="1"/>
  <c r="H282" i="2" s="1"/>
  <c r="L282" i="2" s="1"/>
  <c r="A283" i="2"/>
  <c r="I234" i="2"/>
  <c r="J235" i="2"/>
  <c r="K235" i="2"/>
  <c r="G281" i="2"/>
  <c r="E281" i="2"/>
  <c r="F281" i="2" s="1"/>
  <c r="D282" i="2"/>
  <c r="M282" i="2" s="1"/>
  <c r="C283" i="2"/>
  <c r="A284" i="2" l="1"/>
  <c r="B283" i="2"/>
  <c r="H283" i="2" s="1"/>
  <c r="L283" i="2" s="1"/>
  <c r="I235" i="2"/>
  <c r="J236" i="2"/>
  <c r="K236" i="2"/>
  <c r="G282" i="2"/>
  <c r="E282" i="2"/>
  <c r="F282" i="2" s="1"/>
  <c r="D283" i="2"/>
  <c r="M283" i="2" s="1"/>
  <c r="C284" i="2"/>
  <c r="B284" i="2" l="1"/>
  <c r="H284" i="2" s="1"/>
  <c r="L284" i="2" s="1"/>
  <c r="A285" i="2"/>
  <c r="I236" i="2"/>
  <c r="J237" i="2"/>
  <c r="K237" i="2"/>
  <c r="G283" i="2"/>
  <c r="E283" i="2"/>
  <c r="F283" i="2" s="1"/>
  <c r="D284" i="2"/>
  <c r="M284" i="2" s="1"/>
  <c r="C285" i="2"/>
  <c r="A286" i="2" l="1"/>
  <c r="B285" i="2"/>
  <c r="H285" i="2" s="1"/>
  <c r="L285" i="2" s="1"/>
  <c r="I237" i="2"/>
  <c r="J238" i="2"/>
  <c r="K238" i="2"/>
  <c r="G284" i="2"/>
  <c r="E284" i="2"/>
  <c r="F284" i="2" s="1"/>
  <c r="D285" i="2"/>
  <c r="M285" i="2" s="1"/>
  <c r="C286" i="2"/>
  <c r="A287" i="2" l="1"/>
  <c r="B286" i="2"/>
  <c r="H286" i="2" s="1"/>
  <c r="L286" i="2" s="1"/>
  <c r="I238" i="2"/>
  <c r="J239" i="2"/>
  <c r="G285" i="2"/>
  <c r="E285" i="2"/>
  <c r="F285" i="2" s="1"/>
  <c r="D286" i="2"/>
  <c r="M286" i="2" s="1"/>
  <c r="C287" i="2"/>
  <c r="A288" i="2" l="1"/>
  <c r="B287" i="2"/>
  <c r="H287" i="2" s="1"/>
  <c r="L287" i="2" s="1"/>
  <c r="K239" i="2"/>
  <c r="I239" i="2"/>
  <c r="J240" i="2"/>
  <c r="K240" i="2" s="1"/>
  <c r="G286" i="2"/>
  <c r="E286" i="2"/>
  <c r="F286" i="2" s="1"/>
  <c r="D287" i="2"/>
  <c r="M287" i="2" s="1"/>
  <c r="C288" i="2"/>
  <c r="B288" i="2" l="1"/>
  <c r="H288" i="2" s="1"/>
  <c r="L288" i="2" s="1"/>
  <c r="A289" i="2"/>
  <c r="I240" i="2"/>
  <c r="J241" i="2" s="1"/>
  <c r="G287" i="2"/>
  <c r="E287" i="2"/>
  <c r="F287" i="2" s="1"/>
  <c r="D288" i="2"/>
  <c r="M288" i="2" s="1"/>
  <c r="C289" i="2"/>
  <c r="B289" i="2" l="1"/>
  <c r="H289" i="2" s="1"/>
  <c r="L289" i="2" s="1"/>
  <c r="A290" i="2"/>
  <c r="K241" i="2"/>
  <c r="I241" i="2" s="1"/>
  <c r="G288" i="2"/>
  <c r="E288" i="2"/>
  <c r="F288" i="2" s="1"/>
  <c r="D289" i="2"/>
  <c r="M289" i="2" s="1"/>
  <c r="C290" i="2"/>
  <c r="A291" i="2" l="1"/>
  <c r="B290" i="2"/>
  <c r="H290" i="2" s="1"/>
  <c r="L290" i="2" s="1"/>
  <c r="J242" i="2"/>
  <c r="K242" i="2" s="1"/>
  <c r="I242" i="2" s="1"/>
  <c r="G289" i="2"/>
  <c r="E289" i="2"/>
  <c r="F289" i="2" s="1"/>
  <c r="D290" i="2"/>
  <c r="M290" i="2" s="1"/>
  <c r="C291" i="2"/>
  <c r="B291" i="2" l="1"/>
  <c r="H291" i="2" s="1"/>
  <c r="L291" i="2" s="1"/>
  <c r="A292" i="2"/>
  <c r="J243" i="2"/>
  <c r="K243" i="2" s="1"/>
  <c r="G290" i="2"/>
  <c r="E290" i="2"/>
  <c r="F290" i="2" s="1"/>
  <c r="D291" i="2"/>
  <c r="M291" i="2" s="1"/>
  <c r="C292" i="2"/>
  <c r="B292" i="2" l="1"/>
  <c r="H292" i="2" s="1"/>
  <c r="L292" i="2" s="1"/>
  <c r="A293" i="2"/>
  <c r="I243" i="2"/>
  <c r="G291" i="2"/>
  <c r="E291" i="2"/>
  <c r="F291" i="2" s="1"/>
  <c r="D292" i="2"/>
  <c r="M292" i="2" s="1"/>
  <c r="C293" i="2"/>
  <c r="B293" i="2" l="1"/>
  <c r="H293" i="2" s="1"/>
  <c r="L293" i="2" s="1"/>
  <c r="A294" i="2"/>
  <c r="J244" i="2"/>
  <c r="G292" i="2"/>
  <c r="E292" i="2"/>
  <c r="F292" i="2" s="1"/>
  <c r="D293" i="2"/>
  <c r="M293" i="2" s="1"/>
  <c r="C294" i="2"/>
  <c r="A295" i="2" l="1"/>
  <c r="B294" i="2"/>
  <c r="H294" i="2" s="1"/>
  <c r="L294" i="2" s="1"/>
  <c r="K244" i="2"/>
  <c r="I244" i="2"/>
  <c r="G293" i="2"/>
  <c r="E293" i="2"/>
  <c r="F293" i="2" s="1"/>
  <c r="D294" i="2"/>
  <c r="M294" i="2" s="1"/>
  <c r="C295" i="2"/>
  <c r="A296" i="2" l="1"/>
  <c r="B295" i="2"/>
  <c r="H295" i="2" s="1"/>
  <c r="L295" i="2" s="1"/>
  <c r="J245" i="2"/>
  <c r="K245" i="2" s="1"/>
  <c r="I245" i="2" s="1"/>
  <c r="G294" i="2"/>
  <c r="E294" i="2"/>
  <c r="F294" i="2" s="1"/>
  <c r="D295" i="2"/>
  <c r="M295" i="2" s="1"/>
  <c r="C296" i="2"/>
  <c r="A297" i="2" l="1"/>
  <c r="B296" i="2"/>
  <c r="H296" i="2" s="1"/>
  <c r="L296" i="2" s="1"/>
  <c r="J246" i="2"/>
  <c r="K246" i="2"/>
  <c r="G295" i="2"/>
  <c r="E295" i="2"/>
  <c r="F295" i="2" s="1"/>
  <c r="D296" i="2"/>
  <c r="M296" i="2" s="1"/>
  <c r="C297" i="2"/>
  <c r="A298" i="2" l="1"/>
  <c r="B297" i="2"/>
  <c r="H297" i="2" s="1"/>
  <c r="L297" i="2" s="1"/>
  <c r="I246" i="2"/>
  <c r="G296" i="2"/>
  <c r="E296" i="2"/>
  <c r="F296" i="2" s="1"/>
  <c r="D297" i="2"/>
  <c r="M297" i="2" s="1"/>
  <c r="C298" i="2"/>
  <c r="B298" i="2" l="1"/>
  <c r="H298" i="2" s="1"/>
  <c r="L298" i="2" s="1"/>
  <c r="A299" i="2"/>
  <c r="J247" i="2"/>
  <c r="I247" i="2" s="1"/>
  <c r="K247" i="2"/>
  <c r="G297" i="2"/>
  <c r="E297" i="2"/>
  <c r="F297" i="2" s="1"/>
  <c r="D298" i="2"/>
  <c r="M298" i="2" s="1"/>
  <c r="C299" i="2"/>
  <c r="B299" i="2" l="1"/>
  <c r="H299" i="2" s="1"/>
  <c r="L299" i="2" s="1"/>
  <c r="A300" i="2"/>
  <c r="J248" i="2"/>
  <c r="G298" i="2"/>
  <c r="E298" i="2"/>
  <c r="F298" i="2" s="1"/>
  <c r="D299" i="2"/>
  <c r="M299" i="2" s="1"/>
  <c r="C300" i="2"/>
  <c r="A301" i="2" l="1"/>
  <c r="B300" i="2"/>
  <c r="H300" i="2" s="1"/>
  <c r="L300" i="2" s="1"/>
  <c r="K248" i="2"/>
  <c r="I248" i="2" s="1"/>
  <c r="G299" i="2"/>
  <c r="E299" i="2"/>
  <c r="F299" i="2" s="1"/>
  <c r="D300" i="2"/>
  <c r="M300" i="2" s="1"/>
  <c r="C301" i="2"/>
  <c r="A302" i="2" l="1"/>
  <c r="B301" i="2"/>
  <c r="H301" i="2" s="1"/>
  <c r="L301" i="2" s="1"/>
  <c r="J249" i="2"/>
  <c r="G300" i="2"/>
  <c r="E300" i="2"/>
  <c r="F300" i="2" s="1"/>
  <c r="D301" i="2"/>
  <c r="M301" i="2" s="1"/>
  <c r="C302" i="2"/>
  <c r="B302" i="2" l="1"/>
  <c r="H302" i="2" s="1"/>
  <c r="L302" i="2" s="1"/>
  <c r="A303" i="2"/>
  <c r="K249" i="2"/>
  <c r="I249" i="2" s="1"/>
  <c r="G301" i="2"/>
  <c r="E301" i="2"/>
  <c r="F301" i="2" s="1"/>
  <c r="D302" i="2"/>
  <c r="M302" i="2" s="1"/>
  <c r="C303" i="2"/>
  <c r="A304" i="2" l="1"/>
  <c r="B303" i="2"/>
  <c r="H303" i="2" s="1"/>
  <c r="L303" i="2" s="1"/>
  <c r="J250" i="2"/>
  <c r="G302" i="2"/>
  <c r="E302" i="2"/>
  <c r="F302" i="2" s="1"/>
  <c r="D303" i="2"/>
  <c r="M303" i="2" s="1"/>
  <c r="C304" i="2"/>
  <c r="B304" i="2" l="1"/>
  <c r="H304" i="2" s="1"/>
  <c r="L304" i="2" s="1"/>
  <c r="A305" i="2"/>
  <c r="K250" i="2"/>
  <c r="I250" i="2"/>
  <c r="G303" i="2"/>
  <c r="E303" i="2"/>
  <c r="F303" i="2" s="1"/>
  <c r="D304" i="2"/>
  <c r="M304" i="2" s="1"/>
  <c r="C305" i="2"/>
  <c r="A306" i="2" l="1"/>
  <c r="B305" i="2"/>
  <c r="H305" i="2" s="1"/>
  <c r="L305" i="2" s="1"/>
  <c r="J251" i="2"/>
  <c r="G304" i="2"/>
  <c r="E304" i="2"/>
  <c r="F304" i="2" s="1"/>
  <c r="D305" i="2"/>
  <c r="M305" i="2" s="1"/>
  <c r="C306" i="2"/>
  <c r="A307" i="2" l="1"/>
  <c r="B306" i="2"/>
  <c r="H306" i="2" s="1"/>
  <c r="L306" i="2" s="1"/>
  <c r="K251" i="2"/>
  <c r="I251" i="2" s="1"/>
  <c r="J252" i="2" s="1"/>
  <c r="K252" i="2" s="1"/>
  <c r="I252" i="2" s="1"/>
  <c r="G305" i="2"/>
  <c r="E305" i="2"/>
  <c r="F305" i="2" s="1"/>
  <c r="D306" i="2"/>
  <c r="M306" i="2" s="1"/>
  <c r="C307" i="2"/>
  <c r="B307" i="2" l="1"/>
  <c r="H307" i="2" s="1"/>
  <c r="L307" i="2" s="1"/>
  <c r="A308" i="2"/>
  <c r="J253" i="2"/>
  <c r="K253" i="2"/>
  <c r="I253" i="2"/>
  <c r="G306" i="2"/>
  <c r="E306" i="2"/>
  <c r="F306" i="2" s="1"/>
  <c r="D307" i="2"/>
  <c r="M307" i="2" s="1"/>
  <c r="C308" i="2"/>
  <c r="A309" i="2" l="1"/>
  <c r="B308" i="2"/>
  <c r="H308" i="2" s="1"/>
  <c r="L308" i="2" s="1"/>
  <c r="J254" i="2"/>
  <c r="G307" i="2"/>
  <c r="E307" i="2"/>
  <c r="F307" i="2" s="1"/>
  <c r="D308" i="2"/>
  <c r="M308" i="2" s="1"/>
  <c r="C309" i="2"/>
  <c r="A310" i="2" l="1"/>
  <c r="B309" i="2"/>
  <c r="H309" i="2" s="1"/>
  <c r="L309" i="2" s="1"/>
  <c r="K254" i="2"/>
  <c r="I254" i="2" s="1"/>
  <c r="G308" i="2"/>
  <c r="E308" i="2"/>
  <c r="F308" i="2" s="1"/>
  <c r="D309" i="2"/>
  <c r="M309" i="2" s="1"/>
  <c r="C310" i="2"/>
  <c r="A311" i="2" l="1"/>
  <c r="B310" i="2"/>
  <c r="H310" i="2" s="1"/>
  <c r="L310" i="2" s="1"/>
  <c r="J255" i="2"/>
  <c r="K255" i="2"/>
  <c r="G309" i="2"/>
  <c r="E309" i="2"/>
  <c r="F309" i="2" s="1"/>
  <c r="D310" i="2"/>
  <c r="M310" i="2" s="1"/>
  <c r="C311" i="2"/>
  <c r="A312" i="2" l="1"/>
  <c r="B311" i="2"/>
  <c r="H311" i="2" s="1"/>
  <c r="L311" i="2" s="1"/>
  <c r="I255" i="2"/>
  <c r="G310" i="2"/>
  <c r="E310" i="2"/>
  <c r="F310" i="2" s="1"/>
  <c r="D311" i="2"/>
  <c r="M311" i="2" s="1"/>
  <c r="C312" i="2"/>
  <c r="A313" i="2" l="1"/>
  <c r="B312" i="2"/>
  <c r="H312" i="2" s="1"/>
  <c r="L312" i="2" s="1"/>
  <c r="J256" i="2"/>
  <c r="K256" i="2"/>
  <c r="G311" i="2"/>
  <c r="E311" i="2"/>
  <c r="F311" i="2" s="1"/>
  <c r="D312" i="2"/>
  <c r="M312" i="2" s="1"/>
  <c r="C313" i="2"/>
  <c r="B313" i="2" l="1"/>
  <c r="H313" i="2" s="1"/>
  <c r="L313" i="2" s="1"/>
  <c r="A314" i="2"/>
  <c r="I256" i="2"/>
  <c r="G312" i="2"/>
  <c r="E312" i="2"/>
  <c r="F312" i="2" s="1"/>
  <c r="D313" i="2"/>
  <c r="M313" i="2" s="1"/>
  <c r="C314" i="2"/>
  <c r="A315" i="2" l="1"/>
  <c r="B314" i="2"/>
  <c r="H314" i="2" s="1"/>
  <c r="L314" i="2" s="1"/>
  <c r="J257" i="2"/>
  <c r="G313" i="2"/>
  <c r="E313" i="2"/>
  <c r="F313" i="2" s="1"/>
  <c r="D314" i="2"/>
  <c r="M314" i="2" s="1"/>
  <c r="C315" i="2"/>
  <c r="A316" i="2" l="1"/>
  <c r="B315" i="2"/>
  <c r="H315" i="2" s="1"/>
  <c r="L315" i="2" s="1"/>
  <c r="K257" i="2"/>
  <c r="I257" i="2" s="1"/>
  <c r="G314" i="2"/>
  <c r="E314" i="2"/>
  <c r="F314" i="2" s="1"/>
  <c r="D315" i="2"/>
  <c r="M315" i="2" s="1"/>
  <c r="C316" i="2"/>
  <c r="A317" i="2" l="1"/>
  <c r="B316" i="2"/>
  <c r="H316" i="2" s="1"/>
  <c r="L316" i="2" s="1"/>
  <c r="J258" i="2"/>
  <c r="K258" i="2"/>
  <c r="I258" i="2"/>
  <c r="G315" i="2"/>
  <c r="E315" i="2"/>
  <c r="F315" i="2" s="1"/>
  <c r="D316" i="2"/>
  <c r="M316" i="2" s="1"/>
  <c r="C317" i="2"/>
  <c r="B317" i="2" l="1"/>
  <c r="H317" i="2" s="1"/>
  <c r="L317" i="2" s="1"/>
  <c r="A318" i="2"/>
  <c r="J259" i="2"/>
  <c r="E316" i="2"/>
  <c r="F316" i="2" s="1"/>
  <c r="G316" i="2"/>
  <c r="D317" i="2"/>
  <c r="M317" i="2" s="1"/>
  <c r="C318" i="2"/>
  <c r="A319" i="2" l="1"/>
  <c r="B318" i="2"/>
  <c r="H318" i="2" s="1"/>
  <c r="L318" i="2" s="1"/>
  <c r="K259" i="2"/>
  <c r="I259" i="2" s="1"/>
  <c r="E317" i="2"/>
  <c r="F317" i="2" s="1"/>
  <c r="G317" i="2"/>
  <c r="D318" i="2"/>
  <c r="M318" i="2" s="1"/>
  <c r="C319" i="2"/>
  <c r="A320" i="2" l="1"/>
  <c r="B319" i="2"/>
  <c r="H319" i="2" s="1"/>
  <c r="L319" i="2" s="1"/>
  <c r="J260" i="2"/>
  <c r="K260" i="2"/>
  <c r="I260" i="2" s="1"/>
  <c r="J261" i="2" s="1"/>
  <c r="K261" i="2" s="1"/>
  <c r="I261" i="2" s="1"/>
  <c r="E318" i="2"/>
  <c r="F318" i="2" s="1"/>
  <c r="G318" i="2"/>
  <c r="D319" i="2"/>
  <c r="M319" i="2" s="1"/>
  <c r="C320" i="2"/>
  <c r="A321" i="2" l="1"/>
  <c r="B320" i="2"/>
  <c r="H320" i="2" s="1"/>
  <c r="L320" i="2" s="1"/>
  <c r="J262" i="2"/>
  <c r="E319" i="2"/>
  <c r="F319" i="2" s="1"/>
  <c r="G319" i="2"/>
  <c r="D320" i="2"/>
  <c r="M320" i="2" s="1"/>
  <c r="C321" i="2"/>
  <c r="A322" i="2" l="1"/>
  <c r="B321" i="2"/>
  <c r="H321" i="2" s="1"/>
  <c r="L321" i="2" s="1"/>
  <c r="K262" i="2"/>
  <c r="I262" i="2" s="1"/>
  <c r="G320" i="2"/>
  <c r="E320" i="2"/>
  <c r="F320" i="2" s="1"/>
  <c r="D321" i="2"/>
  <c r="M321" i="2" s="1"/>
  <c r="C322" i="2"/>
  <c r="A323" i="2" l="1"/>
  <c r="B322" i="2"/>
  <c r="H322" i="2" s="1"/>
  <c r="L322" i="2" s="1"/>
  <c r="J263" i="2"/>
  <c r="K263" i="2"/>
  <c r="I263" i="2" s="1"/>
  <c r="G321" i="2"/>
  <c r="E321" i="2"/>
  <c r="F321" i="2" s="1"/>
  <c r="D322" i="2"/>
  <c r="M322" i="2" s="1"/>
  <c r="C323" i="2"/>
  <c r="A324" i="2" l="1"/>
  <c r="B323" i="2"/>
  <c r="H323" i="2" s="1"/>
  <c r="L323" i="2" s="1"/>
  <c r="J264" i="2"/>
  <c r="G322" i="2"/>
  <c r="E322" i="2"/>
  <c r="F322" i="2" s="1"/>
  <c r="D323" i="2"/>
  <c r="M323" i="2" s="1"/>
  <c r="C324" i="2"/>
  <c r="A325" i="2" l="1"/>
  <c r="B324" i="2"/>
  <c r="H324" i="2" s="1"/>
  <c r="L324" i="2" s="1"/>
  <c r="K264" i="2"/>
  <c r="I264" i="2" s="1"/>
  <c r="J265" i="2" s="1"/>
  <c r="K265" i="2" s="1"/>
  <c r="I265" i="2" s="1"/>
  <c r="G323" i="2"/>
  <c r="E323" i="2"/>
  <c r="F323" i="2" s="1"/>
  <c r="D324" i="2"/>
  <c r="M324" i="2" s="1"/>
  <c r="C325" i="2"/>
  <c r="B325" i="2" l="1"/>
  <c r="H325" i="2" s="1"/>
  <c r="L325" i="2" s="1"/>
  <c r="A326" i="2"/>
  <c r="J266" i="2"/>
  <c r="K266" i="2" s="1"/>
  <c r="I266" i="2" s="1"/>
  <c r="J267" i="2" s="1"/>
  <c r="K267" i="2" s="1"/>
  <c r="I267" i="2" s="1"/>
  <c r="G324" i="2"/>
  <c r="E324" i="2"/>
  <c r="F324" i="2" s="1"/>
  <c r="D325" i="2"/>
  <c r="M325" i="2" s="1"/>
  <c r="C326" i="2"/>
  <c r="A327" i="2" l="1"/>
  <c r="B326" i="2"/>
  <c r="H326" i="2" s="1"/>
  <c r="L326" i="2" s="1"/>
  <c r="J268" i="2"/>
  <c r="G325" i="2"/>
  <c r="E325" i="2"/>
  <c r="F325" i="2" s="1"/>
  <c r="D326" i="2"/>
  <c r="M326" i="2" s="1"/>
  <c r="C327" i="2"/>
  <c r="A328" i="2" l="1"/>
  <c r="B327" i="2"/>
  <c r="H327" i="2" s="1"/>
  <c r="L327" i="2" s="1"/>
  <c r="K268" i="2"/>
  <c r="I268" i="2" s="1"/>
  <c r="G326" i="2"/>
  <c r="E326" i="2"/>
  <c r="F326" i="2" s="1"/>
  <c r="D327" i="2"/>
  <c r="M327" i="2" s="1"/>
  <c r="C328" i="2"/>
  <c r="A329" i="2" l="1"/>
  <c r="B328" i="2"/>
  <c r="H328" i="2" s="1"/>
  <c r="L328" i="2" s="1"/>
  <c r="J269" i="2"/>
  <c r="K269" i="2"/>
  <c r="I269" i="2"/>
  <c r="J270" i="2" s="1"/>
  <c r="K270" i="2" s="1"/>
  <c r="I270" i="2" s="1"/>
  <c r="G327" i="2"/>
  <c r="E327" i="2"/>
  <c r="F327" i="2" s="1"/>
  <c r="D328" i="2"/>
  <c r="M328" i="2" s="1"/>
  <c r="C329" i="2"/>
  <c r="A330" i="2" l="1"/>
  <c r="B329" i="2"/>
  <c r="H329" i="2" s="1"/>
  <c r="L329" i="2" s="1"/>
  <c r="J271" i="2"/>
  <c r="K271" i="2" s="1"/>
  <c r="I271" i="2" s="1"/>
  <c r="G328" i="2"/>
  <c r="E328" i="2"/>
  <c r="F328" i="2" s="1"/>
  <c r="D329" i="2"/>
  <c r="M329" i="2" s="1"/>
  <c r="C330" i="2"/>
  <c r="A331" i="2" l="1"/>
  <c r="B330" i="2"/>
  <c r="H330" i="2" s="1"/>
  <c r="L330" i="2" s="1"/>
  <c r="J272" i="2"/>
  <c r="G329" i="2"/>
  <c r="E329" i="2"/>
  <c r="F329" i="2" s="1"/>
  <c r="D330" i="2"/>
  <c r="M330" i="2" s="1"/>
  <c r="C331" i="2"/>
  <c r="A332" i="2" l="1"/>
  <c r="B331" i="2"/>
  <c r="H331" i="2" s="1"/>
  <c r="L331" i="2" s="1"/>
  <c r="K272" i="2"/>
  <c r="I272" i="2" s="1"/>
  <c r="G330" i="2"/>
  <c r="E330" i="2"/>
  <c r="F330" i="2" s="1"/>
  <c r="D331" i="2"/>
  <c r="M331" i="2" s="1"/>
  <c r="C332" i="2"/>
  <c r="A333" i="2" l="1"/>
  <c r="B332" i="2"/>
  <c r="H332" i="2" s="1"/>
  <c r="L332" i="2" s="1"/>
  <c r="J273" i="2"/>
  <c r="K273" i="2"/>
  <c r="I273" i="2" s="1"/>
  <c r="G331" i="2"/>
  <c r="E331" i="2"/>
  <c r="F331" i="2" s="1"/>
  <c r="D332" i="2"/>
  <c r="M332" i="2" s="1"/>
  <c r="C333" i="2"/>
  <c r="A334" i="2" l="1"/>
  <c r="B333" i="2"/>
  <c r="H333" i="2" s="1"/>
  <c r="L333" i="2" s="1"/>
  <c r="J274" i="2"/>
  <c r="K274" i="2" s="1"/>
  <c r="I274" i="2" s="1"/>
  <c r="G332" i="2"/>
  <c r="E332" i="2"/>
  <c r="F332" i="2" s="1"/>
  <c r="D333" i="2"/>
  <c r="M333" i="2" s="1"/>
  <c r="C334" i="2"/>
  <c r="A335" i="2" l="1"/>
  <c r="B334" i="2"/>
  <c r="H334" i="2" s="1"/>
  <c r="L334" i="2" s="1"/>
  <c r="J275" i="2"/>
  <c r="K275" i="2" s="1"/>
  <c r="I275" i="2" s="1"/>
  <c r="G333" i="2"/>
  <c r="E333" i="2"/>
  <c r="F333" i="2" s="1"/>
  <c r="D334" i="2"/>
  <c r="M334" i="2" s="1"/>
  <c r="C335" i="2"/>
  <c r="A336" i="2" l="1"/>
  <c r="B335" i="2"/>
  <c r="H335" i="2" s="1"/>
  <c r="L335" i="2" s="1"/>
  <c r="J276" i="2"/>
  <c r="G334" i="2"/>
  <c r="E334" i="2"/>
  <c r="F334" i="2" s="1"/>
  <c r="D335" i="2"/>
  <c r="M335" i="2" s="1"/>
  <c r="C336" i="2"/>
  <c r="A337" i="2" l="1"/>
  <c r="B336" i="2"/>
  <c r="H336" i="2" s="1"/>
  <c r="L336" i="2" s="1"/>
  <c r="K276" i="2"/>
  <c r="I276" i="2" s="1"/>
  <c r="G335" i="2"/>
  <c r="E335" i="2"/>
  <c r="F335" i="2" s="1"/>
  <c r="D336" i="2"/>
  <c r="M336" i="2" s="1"/>
  <c r="C337" i="2"/>
  <c r="A338" i="2" l="1"/>
  <c r="B337" i="2"/>
  <c r="H337" i="2" s="1"/>
  <c r="L337" i="2" s="1"/>
  <c r="J277" i="2"/>
  <c r="K277" i="2"/>
  <c r="I277" i="2" s="1"/>
  <c r="G336" i="2"/>
  <c r="E336" i="2"/>
  <c r="F336" i="2" s="1"/>
  <c r="D337" i="2"/>
  <c r="M337" i="2" s="1"/>
  <c r="C338" i="2"/>
  <c r="A339" i="2" l="1"/>
  <c r="B338" i="2"/>
  <c r="H338" i="2" s="1"/>
  <c r="L338" i="2" s="1"/>
  <c r="J278" i="2"/>
  <c r="G337" i="2"/>
  <c r="E337" i="2"/>
  <c r="F337" i="2" s="1"/>
  <c r="D338" i="2"/>
  <c r="M338" i="2" s="1"/>
  <c r="C339" i="2"/>
  <c r="A340" i="2" l="1"/>
  <c r="B339" i="2"/>
  <c r="H339" i="2" s="1"/>
  <c r="L339" i="2" s="1"/>
  <c r="K278" i="2"/>
  <c r="I278" i="2" s="1"/>
  <c r="J279" i="2" s="1"/>
  <c r="K279" i="2" s="1"/>
  <c r="I279" i="2" s="1"/>
  <c r="G338" i="2"/>
  <c r="E338" i="2"/>
  <c r="F338" i="2" s="1"/>
  <c r="D339" i="2"/>
  <c r="M339" i="2" s="1"/>
  <c r="C340" i="2"/>
  <c r="A341" i="2" l="1"/>
  <c r="B340" i="2"/>
  <c r="H340" i="2" s="1"/>
  <c r="L340" i="2" s="1"/>
  <c r="J280" i="2"/>
  <c r="K280" i="2"/>
  <c r="I280" i="2" s="1"/>
  <c r="G339" i="2"/>
  <c r="E339" i="2"/>
  <c r="F339" i="2" s="1"/>
  <c r="D340" i="2"/>
  <c r="M340" i="2" s="1"/>
  <c r="C341" i="2"/>
  <c r="B341" i="2" l="1"/>
  <c r="H341" i="2" s="1"/>
  <c r="L341" i="2" s="1"/>
  <c r="A342" i="2"/>
  <c r="J281" i="2"/>
  <c r="K281" i="2" s="1"/>
  <c r="I281" i="2" s="1"/>
  <c r="J282" i="2" s="1"/>
  <c r="K282" i="2" s="1"/>
  <c r="I282" i="2" s="1"/>
  <c r="G340" i="2"/>
  <c r="E340" i="2"/>
  <c r="F340" i="2" s="1"/>
  <c r="D341" i="2"/>
  <c r="M341" i="2" s="1"/>
  <c r="C342" i="2"/>
  <c r="B342" i="2" l="1"/>
  <c r="H342" i="2" s="1"/>
  <c r="L342" i="2" s="1"/>
  <c r="A343" i="2"/>
  <c r="J283" i="2"/>
  <c r="G341" i="2"/>
  <c r="E341" i="2"/>
  <c r="F341" i="2" s="1"/>
  <c r="D342" i="2"/>
  <c r="M342" i="2" s="1"/>
  <c r="C343" i="2"/>
  <c r="A344" i="2" l="1"/>
  <c r="B343" i="2"/>
  <c r="H343" i="2" s="1"/>
  <c r="L343" i="2" s="1"/>
  <c r="K283" i="2"/>
  <c r="I283" i="2" s="1"/>
  <c r="G342" i="2"/>
  <c r="E342" i="2"/>
  <c r="F342" i="2" s="1"/>
  <c r="D343" i="2"/>
  <c r="M343" i="2" s="1"/>
  <c r="C344" i="2"/>
  <c r="B344" i="2" l="1"/>
  <c r="H344" i="2" s="1"/>
  <c r="L344" i="2" s="1"/>
  <c r="A345" i="2"/>
  <c r="J284" i="2"/>
  <c r="K284" i="2" s="1"/>
  <c r="I284" i="2" s="1"/>
  <c r="J285" i="2" s="1"/>
  <c r="K285" i="2" s="1"/>
  <c r="I285" i="2" s="1"/>
  <c r="G343" i="2"/>
  <c r="E343" i="2"/>
  <c r="F343" i="2" s="1"/>
  <c r="D344" i="2"/>
  <c r="M344" i="2" s="1"/>
  <c r="C345" i="2"/>
  <c r="A346" i="2" l="1"/>
  <c r="B345" i="2"/>
  <c r="H345" i="2" s="1"/>
  <c r="L345" i="2" s="1"/>
  <c r="J286" i="2"/>
  <c r="K286" i="2" s="1"/>
  <c r="I286" i="2" s="1"/>
  <c r="G344" i="2"/>
  <c r="E344" i="2"/>
  <c r="F344" i="2" s="1"/>
  <c r="D345" i="2"/>
  <c r="M345" i="2" s="1"/>
  <c r="C346" i="2"/>
  <c r="B346" i="2" l="1"/>
  <c r="H346" i="2" s="1"/>
  <c r="L346" i="2" s="1"/>
  <c r="A347" i="2"/>
  <c r="J287" i="2"/>
  <c r="K287" i="2"/>
  <c r="I287" i="2"/>
  <c r="G345" i="2"/>
  <c r="E345" i="2"/>
  <c r="F345" i="2" s="1"/>
  <c r="D346" i="2"/>
  <c r="M346" i="2" s="1"/>
  <c r="C347" i="2"/>
  <c r="B347" i="2" l="1"/>
  <c r="H347" i="2" s="1"/>
  <c r="L347" i="2" s="1"/>
  <c r="A348" i="2"/>
  <c r="J288" i="2"/>
  <c r="K288" i="2" s="1"/>
  <c r="I288" i="2" s="1"/>
  <c r="G346" i="2"/>
  <c r="E346" i="2"/>
  <c r="F346" i="2" s="1"/>
  <c r="D347" i="2"/>
  <c r="M347" i="2" s="1"/>
  <c r="C348" i="2"/>
  <c r="A349" i="2" l="1"/>
  <c r="B348" i="2"/>
  <c r="H348" i="2" s="1"/>
  <c r="L348" i="2" s="1"/>
  <c r="J289" i="2"/>
  <c r="K289" i="2" s="1"/>
  <c r="I289" i="2" s="1"/>
  <c r="G347" i="2"/>
  <c r="E347" i="2"/>
  <c r="F347" i="2" s="1"/>
  <c r="D348" i="2"/>
  <c r="M348" i="2" s="1"/>
  <c r="C349" i="2"/>
  <c r="A350" i="2" l="1"/>
  <c r="B349" i="2"/>
  <c r="H349" i="2" s="1"/>
  <c r="L349" i="2" s="1"/>
  <c r="J290" i="2"/>
  <c r="G348" i="2"/>
  <c r="E348" i="2"/>
  <c r="F348" i="2" s="1"/>
  <c r="D349" i="2"/>
  <c r="M349" i="2" s="1"/>
  <c r="C350" i="2"/>
  <c r="A351" i="2" l="1"/>
  <c r="B350" i="2"/>
  <c r="H350" i="2" s="1"/>
  <c r="L350" i="2" s="1"/>
  <c r="K290" i="2"/>
  <c r="I290" i="2" s="1"/>
  <c r="G349" i="2"/>
  <c r="E349" i="2"/>
  <c r="F349" i="2" s="1"/>
  <c r="D350" i="2"/>
  <c r="M350" i="2" s="1"/>
  <c r="C351" i="2"/>
  <c r="A352" i="2" l="1"/>
  <c r="B351" i="2"/>
  <c r="H351" i="2" s="1"/>
  <c r="L351" i="2" s="1"/>
  <c r="J291" i="2"/>
  <c r="K291" i="2"/>
  <c r="I291" i="2"/>
  <c r="G350" i="2"/>
  <c r="E350" i="2"/>
  <c r="F350" i="2" s="1"/>
  <c r="D351" i="2"/>
  <c r="M351" i="2" s="1"/>
  <c r="C352" i="2"/>
  <c r="A353" i="2" l="1"/>
  <c r="B352" i="2"/>
  <c r="H352" i="2" s="1"/>
  <c r="L352" i="2" s="1"/>
  <c r="J292" i="2"/>
  <c r="G351" i="2"/>
  <c r="E351" i="2"/>
  <c r="F351" i="2" s="1"/>
  <c r="D352" i="2"/>
  <c r="M352" i="2" s="1"/>
  <c r="C353" i="2"/>
  <c r="A354" i="2" l="1"/>
  <c r="B353" i="2"/>
  <c r="H353" i="2" s="1"/>
  <c r="L353" i="2" s="1"/>
  <c r="K292" i="2"/>
  <c r="I292" i="2" s="1"/>
  <c r="G352" i="2"/>
  <c r="E352" i="2"/>
  <c r="F352" i="2" s="1"/>
  <c r="D353" i="2"/>
  <c r="M353" i="2" s="1"/>
  <c r="C354" i="2"/>
  <c r="A355" i="2" l="1"/>
  <c r="B354" i="2"/>
  <c r="H354" i="2" s="1"/>
  <c r="L354" i="2" s="1"/>
  <c r="J293" i="2"/>
  <c r="K293" i="2"/>
  <c r="I293" i="2" s="1"/>
  <c r="G353" i="2"/>
  <c r="E353" i="2"/>
  <c r="F353" i="2" s="1"/>
  <c r="D354" i="2"/>
  <c r="M354" i="2" s="1"/>
  <c r="C355" i="2"/>
  <c r="A356" i="2" l="1"/>
  <c r="B355" i="2"/>
  <c r="H355" i="2" s="1"/>
  <c r="L355" i="2" s="1"/>
  <c r="J294" i="2"/>
  <c r="G354" i="2"/>
  <c r="E354" i="2"/>
  <c r="F354" i="2" s="1"/>
  <c r="D355" i="2"/>
  <c r="M355" i="2" s="1"/>
  <c r="C356" i="2"/>
  <c r="A357" i="2" l="1"/>
  <c r="B356" i="2"/>
  <c r="H356" i="2" s="1"/>
  <c r="L356" i="2" s="1"/>
  <c r="K294" i="2"/>
  <c r="I294" i="2" s="1"/>
  <c r="G355" i="2"/>
  <c r="E355" i="2"/>
  <c r="F355" i="2" s="1"/>
  <c r="D356" i="2"/>
  <c r="M356" i="2" s="1"/>
  <c r="C357" i="2"/>
  <c r="A358" i="2" l="1"/>
  <c r="B357" i="2"/>
  <c r="H357" i="2" s="1"/>
  <c r="L357" i="2" s="1"/>
  <c r="J295" i="2"/>
  <c r="K295" i="2" s="1"/>
  <c r="I295" i="2" s="1"/>
  <c r="G356" i="2"/>
  <c r="E356" i="2"/>
  <c r="F356" i="2" s="1"/>
  <c r="D357" i="2"/>
  <c r="M357" i="2" s="1"/>
  <c r="C358" i="2"/>
  <c r="A359" i="2" l="1"/>
  <c r="B358" i="2"/>
  <c r="H358" i="2" s="1"/>
  <c r="L358" i="2" s="1"/>
  <c r="J296" i="2"/>
  <c r="K296" i="2" s="1"/>
  <c r="I296" i="2" s="1"/>
  <c r="J297" i="2" s="1"/>
  <c r="K297" i="2" s="1"/>
  <c r="I297" i="2" s="1"/>
  <c r="G357" i="2"/>
  <c r="E357" i="2"/>
  <c r="F357" i="2" s="1"/>
  <c r="D358" i="2"/>
  <c r="M358" i="2" s="1"/>
  <c r="C359" i="2"/>
  <c r="A360" i="2" l="1"/>
  <c r="B359" i="2"/>
  <c r="H359" i="2" s="1"/>
  <c r="L359" i="2" s="1"/>
  <c r="J298" i="2"/>
  <c r="K298" i="2" s="1"/>
  <c r="I298" i="2" s="1"/>
  <c r="G358" i="2"/>
  <c r="E358" i="2"/>
  <c r="F358" i="2" s="1"/>
  <c r="D359" i="2"/>
  <c r="M359" i="2" s="1"/>
  <c r="C360" i="2"/>
  <c r="B360" i="2" l="1"/>
  <c r="H360" i="2" s="1"/>
  <c r="L360" i="2" s="1"/>
  <c r="A361" i="2"/>
  <c r="J299" i="2"/>
  <c r="K299" i="2"/>
  <c r="G359" i="2"/>
  <c r="E359" i="2"/>
  <c r="F359" i="2" s="1"/>
  <c r="D360" i="2"/>
  <c r="M360" i="2" s="1"/>
  <c r="C361" i="2"/>
  <c r="I299" i="2" l="1"/>
  <c r="A362" i="2"/>
  <c r="B361" i="2"/>
  <c r="H361" i="2" s="1"/>
  <c r="L361" i="2" s="1"/>
  <c r="J300" i="2"/>
  <c r="K300" i="2" s="1"/>
  <c r="I300" i="2" s="1"/>
  <c r="G360" i="2"/>
  <c r="E360" i="2"/>
  <c r="F360" i="2" s="1"/>
  <c r="D361" i="2"/>
  <c r="M361" i="2" s="1"/>
  <c r="C362" i="2"/>
  <c r="B362" i="2" l="1"/>
  <c r="H362" i="2" s="1"/>
  <c r="L362" i="2" s="1"/>
  <c r="A363" i="2"/>
  <c r="J301" i="2"/>
  <c r="K301" i="2" s="1"/>
  <c r="I301" i="2" s="1"/>
  <c r="G361" i="2"/>
  <c r="E361" i="2"/>
  <c r="F361" i="2" s="1"/>
  <c r="D362" i="2"/>
  <c r="M362" i="2" s="1"/>
  <c r="C363" i="2"/>
  <c r="B363" i="2" l="1"/>
  <c r="H363" i="2" s="1"/>
  <c r="L363" i="2" s="1"/>
  <c r="A364" i="2"/>
  <c r="J302" i="2"/>
  <c r="K302" i="2"/>
  <c r="G362" i="2"/>
  <c r="E362" i="2"/>
  <c r="F362" i="2" s="1"/>
  <c r="D363" i="2"/>
  <c r="M363" i="2" s="1"/>
  <c r="C364" i="2"/>
  <c r="A365" i="2" l="1"/>
  <c r="B364" i="2"/>
  <c r="H364" i="2" s="1"/>
  <c r="L364" i="2" s="1"/>
  <c r="I302" i="2"/>
  <c r="G363" i="2"/>
  <c r="E363" i="2"/>
  <c r="F363" i="2" s="1"/>
  <c r="D364" i="2"/>
  <c r="M364" i="2" s="1"/>
  <c r="C365" i="2"/>
  <c r="B365" i="2" l="1"/>
  <c r="H365" i="2" s="1"/>
  <c r="L365" i="2" s="1"/>
  <c r="A366" i="2"/>
  <c r="J303" i="2"/>
  <c r="K303" i="2"/>
  <c r="I303" i="2" s="1"/>
  <c r="G364" i="2"/>
  <c r="E364" i="2"/>
  <c r="F364" i="2" s="1"/>
  <c r="D365" i="2"/>
  <c r="M365" i="2" s="1"/>
  <c r="C366" i="2"/>
  <c r="A367" i="2" l="1"/>
  <c r="B366" i="2"/>
  <c r="H366" i="2" s="1"/>
  <c r="L366" i="2" s="1"/>
  <c r="J304" i="2"/>
  <c r="G365" i="2"/>
  <c r="E365" i="2"/>
  <c r="F365" i="2" s="1"/>
  <c r="D366" i="2"/>
  <c r="M366" i="2" s="1"/>
  <c r="C367" i="2"/>
  <c r="A368" i="2" l="1"/>
  <c r="B367" i="2"/>
  <c r="H367" i="2" s="1"/>
  <c r="L367" i="2" s="1"/>
  <c r="K304" i="2"/>
  <c r="I304" i="2" s="1"/>
  <c r="G366" i="2"/>
  <c r="E366" i="2"/>
  <c r="F366" i="2" s="1"/>
  <c r="D367" i="2"/>
  <c r="M367" i="2" s="1"/>
  <c r="C368" i="2"/>
  <c r="A369" i="2" l="1"/>
  <c r="B368" i="2"/>
  <c r="H368" i="2" s="1"/>
  <c r="L368" i="2" s="1"/>
  <c r="J305" i="2"/>
  <c r="G367" i="2"/>
  <c r="E367" i="2"/>
  <c r="F367" i="2" s="1"/>
  <c r="D368" i="2"/>
  <c r="M368" i="2" s="1"/>
  <c r="C369" i="2"/>
  <c r="B369" i="2" l="1"/>
  <c r="H369" i="2" s="1"/>
  <c r="L369" i="2" s="1"/>
  <c r="A370" i="2"/>
  <c r="K305" i="2"/>
  <c r="I305" i="2" s="1"/>
  <c r="G368" i="2"/>
  <c r="E368" i="2"/>
  <c r="F368" i="2" s="1"/>
  <c r="D369" i="2"/>
  <c r="M369" i="2" s="1"/>
  <c r="C370" i="2"/>
  <c r="B370" i="2" l="1"/>
  <c r="H370" i="2" s="1"/>
  <c r="L370" i="2" s="1"/>
  <c r="A371" i="2"/>
  <c r="J306" i="2"/>
  <c r="K306" i="2" s="1"/>
  <c r="I306" i="2" s="1"/>
  <c r="G369" i="2"/>
  <c r="E369" i="2"/>
  <c r="F369" i="2" s="1"/>
  <c r="D370" i="2"/>
  <c r="M370" i="2" s="1"/>
  <c r="C371" i="2"/>
  <c r="A372" i="2" l="1"/>
  <c r="B371" i="2"/>
  <c r="H371" i="2" s="1"/>
  <c r="L371" i="2" s="1"/>
  <c r="J307" i="2"/>
  <c r="G370" i="2"/>
  <c r="E370" i="2"/>
  <c r="F370" i="2" s="1"/>
  <c r="D371" i="2"/>
  <c r="M371" i="2" s="1"/>
  <c r="C372" i="2"/>
  <c r="A373" i="2" l="1"/>
  <c r="B372" i="2"/>
  <c r="H372" i="2" s="1"/>
  <c r="L372" i="2" s="1"/>
  <c r="K307" i="2"/>
  <c r="I307" i="2" s="1"/>
  <c r="G371" i="2"/>
  <c r="E371" i="2"/>
  <c r="F371" i="2" s="1"/>
  <c r="D372" i="2"/>
  <c r="M372" i="2" s="1"/>
  <c r="C373" i="2"/>
  <c r="B373" i="2" l="1"/>
  <c r="H373" i="2" s="1"/>
  <c r="L373" i="2" s="1"/>
  <c r="A374" i="2"/>
  <c r="J308" i="2"/>
  <c r="K308" i="2"/>
  <c r="G372" i="2"/>
  <c r="E372" i="2"/>
  <c r="F372" i="2" s="1"/>
  <c r="D373" i="2"/>
  <c r="M373" i="2" s="1"/>
  <c r="C374" i="2"/>
  <c r="B374" i="2" l="1"/>
  <c r="H374" i="2" s="1"/>
  <c r="L374" i="2" s="1"/>
  <c r="A375" i="2"/>
  <c r="I308" i="2"/>
  <c r="G373" i="2"/>
  <c r="E373" i="2"/>
  <c r="F373" i="2" s="1"/>
  <c r="D374" i="2"/>
  <c r="M374" i="2" s="1"/>
  <c r="C375" i="2"/>
  <c r="A376" i="2" l="1"/>
  <c r="B375" i="2"/>
  <c r="H375" i="2" s="1"/>
  <c r="L375" i="2" s="1"/>
  <c r="J309" i="2"/>
  <c r="K309" i="2" s="1"/>
  <c r="I309" i="2" s="1"/>
  <c r="G374" i="2"/>
  <c r="E374" i="2"/>
  <c r="F374" i="2" s="1"/>
  <c r="D375" i="2"/>
  <c r="M375" i="2" s="1"/>
  <c r="C376" i="2"/>
  <c r="A377" i="2" l="1"/>
  <c r="B376" i="2"/>
  <c r="H376" i="2" s="1"/>
  <c r="L376" i="2" s="1"/>
  <c r="J310" i="2"/>
  <c r="G375" i="2"/>
  <c r="E375" i="2"/>
  <c r="F375" i="2" s="1"/>
  <c r="D376" i="2"/>
  <c r="M376" i="2" s="1"/>
  <c r="C377" i="2"/>
  <c r="A378" i="2" l="1"/>
  <c r="B377" i="2"/>
  <c r="H377" i="2" s="1"/>
  <c r="L377" i="2" s="1"/>
  <c r="K310" i="2"/>
  <c r="I310" i="2"/>
  <c r="G376" i="2"/>
  <c r="E376" i="2"/>
  <c r="F376" i="2" s="1"/>
  <c r="D377" i="2"/>
  <c r="M377" i="2" s="1"/>
  <c r="C378" i="2"/>
  <c r="A379" i="2" l="1"/>
  <c r="B378" i="2"/>
  <c r="H378" i="2" s="1"/>
  <c r="L378" i="2" s="1"/>
  <c r="J311" i="2"/>
  <c r="G377" i="2"/>
  <c r="E377" i="2"/>
  <c r="F377" i="2" s="1"/>
  <c r="D378" i="2"/>
  <c r="M378" i="2" s="1"/>
  <c r="C379" i="2"/>
  <c r="B379" i="2" l="1"/>
  <c r="H379" i="2" s="1"/>
  <c r="L379" i="2" s="1"/>
  <c r="A380" i="2"/>
  <c r="K311" i="2"/>
  <c r="I311" i="2"/>
  <c r="G378" i="2"/>
  <c r="E378" i="2"/>
  <c r="F378" i="2" s="1"/>
  <c r="D379" i="2"/>
  <c r="M379" i="2" s="1"/>
  <c r="C380" i="2"/>
  <c r="A381" i="2" l="1"/>
  <c r="B380" i="2"/>
  <c r="H380" i="2" s="1"/>
  <c r="L380" i="2" s="1"/>
  <c r="J312" i="2"/>
  <c r="K312" i="2"/>
  <c r="I312" i="2"/>
  <c r="G379" i="2"/>
  <c r="E379" i="2"/>
  <c r="F379" i="2" s="1"/>
  <c r="D380" i="2"/>
  <c r="M380" i="2" s="1"/>
  <c r="C381" i="2"/>
  <c r="B381" i="2" l="1"/>
  <c r="H381" i="2" s="1"/>
  <c r="L381" i="2" s="1"/>
  <c r="A382" i="2"/>
  <c r="J313" i="2"/>
  <c r="G380" i="2"/>
  <c r="E380" i="2"/>
  <c r="F380" i="2" s="1"/>
  <c r="D381" i="2"/>
  <c r="M381" i="2" s="1"/>
  <c r="C382" i="2"/>
  <c r="B382" i="2" l="1"/>
  <c r="H382" i="2" s="1"/>
  <c r="L382" i="2" s="1"/>
  <c r="A383" i="2"/>
  <c r="K313" i="2"/>
  <c r="I313" i="2" s="1"/>
  <c r="G381" i="2"/>
  <c r="E381" i="2"/>
  <c r="F381" i="2" s="1"/>
  <c r="D382" i="2"/>
  <c r="M382" i="2" s="1"/>
  <c r="C383" i="2"/>
  <c r="B383" i="2" l="1"/>
  <c r="H383" i="2" s="1"/>
  <c r="L383" i="2" s="1"/>
  <c r="A384" i="2"/>
  <c r="J314" i="2"/>
  <c r="K314" i="2"/>
  <c r="I314" i="2" s="1"/>
  <c r="G382" i="2"/>
  <c r="E382" i="2"/>
  <c r="F382" i="2" s="1"/>
  <c r="D383" i="2"/>
  <c r="M383" i="2" s="1"/>
  <c r="C384" i="2"/>
  <c r="A385" i="2" l="1"/>
  <c r="B384" i="2"/>
  <c r="H384" i="2" s="1"/>
  <c r="L384" i="2" s="1"/>
  <c r="J315" i="2"/>
  <c r="G383" i="2"/>
  <c r="E383" i="2"/>
  <c r="F383" i="2" s="1"/>
  <c r="D384" i="2"/>
  <c r="M384" i="2" s="1"/>
  <c r="C385" i="2"/>
  <c r="A386" i="2" l="1"/>
  <c r="B385" i="2"/>
  <c r="H385" i="2" s="1"/>
  <c r="L385" i="2" s="1"/>
  <c r="K315" i="2"/>
  <c r="I315" i="2" s="1"/>
  <c r="G384" i="2"/>
  <c r="E384" i="2"/>
  <c r="F384" i="2" s="1"/>
  <c r="D385" i="2"/>
  <c r="M385" i="2" s="1"/>
  <c r="C386" i="2"/>
  <c r="A387" i="2" l="1"/>
  <c r="B386" i="2"/>
  <c r="H386" i="2" s="1"/>
  <c r="L386" i="2" s="1"/>
  <c r="J316" i="2"/>
  <c r="K316" i="2"/>
  <c r="I316" i="2" s="1"/>
  <c r="G385" i="2"/>
  <c r="E385" i="2"/>
  <c r="F385" i="2" s="1"/>
  <c r="D386" i="2"/>
  <c r="M386" i="2" s="1"/>
  <c r="C387" i="2"/>
  <c r="A388" i="2" l="1"/>
  <c r="B387" i="2"/>
  <c r="H387" i="2" s="1"/>
  <c r="L387" i="2" s="1"/>
  <c r="J317" i="2"/>
  <c r="G386" i="2"/>
  <c r="E386" i="2"/>
  <c r="F386" i="2" s="1"/>
  <c r="D387" i="2"/>
  <c r="M387" i="2" s="1"/>
  <c r="C388" i="2"/>
  <c r="A389" i="2" l="1"/>
  <c r="B388" i="2"/>
  <c r="H388" i="2" s="1"/>
  <c r="L388" i="2" s="1"/>
  <c r="K317" i="2"/>
  <c r="I317" i="2" s="1"/>
  <c r="G387" i="2"/>
  <c r="E387" i="2"/>
  <c r="F387" i="2" s="1"/>
  <c r="D388" i="2"/>
  <c r="M388" i="2" s="1"/>
  <c r="C389" i="2"/>
  <c r="A390" i="2" l="1"/>
  <c r="B389" i="2"/>
  <c r="H389" i="2" s="1"/>
  <c r="L389" i="2" s="1"/>
  <c r="J318" i="2"/>
  <c r="K318" i="2"/>
  <c r="I318" i="2" s="1"/>
  <c r="G388" i="2"/>
  <c r="E388" i="2"/>
  <c r="F388" i="2" s="1"/>
  <c r="D389" i="2"/>
  <c r="M389" i="2" s="1"/>
  <c r="C390" i="2"/>
  <c r="A391" i="2" l="1"/>
  <c r="B390" i="2"/>
  <c r="H390" i="2" s="1"/>
  <c r="L390" i="2" s="1"/>
  <c r="J319" i="2"/>
  <c r="K319" i="2" s="1"/>
  <c r="I319" i="2" s="1"/>
  <c r="G389" i="2"/>
  <c r="E389" i="2"/>
  <c r="F389" i="2" s="1"/>
  <c r="D390" i="2"/>
  <c r="M390" i="2" s="1"/>
  <c r="C391" i="2"/>
  <c r="A392" i="2" l="1"/>
  <c r="B391" i="2"/>
  <c r="H391" i="2" s="1"/>
  <c r="L391" i="2" s="1"/>
  <c r="J320" i="2"/>
  <c r="K320" i="2" s="1"/>
  <c r="I320" i="2" s="1"/>
  <c r="J321" i="2" s="1"/>
  <c r="K321" i="2" s="1"/>
  <c r="I321" i="2" s="1"/>
  <c r="J322" i="2" s="1"/>
  <c r="K322" i="2" s="1"/>
  <c r="I322" i="2" s="1"/>
  <c r="G390" i="2"/>
  <c r="E390" i="2"/>
  <c r="F390" i="2" s="1"/>
  <c r="D391" i="2"/>
  <c r="M391" i="2" s="1"/>
  <c r="C392" i="2"/>
  <c r="A393" i="2" l="1"/>
  <c r="B392" i="2"/>
  <c r="H392" i="2" s="1"/>
  <c r="L392" i="2" s="1"/>
  <c r="J323" i="2"/>
  <c r="K323" i="2" s="1"/>
  <c r="I323" i="2" s="1"/>
  <c r="G391" i="2"/>
  <c r="E391" i="2"/>
  <c r="F391" i="2" s="1"/>
  <c r="D392" i="2"/>
  <c r="M392" i="2" s="1"/>
  <c r="C393" i="2"/>
  <c r="A394" i="2" l="1"/>
  <c r="B393" i="2"/>
  <c r="H393" i="2" s="1"/>
  <c r="L393" i="2" s="1"/>
  <c r="J324" i="2"/>
  <c r="K324" i="2" s="1"/>
  <c r="I324" i="2" s="1"/>
  <c r="J325" i="2" s="1"/>
  <c r="K325" i="2" s="1"/>
  <c r="I325" i="2" s="1"/>
  <c r="G392" i="2"/>
  <c r="E392" i="2"/>
  <c r="F392" i="2" s="1"/>
  <c r="D393" i="2"/>
  <c r="M393" i="2" s="1"/>
  <c r="C394" i="2"/>
  <c r="A395" i="2" l="1"/>
  <c r="B394" i="2"/>
  <c r="H394" i="2" s="1"/>
  <c r="L394" i="2" s="1"/>
  <c r="J326" i="2"/>
  <c r="G393" i="2"/>
  <c r="E393" i="2"/>
  <c r="F393" i="2" s="1"/>
  <c r="D394" i="2"/>
  <c r="M394" i="2" s="1"/>
  <c r="C395" i="2"/>
  <c r="A396" i="2" l="1"/>
  <c r="B395" i="2"/>
  <c r="H395" i="2" s="1"/>
  <c r="L395" i="2" s="1"/>
  <c r="K326" i="2"/>
  <c r="I326" i="2" s="1"/>
  <c r="G394" i="2"/>
  <c r="E394" i="2"/>
  <c r="F394" i="2" s="1"/>
  <c r="D395" i="2"/>
  <c r="M395" i="2" s="1"/>
  <c r="C396" i="2"/>
  <c r="A397" i="2" l="1"/>
  <c r="B396" i="2"/>
  <c r="H396" i="2" s="1"/>
  <c r="L396" i="2" s="1"/>
  <c r="J327" i="2"/>
  <c r="G395" i="2"/>
  <c r="E395" i="2"/>
  <c r="F395" i="2" s="1"/>
  <c r="D396" i="2"/>
  <c r="M396" i="2" s="1"/>
  <c r="C397" i="2"/>
  <c r="A398" i="2" l="1"/>
  <c r="B397" i="2"/>
  <c r="H397" i="2" s="1"/>
  <c r="L397" i="2" s="1"/>
  <c r="K327" i="2"/>
  <c r="I327" i="2"/>
  <c r="G396" i="2"/>
  <c r="E396" i="2"/>
  <c r="F396" i="2" s="1"/>
  <c r="D397" i="2"/>
  <c r="M397" i="2" s="1"/>
  <c r="C398" i="2"/>
  <c r="A399" i="2" l="1"/>
  <c r="B398" i="2"/>
  <c r="H398" i="2" s="1"/>
  <c r="L398" i="2" s="1"/>
  <c r="J328" i="2"/>
  <c r="K328" i="2"/>
  <c r="I328" i="2" s="1"/>
  <c r="G397" i="2"/>
  <c r="E397" i="2"/>
  <c r="F397" i="2" s="1"/>
  <c r="D398" i="2"/>
  <c r="M398" i="2" s="1"/>
  <c r="C399" i="2"/>
  <c r="A400" i="2" l="1"/>
  <c r="B399" i="2"/>
  <c r="H399" i="2" s="1"/>
  <c r="L399" i="2" s="1"/>
  <c r="J329" i="2"/>
  <c r="K329" i="2" s="1"/>
  <c r="I329" i="2" s="1"/>
  <c r="J330" i="2" s="1"/>
  <c r="K330" i="2" s="1"/>
  <c r="I330" i="2" s="1"/>
  <c r="J331" i="2" s="1"/>
  <c r="K331" i="2" s="1"/>
  <c r="I331" i="2" s="1"/>
  <c r="G398" i="2"/>
  <c r="E398" i="2"/>
  <c r="F398" i="2" s="1"/>
  <c r="D399" i="2"/>
  <c r="M399" i="2" s="1"/>
  <c r="C400" i="2"/>
  <c r="B400" i="2" l="1"/>
  <c r="H400" i="2" s="1"/>
  <c r="L400" i="2" s="1"/>
  <c r="A401" i="2"/>
  <c r="J332" i="2"/>
  <c r="K332" i="2"/>
  <c r="I332" i="2" s="1"/>
  <c r="J333" i="2"/>
  <c r="K333" i="2" s="1"/>
  <c r="I333" i="2" s="1"/>
  <c r="G399" i="2"/>
  <c r="E399" i="2"/>
  <c r="F399" i="2" s="1"/>
  <c r="D400" i="2"/>
  <c r="M400" i="2" s="1"/>
  <c r="C401" i="2"/>
  <c r="A402" i="2" l="1"/>
  <c r="B401" i="2"/>
  <c r="H401" i="2" s="1"/>
  <c r="L401" i="2" s="1"/>
  <c r="J334" i="2"/>
  <c r="K334" i="2"/>
  <c r="G400" i="2"/>
  <c r="E400" i="2"/>
  <c r="F400" i="2" s="1"/>
  <c r="D401" i="2"/>
  <c r="M401" i="2" s="1"/>
  <c r="C402" i="2"/>
  <c r="A403" i="2" l="1"/>
  <c r="B402" i="2"/>
  <c r="H402" i="2" s="1"/>
  <c r="L402" i="2" s="1"/>
  <c r="I334" i="2"/>
  <c r="G401" i="2"/>
  <c r="E401" i="2"/>
  <c r="F401" i="2" s="1"/>
  <c r="D402" i="2"/>
  <c r="M402" i="2" s="1"/>
  <c r="C403" i="2"/>
  <c r="B403" i="2" l="1"/>
  <c r="H403" i="2" s="1"/>
  <c r="L403" i="2" s="1"/>
  <c r="A404" i="2"/>
  <c r="J335" i="2"/>
  <c r="K335" i="2" s="1"/>
  <c r="I335" i="2" s="1"/>
  <c r="J336" i="2"/>
  <c r="K336" i="2"/>
  <c r="G402" i="2"/>
  <c r="E402" i="2"/>
  <c r="F402" i="2" s="1"/>
  <c r="D403" i="2"/>
  <c r="M403" i="2" s="1"/>
  <c r="C404" i="2"/>
  <c r="A405" i="2" l="1"/>
  <c r="B404" i="2"/>
  <c r="H404" i="2" s="1"/>
  <c r="L404" i="2" s="1"/>
  <c r="I336" i="2"/>
  <c r="J337" i="2"/>
  <c r="K337" i="2"/>
  <c r="G403" i="2"/>
  <c r="E403" i="2"/>
  <c r="F403" i="2" s="1"/>
  <c r="D404" i="2"/>
  <c r="M404" i="2" s="1"/>
  <c r="C405" i="2"/>
  <c r="A406" i="2" l="1"/>
  <c r="B405" i="2"/>
  <c r="H405" i="2" s="1"/>
  <c r="L405" i="2" s="1"/>
  <c r="I337" i="2"/>
  <c r="J338" i="2"/>
  <c r="G404" i="2"/>
  <c r="E404" i="2"/>
  <c r="F404" i="2" s="1"/>
  <c r="D405" i="2"/>
  <c r="M405" i="2" s="1"/>
  <c r="C406" i="2"/>
  <c r="A407" i="2" l="1"/>
  <c r="B406" i="2"/>
  <c r="H406" i="2" s="1"/>
  <c r="L406" i="2" s="1"/>
  <c r="K338" i="2"/>
  <c r="I338" i="2" s="1"/>
  <c r="G405" i="2"/>
  <c r="E405" i="2"/>
  <c r="F405" i="2" s="1"/>
  <c r="D406" i="2"/>
  <c r="M406" i="2" s="1"/>
  <c r="C407" i="2"/>
  <c r="B407" i="2" l="1"/>
  <c r="H407" i="2" s="1"/>
  <c r="L407" i="2" s="1"/>
  <c r="A408" i="2"/>
  <c r="J339" i="2"/>
  <c r="K339" i="2" s="1"/>
  <c r="I339" i="2" s="1"/>
  <c r="G406" i="2"/>
  <c r="E406" i="2"/>
  <c r="F406" i="2" s="1"/>
  <c r="D407" i="2"/>
  <c r="M407" i="2" s="1"/>
  <c r="C408" i="2"/>
  <c r="A409" i="2" l="1"/>
  <c r="B408" i="2"/>
  <c r="H408" i="2" s="1"/>
  <c r="L408" i="2" s="1"/>
  <c r="J340" i="2"/>
  <c r="K340" i="2"/>
  <c r="G407" i="2"/>
  <c r="E407" i="2"/>
  <c r="F407" i="2" s="1"/>
  <c r="D408" i="2"/>
  <c r="M408" i="2" s="1"/>
  <c r="C409" i="2"/>
  <c r="A410" i="2" l="1"/>
  <c r="B409" i="2"/>
  <c r="H409" i="2" s="1"/>
  <c r="L409" i="2" s="1"/>
  <c r="I340" i="2"/>
  <c r="J341" i="2"/>
  <c r="G408" i="2"/>
  <c r="E408" i="2"/>
  <c r="F408" i="2" s="1"/>
  <c r="D409" i="2"/>
  <c r="M409" i="2" s="1"/>
  <c r="C410" i="2"/>
  <c r="A411" i="2" l="1"/>
  <c r="B410" i="2"/>
  <c r="H410" i="2" s="1"/>
  <c r="L410" i="2" s="1"/>
  <c r="K341" i="2"/>
  <c r="I341" i="2" s="1"/>
  <c r="J342" i="2" s="1"/>
  <c r="K342" i="2" s="1"/>
  <c r="I342" i="2" s="1"/>
  <c r="G409" i="2"/>
  <c r="E409" i="2"/>
  <c r="F409" i="2" s="1"/>
  <c r="D410" i="2"/>
  <c r="M410" i="2" s="1"/>
  <c r="C411" i="2"/>
  <c r="A412" i="2" l="1"/>
  <c r="B411" i="2"/>
  <c r="H411" i="2" s="1"/>
  <c r="L411" i="2" s="1"/>
  <c r="J343" i="2"/>
  <c r="K343" i="2"/>
  <c r="G410" i="2"/>
  <c r="E410" i="2"/>
  <c r="F410" i="2" s="1"/>
  <c r="D411" i="2"/>
  <c r="M411" i="2" s="1"/>
  <c r="C412" i="2"/>
  <c r="A413" i="2" l="1"/>
  <c r="B412" i="2"/>
  <c r="H412" i="2" s="1"/>
  <c r="L412" i="2" s="1"/>
  <c r="I343" i="2"/>
  <c r="J344" i="2"/>
  <c r="G411" i="2"/>
  <c r="E411" i="2"/>
  <c r="F411" i="2" s="1"/>
  <c r="D412" i="2"/>
  <c r="M412" i="2" s="1"/>
  <c r="C413" i="2"/>
  <c r="A414" i="2" l="1"/>
  <c r="B413" i="2"/>
  <c r="H413" i="2" s="1"/>
  <c r="L413" i="2" s="1"/>
  <c r="K344" i="2"/>
  <c r="I344" i="2" s="1"/>
  <c r="J345" i="2"/>
  <c r="K345" i="2" s="1"/>
  <c r="G412" i="2"/>
  <c r="E412" i="2"/>
  <c r="F412" i="2" s="1"/>
  <c r="D413" i="2"/>
  <c r="M413" i="2" s="1"/>
  <c r="C414" i="2"/>
  <c r="A415" i="2" l="1"/>
  <c r="B414" i="2"/>
  <c r="H414" i="2" s="1"/>
  <c r="L414" i="2" s="1"/>
  <c r="I345" i="2"/>
  <c r="J346" i="2"/>
  <c r="G413" i="2"/>
  <c r="E413" i="2"/>
  <c r="F413" i="2" s="1"/>
  <c r="D414" i="2"/>
  <c r="M414" i="2" s="1"/>
  <c r="C415" i="2"/>
  <c r="A416" i="2" l="1"/>
  <c r="B415" i="2"/>
  <c r="H415" i="2" s="1"/>
  <c r="L415" i="2" s="1"/>
  <c r="K346" i="2"/>
  <c r="I346" i="2" s="1"/>
  <c r="J347" i="2"/>
  <c r="G414" i="2"/>
  <c r="E414" i="2"/>
  <c r="F414" i="2" s="1"/>
  <c r="D415" i="2"/>
  <c r="M415" i="2" s="1"/>
  <c r="C416" i="2"/>
  <c r="A417" i="2" l="1"/>
  <c r="B416" i="2"/>
  <c r="H416" i="2" s="1"/>
  <c r="L416" i="2" s="1"/>
  <c r="K347" i="2"/>
  <c r="I347" i="2"/>
  <c r="G415" i="2"/>
  <c r="E415" i="2"/>
  <c r="F415" i="2" s="1"/>
  <c r="D416" i="2"/>
  <c r="M416" i="2" s="1"/>
  <c r="C417" i="2"/>
  <c r="A418" i="2" l="1"/>
  <c r="B417" i="2"/>
  <c r="H417" i="2" s="1"/>
  <c r="L417" i="2" s="1"/>
  <c r="J348" i="2"/>
  <c r="G416" i="2"/>
  <c r="E416" i="2"/>
  <c r="F416" i="2" s="1"/>
  <c r="D417" i="2"/>
  <c r="M417" i="2" s="1"/>
  <c r="C418" i="2"/>
  <c r="A419" i="2" l="1"/>
  <c r="B418" i="2"/>
  <c r="H418" i="2" s="1"/>
  <c r="L418" i="2" s="1"/>
  <c r="K348" i="2"/>
  <c r="I348" i="2" s="1"/>
  <c r="G417" i="2"/>
  <c r="E417" i="2"/>
  <c r="F417" i="2" s="1"/>
  <c r="D418" i="2"/>
  <c r="M418" i="2" s="1"/>
  <c r="C419" i="2"/>
  <c r="A420" i="2" l="1"/>
  <c r="B419" i="2"/>
  <c r="H419" i="2" s="1"/>
  <c r="L419" i="2" s="1"/>
  <c r="J349" i="2"/>
  <c r="K349" i="2" s="1"/>
  <c r="I349" i="2" s="1"/>
  <c r="G418" i="2"/>
  <c r="E418" i="2"/>
  <c r="F418" i="2" s="1"/>
  <c r="D419" i="2"/>
  <c r="M419" i="2" s="1"/>
  <c r="C420" i="2"/>
  <c r="A421" i="2" l="1"/>
  <c r="B420" i="2"/>
  <c r="H420" i="2" s="1"/>
  <c r="L420" i="2" s="1"/>
  <c r="J350" i="2"/>
  <c r="G419" i="2"/>
  <c r="E419" i="2"/>
  <c r="F419" i="2" s="1"/>
  <c r="D420" i="2"/>
  <c r="M420" i="2" s="1"/>
  <c r="C421" i="2"/>
  <c r="A422" i="2" l="1"/>
  <c r="B421" i="2"/>
  <c r="H421" i="2" s="1"/>
  <c r="L421" i="2" s="1"/>
  <c r="K350" i="2"/>
  <c r="I350" i="2"/>
  <c r="G420" i="2"/>
  <c r="E420" i="2"/>
  <c r="F420" i="2" s="1"/>
  <c r="D421" i="2"/>
  <c r="M421" i="2" s="1"/>
  <c r="C422" i="2"/>
  <c r="A423" i="2" l="1"/>
  <c r="B422" i="2"/>
  <c r="H422" i="2" s="1"/>
  <c r="L422" i="2" s="1"/>
  <c r="J351" i="2"/>
  <c r="G421" i="2"/>
  <c r="E421" i="2"/>
  <c r="F421" i="2" s="1"/>
  <c r="D422" i="2"/>
  <c r="M422" i="2" s="1"/>
  <c r="C423" i="2"/>
  <c r="A424" i="2" l="1"/>
  <c r="B423" i="2"/>
  <c r="H423" i="2" s="1"/>
  <c r="L423" i="2" s="1"/>
  <c r="K351" i="2"/>
  <c r="I351" i="2" s="1"/>
  <c r="G422" i="2"/>
  <c r="E422" i="2"/>
  <c r="F422" i="2" s="1"/>
  <c r="D423" i="2"/>
  <c r="M423" i="2" s="1"/>
  <c r="C424" i="2"/>
  <c r="A425" i="2" l="1"/>
  <c r="B424" i="2"/>
  <c r="H424" i="2" s="1"/>
  <c r="L424" i="2" s="1"/>
  <c r="J352" i="2"/>
  <c r="K352" i="2" s="1"/>
  <c r="I352" i="2" s="1"/>
  <c r="G423" i="2"/>
  <c r="E423" i="2"/>
  <c r="F423" i="2" s="1"/>
  <c r="D424" i="2"/>
  <c r="M424" i="2" s="1"/>
  <c r="C425" i="2"/>
  <c r="A426" i="2" l="1"/>
  <c r="B425" i="2"/>
  <c r="H425" i="2" s="1"/>
  <c r="L425" i="2" s="1"/>
  <c r="J353" i="2"/>
  <c r="K353" i="2"/>
  <c r="G424" i="2"/>
  <c r="E424" i="2"/>
  <c r="F424" i="2" s="1"/>
  <c r="D425" i="2"/>
  <c r="M425" i="2" s="1"/>
  <c r="C426" i="2"/>
  <c r="A427" i="2" l="1"/>
  <c r="B426" i="2"/>
  <c r="H426" i="2" s="1"/>
  <c r="L426" i="2" s="1"/>
  <c r="I353" i="2"/>
  <c r="J354" i="2"/>
  <c r="K354" i="2"/>
  <c r="G425" i="2"/>
  <c r="E425" i="2"/>
  <c r="F425" i="2" s="1"/>
  <c r="D426" i="2"/>
  <c r="M426" i="2" s="1"/>
  <c r="C427" i="2"/>
  <c r="A428" i="2" l="1"/>
  <c r="B427" i="2"/>
  <c r="H427" i="2" s="1"/>
  <c r="L427" i="2" s="1"/>
  <c r="I354" i="2"/>
  <c r="J355" i="2"/>
  <c r="K355" i="2"/>
  <c r="G426" i="2"/>
  <c r="E426" i="2"/>
  <c r="F426" i="2" s="1"/>
  <c r="D427" i="2"/>
  <c r="M427" i="2" s="1"/>
  <c r="C428" i="2"/>
  <c r="A429" i="2" l="1"/>
  <c r="B428" i="2"/>
  <c r="H428" i="2" s="1"/>
  <c r="L428" i="2" s="1"/>
  <c r="I355" i="2"/>
  <c r="J356" i="2"/>
  <c r="K356" i="2"/>
  <c r="G427" i="2"/>
  <c r="E427" i="2"/>
  <c r="F427" i="2" s="1"/>
  <c r="D428" i="2"/>
  <c r="M428" i="2" s="1"/>
  <c r="C429" i="2"/>
  <c r="A430" i="2" l="1"/>
  <c r="B429" i="2"/>
  <c r="H429" i="2" s="1"/>
  <c r="L429" i="2" s="1"/>
  <c r="I356" i="2"/>
  <c r="J357" i="2"/>
  <c r="K357" i="2"/>
  <c r="G428" i="2"/>
  <c r="E428" i="2"/>
  <c r="F428" i="2" s="1"/>
  <c r="D429" i="2"/>
  <c r="M429" i="2" s="1"/>
  <c r="C430" i="2"/>
  <c r="A431" i="2" l="1"/>
  <c r="B430" i="2"/>
  <c r="H430" i="2" s="1"/>
  <c r="L430" i="2" s="1"/>
  <c r="I357" i="2"/>
  <c r="J358" i="2"/>
  <c r="K358" i="2"/>
  <c r="G429" i="2"/>
  <c r="E429" i="2"/>
  <c r="F429" i="2" s="1"/>
  <c r="D430" i="2"/>
  <c r="M430" i="2" s="1"/>
  <c r="C431" i="2"/>
  <c r="A432" i="2" l="1"/>
  <c r="B431" i="2"/>
  <c r="H431" i="2" s="1"/>
  <c r="L431" i="2" s="1"/>
  <c r="I358" i="2"/>
  <c r="J359" i="2"/>
  <c r="K359" i="2"/>
  <c r="G430" i="2"/>
  <c r="E430" i="2"/>
  <c r="F430" i="2" s="1"/>
  <c r="D431" i="2"/>
  <c r="M431" i="2" s="1"/>
  <c r="C432" i="2"/>
  <c r="A433" i="2" l="1"/>
  <c r="B432" i="2"/>
  <c r="H432" i="2" s="1"/>
  <c r="L432" i="2" s="1"/>
  <c r="I359" i="2"/>
  <c r="J360" i="2"/>
  <c r="K360" i="2"/>
  <c r="G431" i="2"/>
  <c r="E431" i="2"/>
  <c r="F431" i="2" s="1"/>
  <c r="D432" i="2"/>
  <c r="M432" i="2" s="1"/>
  <c r="C433" i="2"/>
  <c r="I360" i="2" l="1"/>
  <c r="A434" i="2"/>
  <c r="B433" i="2"/>
  <c r="H433" i="2" s="1"/>
  <c r="L433" i="2" s="1"/>
  <c r="J361" i="2"/>
  <c r="G432" i="2"/>
  <c r="E432" i="2"/>
  <c r="F432" i="2" s="1"/>
  <c r="D433" i="2"/>
  <c r="M433" i="2" s="1"/>
  <c r="C434" i="2"/>
  <c r="A435" i="2" l="1"/>
  <c r="B434" i="2"/>
  <c r="H434" i="2" s="1"/>
  <c r="L434" i="2" s="1"/>
  <c r="K361" i="2"/>
  <c r="I361" i="2"/>
  <c r="J362" i="2"/>
  <c r="K362" i="2"/>
  <c r="G433" i="2"/>
  <c r="E433" i="2"/>
  <c r="F433" i="2" s="1"/>
  <c r="D434" i="2"/>
  <c r="M434" i="2" s="1"/>
  <c r="C435" i="2"/>
  <c r="A436" i="2" l="1"/>
  <c r="B435" i="2"/>
  <c r="H435" i="2" s="1"/>
  <c r="L435" i="2" s="1"/>
  <c r="I362" i="2"/>
  <c r="J363" i="2"/>
  <c r="K363" i="2"/>
  <c r="G434" i="2"/>
  <c r="E434" i="2"/>
  <c r="F434" i="2" s="1"/>
  <c r="D435" i="2"/>
  <c r="M435" i="2" s="1"/>
  <c r="C436" i="2"/>
  <c r="A437" i="2" l="1"/>
  <c r="B436" i="2"/>
  <c r="H436" i="2" s="1"/>
  <c r="L436" i="2" s="1"/>
  <c r="I363" i="2"/>
  <c r="G435" i="2"/>
  <c r="E435" i="2"/>
  <c r="F435" i="2" s="1"/>
  <c r="D436" i="2"/>
  <c r="M436" i="2" s="1"/>
  <c r="C437" i="2"/>
  <c r="A438" i="2" l="1"/>
  <c r="B437" i="2"/>
  <c r="H437" i="2" s="1"/>
  <c r="L437" i="2" s="1"/>
  <c r="J364" i="2"/>
  <c r="K364" i="2"/>
  <c r="G436" i="2"/>
  <c r="E436" i="2"/>
  <c r="F436" i="2" s="1"/>
  <c r="D437" i="2"/>
  <c r="M437" i="2" s="1"/>
  <c r="C438" i="2"/>
  <c r="A439" i="2" l="1"/>
  <c r="B438" i="2"/>
  <c r="H438" i="2" s="1"/>
  <c r="L438" i="2" s="1"/>
  <c r="I364" i="2"/>
  <c r="G437" i="2"/>
  <c r="E437" i="2"/>
  <c r="F437" i="2" s="1"/>
  <c r="D438" i="2"/>
  <c r="M438" i="2" s="1"/>
  <c r="C439" i="2"/>
  <c r="A440" i="2" l="1"/>
  <c r="B439" i="2"/>
  <c r="H439" i="2" s="1"/>
  <c r="L439" i="2" s="1"/>
  <c r="J365" i="2"/>
  <c r="K365" i="2" s="1"/>
  <c r="I365" i="2" s="1"/>
  <c r="G438" i="2"/>
  <c r="E438" i="2"/>
  <c r="F438" i="2" s="1"/>
  <c r="D439" i="2"/>
  <c r="M439" i="2" s="1"/>
  <c r="C440" i="2"/>
  <c r="A441" i="2" l="1"/>
  <c r="B440" i="2"/>
  <c r="H440" i="2" s="1"/>
  <c r="L440" i="2" s="1"/>
  <c r="J366" i="2"/>
  <c r="K366" i="2" s="1"/>
  <c r="I366" i="2" s="1"/>
  <c r="G439" i="2"/>
  <c r="E439" i="2"/>
  <c r="F439" i="2" s="1"/>
  <c r="D440" i="2"/>
  <c r="M440" i="2" s="1"/>
  <c r="C441" i="2"/>
  <c r="A442" i="2" l="1"/>
  <c r="B441" i="2"/>
  <c r="H441" i="2" s="1"/>
  <c r="L441" i="2" s="1"/>
  <c r="J367" i="2"/>
  <c r="G440" i="2"/>
  <c r="E440" i="2"/>
  <c r="F440" i="2" s="1"/>
  <c r="D441" i="2"/>
  <c r="M441" i="2" s="1"/>
  <c r="C442" i="2"/>
  <c r="A443" i="2" l="1"/>
  <c r="B442" i="2"/>
  <c r="H442" i="2" s="1"/>
  <c r="L442" i="2" s="1"/>
  <c r="K367" i="2"/>
  <c r="I367" i="2" s="1"/>
  <c r="G441" i="2"/>
  <c r="E441" i="2"/>
  <c r="F441" i="2" s="1"/>
  <c r="D442" i="2"/>
  <c r="M442" i="2" s="1"/>
  <c r="C443" i="2"/>
  <c r="A444" i="2" l="1"/>
  <c r="B443" i="2"/>
  <c r="H443" i="2" s="1"/>
  <c r="L443" i="2" s="1"/>
  <c r="J368" i="2"/>
  <c r="K368" i="2" s="1"/>
  <c r="I368" i="2" s="1"/>
  <c r="J369" i="2" s="1"/>
  <c r="K369" i="2" s="1"/>
  <c r="I369" i="2" s="1"/>
  <c r="G442" i="2"/>
  <c r="E442" i="2"/>
  <c r="F442" i="2" s="1"/>
  <c r="D443" i="2"/>
  <c r="M443" i="2" s="1"/>
  <c r="C444" i="2"/>
  <c r="A445" i="2" l="1"/>
  <c r="B444" i="2"/>
  <c r="H444" i="2" s="1"/>
  <c r="L444" i="2" s="1"/>
  <c r="J370" i="2"/>
  <c r="G443" i="2"/>
  <c r="E443" i="2"/>
  <c r="F443" i="2" s="1"/>
  <c r="D444" i="2"/>
  <c r="M444" i="2" s="1"/>
  <c r="C445" i="2"/>
  <c r="A446" i="2" l="1"/>
  <c r="B445" i="2"/>
  <c r="H445" i="2" s="1"/>
  <c r="L445" i="2" s="1"/>
  <c r="K370" i="2"/>
  <c r="I370" i="2"/>
  <c r="G444" i="2"/>
  <c r="E444" i="2"/>
  <c r="F444" i="2" s="1"/>
  <c r="D445" i="2"/>
  <c r="M445" i="2" s="1"/>
  <c r="C446" i="2"/>
  <c r="A447" i="2" l="1"/>
  <c r="B446" i="2"/>
  <c r="H446" i="2" s="1"/>
  <c r="L446" i="2" s="1"/>
  <c r="J371" i="2"/>
  <c r="K371" i="2" s="1"/>
  <c r="I371" i="2" s="1"/>
  <c r="G445" i="2"/>
  <c r="E445" i="2"/>
  <c r="F445" i="2" s="1"/>
  <c r="D446" i="2"/>
  <c r="M446" i="2" s="1"/>
  <c r="C447" i="2"/>
  <c r="A448" i="2" l="1"/>
  <c r="B447" i="2"/>
  <c r="H447" i="2" s="1"/>
  <c r="L447" i="2" s="1"/>
  <c r="J372" i="2"/>
  <c r="K372" i="2"/>
  <c r="I372" i="2" s="1"/>
  <c r="G446" i="2"/>
  <c r="E446" i="2"/>
  <c r="F446" i="2" s="1"/>
  <c r="D447" i="2"/>
  <c r="M447" i="2" s="1"/>
  <c r="C448" i="2"/>
  <c r="A449" i="2" l="1"/>
  <c r="B448" i="2"/>
  <c r="H448" i="2" s="1"/>
  <c r="L448" i="2" s="1"/>
  <c r="J373" i="2"/>
  <c r="K373" i="2"/>
  <c r="G447" i="2"/>
  <c r="E447" i="2"/>
  <c r="F447" i="2" s="1"/>
  <c r="D448" i="2"/>
  <c r="M448" i="2" s="1"/>
  <c r="C449" i="2"/>
  <c r="A450" i="2" l="1"/>
  <c r="B449" i="2"/>
  <c r="H449" i="2" s="1"/>
  <c r="L449" i="2" s="1"/>
  <c r="I373" i="2"/>
  <c r="J374" i="2"/>
  <c r="K374" i="2"/>
  <c r="G448" i="2"/>
  <c r="E448" i="2"/>
  <c r="F448" i="2" s="1"/>
  <c r="D449" i="2"/>
  <c r="M449" i="2" s="1"/>
  <c r="C450" i="2"/>
  <c r="A451" i="2" l="1"/>
  <c r="B450" i="2"/>
  <c r="H450" i="2" s="1"/>
  <c r="L450" i="2" s="1"/>
  <c r="I374" i="2"/>
  <c r="J375" i="2"/>
  <c r="K375" i="2" s="1"/>
  <c r="G449" i="2"/>
  <c r="E449" i="2"/>
  <c r="F449" i="2" s="1"/>
  <c r="D450" i="2"/>
  <c r="M450" i="2" s="1"/>
  <c r="C451" i="2"/>
  <c r="A452" i="2" l="1"/>
  <c r="B451" i="2"/>
  <c r="H451" i="2" s="1"/>
  <c r="L451" i="2" s="1"/>
  <c r="I375" i="2"/>
  <c r="J376" i="2"/>
  <c r="G450" i="2"/>
  <c r="E450" i="2"/>
  <c r="F450" i="2" s="1"/>
  <c r="D451" i="2"/>
  <c r="M451" i="2" s="1"/>
  <c r="C452" i="2"/>
  <c r="A453" i="2" l="1"/>
  <c r="B452" i="2"/>
  <c r="H452" i="2" s="1"/>
  <c r="L452" i="2" s="1"/>
  <c r="K376" i="2"/>
  <c r="I376" i="2" s="1"/>
  <c r="G451" i="2"/>
  <c r="E451" i="2"/>
  <c r="F451" i="2" s="1"/>
  <c r="D452" i="2"/>
  <c r="M452" i="2" s="1"/>
  <c r="C453" i="2"/>
  <c r="A454" i="2" l="1"/>
  <c r="B453" i="2"/>
  <c r="H453" i="2" s="1"/>
  <c r="L453" i="2" s="1"/>
  <c r="J377" i="2"/>
  <c r="K377" i="2"/>
  <c r="G452" i="2"/>
  <c r="E452" i="2"/>
  <c r="F452" i="2" s="1"/>
  <c r="D453" i="2"/>
  <c r="M453" i="2" s="1"/>
  <c r="C454" i="2"/>
  <c r="I377" i="2" l="1"/>
  <c r="A455" i="2"/>
  <c r="B454" i="2"/>
  <c r="H454" i="2" s="1"/>
  <c r="L454" i="2" s="1"/>
  <c r="J378" i="2"/>
  <c r="K378" i="2" s="1"/>
  <c r="I378" i="2" s="1"/>
  <c r="G453" i="2"/>
  <c r="E453" i="2"/>
  <c r="F453" i="2" s="1"/>
  <c r="D454" i="2"/>
  <c r="M454" i="2" s="1"/>
  <c r="C455" i="2"/>
  <c r="A456" i="2" l="1"/>
  <c r="B455" i="2"/>
  <c r="H455" i="2" s="1"/>
  <c r="L455" i="2" s="1"/>
  <c r="J379" i="2"/>
  <c r="K379" i="2" s="1"/>
  <c r="I379" i="2" s="1"/>
  <c r="G454" i="2"/>
  <c r="E454" i="2"/>
  <c r="F454" i="2" s="1"/>
  <c r="D455" i="2"/>
  <c r="M455" i="2" s="1"/>
  <c r="C456" i="2"/>
  <c r="A457" i="2" l="1"/>
  <c r="B456" i="2"/>
  <c r="H456" i="2" s="1"/>
  <c r="L456" i="2" s="1"/>
  <c r="J380" i="2"/>
  <c r="K380" i="2"/>
  <c r="G455" i="2"/>
  <c r="E455" i="2"/>
  <c r="F455" i="2" s="1"/>
  <c r="D456" i="2"/>
  <c r="M456" i="2" s="1"/>
  <c r="C457" i="2"/>
  <c r="A458" i="2" l="1"/>
  <c r="B457" i="2"/>
  <c r="H457" i="2" s="1"/>
  <c r="L457" i="2" s="1"/>
  <c r="I380" i="2"/>
  <c r="G456" i="2"/>
  <c r="E456" i="2"/>
  <c r="F456" i="2" s="1"/>
  <c r="D457" i="2"/>
  <c r="M457" i="2" s="1"/>
  <c r="C458" i="2"/>
  <c r="A459" i="2" l="1"/>
  <c r="B458" i="2"/>
  <c r="H458" i="2" s="1"/>
  <c r="L458" i="2" s="1"/>
  <c r="J381" i="2"/>
  <c r="K381" i="2" s="1"/>
  <c r="I381" i="2" s="1"/>
  <c r="G457" i="2"/>
  <c r="E457" i="2"/>
  <c r="F457" i="2" s="1"/>
  <c r="D458" i="2"/>
  <c r="M458" i="2" s="1"/>
  <c r="C459" i="2"/>
  <c r="A460" i="2" l="1"/>
  <c r="B459" i="2"/>
  <c r="H459" i="2" s="1"/>
  <c r="L459" i="2" s="1"/>
  <c r="J382" i="2"/>
  <c r="K382" i="2" s="1"/>
  <c r="I382" i="2" s="1"/>
  <c r="G458" i="2"/>
  <c r="E458" i="2"/>
  <c r="F458" i="2" s="1"/>
  <c r="D459" i="2"/>
  <c r="M459" i="2" s="1"/>
  <c r="C460" i="2"/>
  <c r="A461" i="2" l="1"/>
  <c r="B460" i="2"/>
  <c r="H460" i="2" s="1"/>
  <c r="L460" i="2" s="1"/>
  <c r="J383" i="2"/>
  <c r="K383" i="2" s="1"/>
  <c r="I383" i="2" s="1"/>
  <c r="G459" i="2"/>
  <c r="E459" i="2"/>
  <c r="F459" i="2" s="1"/>
  <c r="D460" i="2"/>
  <c r="M460" i="2" s="1"/>
  <c r="C461" i="2"/>
  <c r="A462" i="2" l="1"/>
  <c r="B461" i="2"/>
  <c r="H461" i="2" s="1"/>
  <c r="L461" i="2" s="1"/>
  <c r="J384" i="2"/>
  <c r="K384" i="2" s="1"/>
  <c r="I384" i="2" s="1"/>
  <c r="G460" i="2"/>
  <c r="E460" i="2"/>
  <c r="F460" i="2" s="1"/>
  <c r="D461" i="2"/>
  <c r="M461" i="2" s="1"/>
  <c r="C462" i="2"/>
  <c r="A463" i="2" l="1"/>
  <c r="B462" i="2"/>
  <c r="H462" i="2" s="1"/>
  <c r="L462" i="2" s="1"/>
  <c r="J385" i="2"/>
  <c r="K385" i="2" s="1"/>
  <c r="I385" i="2" s="1"/>
  <c r="G461" i="2"/>
  <c r="E461" i="2"/>
  <c r="F461" i="2" s="1"/>
  <c r="D462" i="2"/>
  <c r="M462" i="2" s="1"/>
  <c r="C463" i="2"/>
  <c r="A464" i="2" l="1"/>
  <c r="B463" i="2"/>
  <c r="H463" i="2" s="1"/>
  <c r="L463" i="2" s="1"/>
  <c r="J386" i="2"/>
  <c r="K386" i="2" s="1"/>
  <c r="I386" i="2" s="1"/>
  <c r="G462" i="2"/>
  <c r="E462" i="2"/>
  <c r="F462" i="2" s="1"/>
  <c r="D463" i="2"/>
  <c r="M463" i="2" s="1"/>
  <c r="C464" i="2"/>
  <c r="A465" i="2" l="1"/>
  <c r="B464" i="2"/>
  <c r="H464" i="2" s="1"/>
  <c r="L464" i="2" s="1"/>
  <c r="J387" i="2"/>
  <c r="K387" i="2" s="1"/>
  <c r="I387" i="2" s="1"/>
  <c r="G463" i="2"/>
  <c r="E463" i="2"/>
  <c r="F463" i="2" s="1"/>
  <c r="D464" i="2"/>
  <c r="M464" i="2" s="1"/>
  <c r="C465" i="2"/>
  <c r="A466" i="2" l="1"/>
  <c r="B465" i="2"/>
  <c r="H465" i="2" s="1"/>
  <c r="L465" i="2" s="1"/>
  <c r="J388" i="2"/>
  <c r="K388" i="2" s="1"/>
  <c r="I388" i="2" s="1"/>
  <c r="G464" i="2"/>
  <c r="E464" i="2"/>
  <c r="F464" i="2" s="1"/>
  <c r="D465" i="2"/>
  <c r="M465" i="2" s="1"/>
  <c r="C466" i="2"/>
  <c r="A467" i="2" l="1"/>
  <c r="B466" i="2"/>
  <c r="H466" i="2" s="1"/>
  <c r="L466" i="2" s="1"/>
  <c r="J389" i="2"/>
  <c r="K389" i="2" s="1"/>
  <c r="I389" i="2" s="1"/>
  <c r="G465" i="2"/>
  <c r="E465" i="2"/>
  <c r="F465" i="2" s="1"/>
  <c r="D466" i="2"/>
  <c r="M466" i="2" s="1"/>
  <c r="C467" i="2"/>
  <c r="A468" i="2" l="1"/>
  <c r="B467" i="2"/>
  <c r="H467" i="2" s="1"/>
  <c r="L467" i="2" s="1"/>
  <c r="J390" i="2"/>
  <c r="K390" i="2" s="1"/>
  <c r="I390" i="2" s="1"/>
  <c r="G466" i="2"/>
  <c r="E466" i="2"/>
  <c r="F466" i="2" s="1"/>
  <c r="D467" i="2"/>
  <c r="M467" i="2" s="1"/>
  <c r="C468" i="2"/>
  <c r="A469" i="2" l="1"/>
  <c r="B468" i="2"/>
  <c r="H468" i="2" s="1"/>
  <c r="L468" i="2" s="1"/>
  <c r="J391" i="2"/>
  <c r="K391" i="2" s="1"/>
  <c r="G467" i="2"/>
  <c r="E467" i="2"/>
  <c r="F467" i="2" s="1"/>
  <c r="D468" i="2"/>
  <c r="M468" i="2" s="1"/>
  <c r="C469" i="2"/>
  <c r="A470" i="2" l="1"/>
  <c r="B469" i="2"/>
  <c r="H469" i="2" s="1"/>
  <c r="L469" i="2" s="1"/>
  <c r="I391" i="2"/>
  <c r="G468" i="2"/>
  <c r="E468" i="2"/>
  <c r="F468" i="2" s="1"/>
  <c r="D469" i="2"/>
  <c r="M469" i="2" s="1"/>
  <c r="C470" i="2"/>
  <c r="A471" i="2" l="1"/>
  <c r="B470" i="2"/>
  <c r="H470" i="2" s="1"/>
  <c r="L470" i="2" s="1"/>
  <c r="J392" i="2"/>
  <c r="K392" i="2"/>
  <c r="G469" i="2"/>
  <c r="E469" i="2"/>
  <c r="F469" i="2" s="1"/>
  <c r="D470" i="2"/>
  <c r="M470" i="2" s="1"/>
  <c r="C471" i="2"/>
  <c r="A472" i="2" l="1"/>
  <c r="B471" i="2"/>
  <c r="H471" i="2" s="1"/>
  <c r="L471" i="2" s="1"/>
  <c r="I392" i="2"/>
  <c r="G470" i="2"/>
  <c r="E470" i="2"/>
  <c r="F470" i="2" s="1"/>
  <c r="D471" i="2"/>
  <c r="M471" i="2" s="1"/>
  <c r="C472" i="2"/>
  <c r="A473" i="2" l="1"/>
  <c r="B472" i="2"/>
  <c r="H472" i="2" s="1"/>
  <c r="L472" i="2" s="1"/>
  <c r="J393" i="2"/>
  <c r="K393" i="2" s="1"/>
  <c r="I393" i="2" s="1"/>
  <c r="G471" i="2"/>
  <c r="E471" i="2"/>
  <c r="F471" i="2" s="1"/>
  <c r="D472" i="2"/>
  <c r="M472" i="2" s="1"/>
  <c r="C473" i="2"/>
  <c r="A474" i="2" l="1"/>
  <c r="B473" i="2"/>
  <c r="H473" i="2" s="1"/>
  <c r="L473" i="2" s="1"/>
  <c r="J394" i="2"/>
  <c r="K394" i="2"/>
  <c r="G472" i="2"/>
  <c r="E472" i="2"/>
  <c r="F472" i="2" s="1"/>
  <c r="D473" i="2"/>
  <c r="M473" i="2" s="1"/>
  <c r="C474" i="2"/>
  <c r="A475" i="2" l="1"/>
  <c r="B474" i="2"/>
  <c r="H474" i="2" s="1"/>
  <c r="L474" i="2" s="1"/>
  <c r="I394" i="2"/>
  <c r="G473" i="2"/>
  <c r="E473" i="2"/>
  <c r="F473" i="2" s="1"/>
  <c r="D474" i="2"/>
  <c r="M474" i="2" s="1"/>
  <c r="C475" i="2"/>
  <c r="A476" i="2" l="1"/>
  <c r="B475" i="2"/>
  <c r="H475" i="2" s="1"/>
  <c r="L475" i="2" s="1"/>
  <c r="J395" i="2"/>
  <c r="K395" i="2" s="1"/>
  <c r="G474" i="2"/>
  <c r="E474" i="2"/>
  <c r="F474" i="2" s="1"/>
  <c r="D475" i="2"/>
  <c r="M475" i="2" s="1"/>
  <c r="C476" i="2"/>
  <c r="A477" i="2" l="1"/>
  <c r="B476" i="2"/>
  <c r="H476" i="2" s="1"/>
  <c r="L476" i="2" s="1"/>
  <c r="I395" i="2"/>
  <c r="G475" i="2"/>
  <c r="E475" i="2"/>
  <c r="F475" i="2" s="1"/>
  <c r="D476" i="2"/>
  <c r="M476" i="2" s="1"/>
  <c r="C477" i="2"/>
  <c r="A478" i="2" l="1"/>
  <c r="B477" i="2"/>
  <c r="H477" i="2" s="1"/>
  <c r="L477" i="2" s="1"/>
  <c r="J396" i="2"/>
  <c r="K396" i="2"/>
  <c r="I396" i="2" s="1"/>
  <c r="J397" i="2" s="1"/>
  <c r="K397" i="2" s="1"/>
  <c r="I397" i="2" s="1"/>
  <c r="G476" i="2"/>
  <c r="E476" i="2"/>
  <c r="F476" i="2" s="1"/>
  <c r="D477" i="2"/>
  <c r="M477" i="2" s="1"/>
  <c r="C478" i="2"/>
  <c r="A479" i="2" l="1"/>
  <c r="B478" i="2"/>
  <c r="H478" i="2" s="1"/>
  <c r="L478" i="2" s="1"/>
  <c r="J398" i="2"/>
  <c r="G477" i="2"/>
  <c r="E477" i="2"/>
  <c r="F477" i="2" s="1"/>
  <c r="D478" i="2"/>
  <c r="M478" i="2" s="1"/>
  <c r="C479" i="2"/>
  <c r="A480" i="2" l="1"/>
  <c r="B479" i="2"/>
  <c r="H479" i="2" s="1"/>
  <c r="L479" i="2" s="1"/>
  <c r="K398" i="2"/>
  <c r="I398" i="2" s="1"/>
  <c r="J399" i="2" s="1"/>
  <c r="K399" i="2" s="1"/>
  <c r="I399" i="2" s="1"/>
  <c r="G478" i="2"/>
  <c r="E478" i="2"/>
  <c r="F478" i="2" s="1"/>
  <c r="D479" i="2"/>
  <c r="M479" i="2" s="1"/>
  <c r="C480" i="2"/>
  <c r="A481" i="2" l="1"/>
  <c r="B480" i="2"/>
  <c r="H480" i="2" s="1"/>
  <c r="L480" i="2" s="1"/>
  <c r="J400" i="2"/>
  <c r="K400" i="2" s="1"/>
  <c r="I400" i="2" s="1"/>
  <c r="G479" i="2"/>
  <c r="E479" i="2"/>
  <c r="F479" i="2" s="1"/>
  <c r="D480" i="2"/>
  <c r="M480" i="2" s="1"/>
  <c r="C481" i="2"/>
  <c r="A482" i="2" l="1"/>
  <c r="B481" i="2"/>
  <c r="H481" i="2" s="1"/>
  <c r="L481" i="2" s="1"/>
  <c r="J401" i="2"/>
  <c r="K401" i="2" s="1"/>
  <c r="I401" i="2" s="1"/>
  <c r="G480" i="2"/>
  <c r="E480" i="2"/>
  <c r="F480" i="2" s="1"/>
  <c r="D481" i="2"/>
  <c r="M481" i="2" s="1"/>
  <c r="C482" i="2"/>
  <c r="A483" i="2" l="1"/>
  <c r="B482" i="2"/>
  <c r="H482" i="2" s="1"/>
  <c r="L482" i="2" s="1"/>
  <c r="J402" i="2"/>
  <c r="K402" i="2" s="1"/>
  <c r="I402" i="2" s="1"/>
  <c r="G481" i="2"/>
  <c r="E481" i="2"/>
  <c r="F481" i="2" s="1"/>
  <c r="D482" i="2"/>
  <c r="M482" i="2" s="1"/>
  <c r="C483" i="2"/>
  <c r="A484" i="2" l="1"/>
  <c r="B483" i="2"/>
  <c r="H483" i="2" s="1"/>
  <c r="L483" i="2" s="1"/>
  <c r="J403" i="2"/>
  <c r="K403" i="2" s="1"/>
  <c r="I403" i="2" s="1"/>
  <c r="J404" i="2" s="1"/>
  <c r="G482" i="2"/>
  <c r="E482" i="2"/>
  <c r="F482" i="2" s="1"/>
  <c r="D483" i="2"/>
  <c r="M483" i="2" s="1"/>
  <c r="C484" i="2"/>
  <c r="A485" i="2" l="1"/>
  <c r="B484" i="2"/>
  <c r="H484" i="2" s="1"/>
  <c r="L484" i="2" s="1"/>
  <c r="K404" i="2"/>
  <c r="I404" i="2" s="1"/>
  <c r="G483" i="2"/>
  <c r="E483" i="2"/>
  <c r="F483" i="2" s="1"/>
  <c r="D484" i="2"/>
  <c r="M484" i="2" s="1"/>
  <c r="C485" i="2"/>
  <c r="A486" i="2" l="1"/>
  <c r="B485" i="2"/>
  <c r="H485" i="2" s="1"/>
  <c r="L485" i="2" s="1"/>
  <c r="J405" i="2"/>
  <c r="K405" i="2" s="1"/>
  <c r="I405" i="2" s="1"/>
  <c r="G484" i="2"/>
  <c r="E484" i="2"/>
  <c r="F484" i="2" s="1"/>
  <c r="D485" i="2"/>
  <c r="M485" i="2" s="1"/>
  <c r="C486" i="2"/>
  <c r="A487" i="2" l="1"/>
  <c r="B486" i="2"/>
  <c r="H486" i="2" s="1"/>
  <c r="L486" i="2" s="1"/>
  <c r="J406" i="2"/>
  <c r="K406" i="2"/>
  <c r="G485" i="2"/>
  <c r="E485" i="2"/>
  <c r="F485" i="2" s="1"/>
  <c r="D486" i="2"/>
  <c r="M486" i="2" s="1"/>
  <c r="C487" i="2"/>
  <c r="A488" i="2" l="1"/>
  <c r="B487" i="2"/>
  <c r="H487" i="2" s="1"/>
  <c r="L487" i="2" s="1"/>
  <c r="I406" i="2"/>
  <c r="J407" i="2"/>
  <c r="K407" i="2"/>
  <c r="I407" i="2" s="1"/>
  <c r="G486" i="2"/>
  <c r="E486" i="2"/>
  <c r="F486" i="2" s="1"/>
  <c r="D487" i="2"/>
  <c r="M487" i="2" s="1"/>
  <c r="C488" i="2"/>
  <c r="A489" i="2" l="1"/>
  <c r="B488" i="2"/>
  <c r="H488" i="2" s="1"/>
  <c r="L488" i="2" s="1"/>
  <c r="J408" i="2"/>
  <c r="K408" i="2"/>
  <c r="G487" i="2"/>
  <c r="E487" i="2"/>
  <c r="F487" i="2" s="1"/>
  <c r="D488" i="2"/>
  <c r="M488" i="2" s="1"/>
  <c r="C489" i="2"/>
  <c r="A490" i="2" l="1"/>
  <c r="B489" i="2"/>
  <c r="H489" i="2" s="1"/>
  <c r="L489" i="2" s="1"/>
  <c r="I408" i="2"/>
  <c r="J409" i="2"/>
  <c r="K409" i="2"/>
  <c r="G488" i="2"/>
  <c r="E488" i="2"/>
  <c r="F488" i="2" s="1"/>
  <c r="D489" i="2"/>
  <c r="M489" i="2" s="1"/>
  <c r="C490" i="2"/>
  <c r="A491" i="2" l="1"/>
  <c r="B490" i="2"/>
  <c r="H490" i="2" s="1"/>
  <c r="L490" i="2" s="1"/>
  <c r="I409" i="2"/>
  <c r="J410" i="2"/>
  <c r="K410" i="2"/>
  <c r="G489" i="2"/>
  <c r="E489" i="2"/>
  <c r="F489" i="2" s="1"/>
  <c r="D490" i="2"/>
  <c r="M490" i="2" s="1"/>
  <c r="C491" i="2"/>
  <c r="A492" i="2" l="1"/>
  <c r="B491" i="2"/>
  <c r="H491" i="2" s="1"/>
  <c r="L491" i="2" s="1"/>
  <c r="I410" i="2"/>
  <c r="J411" i="2"/>
  <c r="K411" i="2"/>
  <c r="G490" i="2"/>
  <c r="E490" i="2"/>
  <c r="F490" i="2" s="1"/>
  <c r="D491" i="2"/>
  <c r="M491" i="2" s="1"/>
  <c r="C492" i="2"/>
  <c r="A493" i="2" l="1"/>
  <c r="B492" i="2"/>
  <c r="H492" i="2" s="1"/>
  <c r="L492" i="2" s="1"/>
  <c r="I411" i="2"/>
  <c r="J412" i="2"/>
  <c r="G491" i="2"/>
  <c r="E491" i="2"/>
  <c r="F491" i="2" s="1"/>
  <c r="D492" i="2"/>
  <c r="M492" i="2" s="1"/>
  <c r="C493" i="2"/>
  <c r="A494" i="2" l="1"/>
  <c r="B493" i="2"/>
  <c r="H493" i="2" s="1"/>
  <c r="L493" i="2" s="1"/>
  <c r="K412" i="2"/>
  <c r="I412" i="2" s="1"/>
  <c r="G492" i="2"/>
  <c r="E492" i="2"/>
  <c r="F492" i="2" s="1"/>
  <c r="D493" i="2"/>
  <c r="M493" i="2" s="1"/>
  <c r="C494" i="2"/>
  <c r="A495" i="2" l="1"/>
  <c r="B494" i="2"/>
  <c r="H494" i="2" s="1"/>
  <c r="L494" i="2" s="1"/>
  <c r="J413" i="2"/>
  <c r="K413" i="2" s="1"/>
  <c r="I413" i="2" s="1"/>
  <c r="G493" i="2"/>
  <c r="E493" i="2"/>
  <c r="F493" i="2" s="1"/>
  <c r="D494" i="2"/>
  <c r="M494" i="2" s="1"/>
  <c r="C495" i="2"/>
  <c r="A496" i="2" l="1"/>
  <c r="B495" i="2"/>
  <c r="H495" i="2" s="1"/>
  <c r="L495" i="2" s="1"/>
  <c r="J414" i="2"/>
  <c r="K414" i="2"/>
  <c r="G494" i="2"/>
  <c r="E494" i="2"/>
  <c r="F494" i="2" s="1"/>
  <c r="D495" i="2"/>
  <c r="M495" i="2" s="1"/>
  <c r="C496" i="2"/>
  <c r="A497" i="2" l="1"/>
  <c r="B496" i="2"/>
  <c r="H496" i="2" s="1"/>
  <c r="L496" i="2" s="1"/>
  <c r="I414" i="2"/>
  <c r="J415" i="2"/>
  <c r="K415" i="2"/>
  <c r="G495" i="2"/>
  <c r="E495" i="2"/>
  <c r="F495" i="2" s="1"/>
  <c r="D496" i="2"/>
  <c r="M496" i="2" s="1"/>
  <c r="C497" i="2"/>
  <c r="A498" i="2" l="1"/>
  <c r="B497" i="2"/>
  <c r="H497" i="2" s="1"/>
  <c r="L497" i="2" s="1"/>
  <c r="I415" i="2"/>
  <c r="J416" i="2"/>
  <c r="K416" i="2"/>
  <c r="G496" i="2"/>
  <c r="E496" i="2"/>
  <c r="F496" i="2" s="1"/>
  <c r="D497" i="2"/>
  <c r="M497" i="2" s="1"/>
  <c r="C498" i="2"/>
  <c r="A499" i="2" l="1"/>
  <c r="B498" i="2"/>
  <c r="H498" i="2" s="1"/>
  <c r="L498" i="2" s="1"/>
  <c r="I416" i="2"/>
  <c r="J417" i="2"/>
  <c r="K417" i="2" s="1"/>
  <c r="I417" i="2" s="1"/>
  <c r="G497" i="2"/>
  <c r="E497" i="2"/>
  <c r="F497" i="2" s="1"/>
  <c r="D498" i="2"/>
  <c r="M498" i="2" s="1"/>
  <c r="C499" i="2"/>
  <c r="A500" i="2" l="1"/>
  <c r="B499" i="2"/>
  <c r="H499" i="2" s="1"/>
  <c r="L499" i="2" s="1"/>
  <c r="J418" i="2"/>
  <c r="K418" i="2" s="1"/>
  <c r="I418" i="2" s="1"/>
  <c r="G498" i="2"/>
  <c r="E498" i="2"/>
  <c r="F498" i="2" s="1"/>
  <c r="D499" i="2"/>
  <c r="M499" i="2" s="1"/>
  <c r="C500" i="2"/>
  <c r="A501" i="2" l="1"/>
  <c r="B500" i="2"/>
  <c r="H500" i="2" s="1"/>
  <c r="L500" i="2" s="1"/>
  <c r="J419" i="2"/>
  <c r="K419" i="2"/>
  <c r="G499" i="2"/>
  <c r="E499" i="2"/>
  <c r="F499" i="2" s="1"/>
  <c r="D500" i="2"/>
  <c r="M500" i="2" s="1"/>
  <c r="C501" i="2"/>
  <c r="I419" i="2" l="1"/>
  <c r="A502" i="2"/>
  <c r="B501" i="2"/>
  <c r="H501" i="2" s="1"/>
  <c r="L501" i="2" s="1"/>
  <c r="J420" i="2"/>
  <c r="K420" i="2"/>
  <c r="G500" i="2"/>
  <c r="E500" i="2"/>
  <c r="F500" i="2" s="1"/>
  <c r="D501" i="2"/>
  <c r="M501" i="2" s="1"/>
  <c r="C502" i="2"/>
  <c r="I420" i="2" l="1"/>
  <c r="A503" i="2"/>
  <c r="B502" i="2"/>
  <c r="H502" i="2" s="1"/>
  <c r="L502" i="2" s="1"/>
  <c r="J421" i="2"/>
  <c r="K421" i="2" s="1"/>
  <c r="I421" i="2" s="1"/>
  <c r="G501" i="2"/>
  <c r="E501" i="2"/>
  <c r="F501" i="2" s="1"/>
  <c r="D502" i="2"/>
  <c r="M502" i="2" s="1"/>
  <c r="C503" i="2"/>
  <c r="A504" i="2" l="1"/>
  <c r="B503" i="2"/>
  <c r="H503" i="2" s="1"/>
  <c r="L503" i="2" s="1"/>
  <c r="J422" i="2"/>
  <c r="K422" i="2"/>
  <c r="G502" i="2"/>
  <c r="E502" i="2"/>
  <c r="F502" i="2" s="1"/>
  <c r="D503" i="2"/>
  <c r="M503" i="2" s="1"/>
  <c r="C504" i="2"/>
  <c r="A505" i="2" l="1"/>
  <c r="B504" i="2"/>
  <c r="H504" i="2" s="1"/>
  <c r="L504" i="2" s="1"/>
  <c r="I422" i="2"/>
  <c r="J423" i="2"/>
  <c r="K423" i="2"/>
  <c r="G503" i="2"/>
  <c r="E503" i="2"/>
  <c r="F503" i="2" s="1"/>
  <c r="D504" i="2"/>
  <c r="M504" i="2" s="1"/>
  <c r="C505" i="2"/>
  <c r="A506" i="2" l="1"/>
  <c r="B505" i="2"/>
  <c r="H505" i="2" s="1"/>
  <c r="L505" i="2" s="1"/>
  <c r="I423" i="2"/>
  <c r="J424" i="2"/>
  <c r="K424" i="2"/>
  <c r="G504" i="2"/>
  <c r="E504" i="2"/>
  <c r="F504" i="2" s="1"/>
  <c r="D505" i="2"/>
  <c r="M505" i="2" s="1"/>
  <c r="C506" i="2"/>
  <c r="A507" i="2" l="1"/>
  <c r="B506" i="2"/>
  <c r="H506" i="2" s="1"/>
  <c r="L506" i="2" s="1"/>
  <c r="I424" i="2"/>
  <c r="J425" i="2"/>
  <c r="K425" i="2"/>
  <c r="G505" i="2"/>
  <c r="E505" i="2"/>
  <c r="F505" i="2" s="1"/>
  <c r="D506" i="2"/>
  <c r="M506" i="2" s="1"/>
  <c r="C507" i="2"/>
  <c r="A508" i="2" l="1"/>
  <c r="B507" i="2"/>
  <c r="H507" i="2" s="1"/>
  <c r="L507" i="2" s="1"/>
  <c r="I425" i="2"/>
  <c r="J426" i="2"/>
  <c r="K426" i="2"/>
  <c r="G506" i="2"/>
  <c r="E506" i="2"/>
  <c r="F506" i="2" s="1"/>
  <c r="D507" i="2"/>
  <c r="M507" i="2" s="1"/>
  <c r="C508" i="2"/>
  <c r="A509" i="2" l="1"/>
  <c r="B508" i="2"/>
  <c r="H508" i="2" s="1"/>
  <c r="L508" i="2" s="1"/>
  <c r="I426" i="2"/>
  <c r="J427" i="2"/>
  <c r="K427" i="2" s="1"/>
  <c r="G507" i="2"/>
  <c r="E507" i="2"/>
  <c r="F507" i="2" s="1"/>
  <c r="D508" i="2"/>
  <c r="M508" i="2" s="1"/>
  <c r="C509" i="2"/>
  <c r="A510" i="2" l="1"/>
  <c r="B509" i="2"/>
  <c r="H509" i="2" s="1"/>
  <c r="L509" i="2" s="1"/>
  <c r="I427" i="2"/>
  <c r="J428" i="2"/>
  <c r="K428" i="2"/>
  <c r="G508" i="2"/>
  <c r="E508" i="2"/>
  <c r="F508" i="2" s="1"/>
  <c r="D509" i="2"/>
  <c r="M509" i="2" s="1"/>
  <c r="C510" i="2"/>
  <c r="A511" i="2" l="1"/>
  <c r="B510" i="2"/>
  <c r="H510" i="2" s="1"/>
  <c r="L510" i="2" s="1"/>
  <c r="I428" i="2"/>
  <c r="J429" i="2" s="1"/>
  <c r="G509" i="2"/>
  <c r="E509" i="2"/>
  <c r="F509" i="2" s="1"/>
  <c r="D510" i="2"/>
  <c r="M510" i="2" s="1"/>
  <c r="C511" i="2"/>
  <c r="A512" i="2" l="1"/>
  <c r="B511" i="2"/>
  <c r="H511" i="2" s="1"/>
  <c r="L511" i="2" s="1"/>
  <c r="K429" i="2"/>
  <c r="I429" i="2" s="1"/>
  <c r="J430" i="2"/>
  <c r="K430" i="2"/>
  <c r="G510" i="2"/>
  <c r="E510" i="2"/>
  <c r="F510" i="2" s="1"/>
  <c r="D511" i="2"/>
  <c r="M511" i="2" s="1"/>
  <c r="C512" i="2"/>
  <c r="A513" i="2" l="1"/>
  <c r="B512" i="2"/>
  <c r="H512" i="2" s="1"/>
  <c r="L512" i="2" s="1"/>
  <c r="I430" i="2"/>
  <c r="J431" i="2"/>
  <c r="G511" i="2"/>
  <c r="E511" i="2"/>
  <c r="F511" i="2" s="1"/>
  <c r="D512" i="2"/>
  <c r="M512" i="2" s="1"/>
  <c r="C513" i="2"/>
  <c r="A514" i="2" l="1"/>
  <c r="B513" i="2"/>
  <c r="H513" i="2" s="1"/>
  <c r="L513" i="2" s="1"/>
  <c r="K431" i="2"/>
  <c r="I431" i="2" s="1"/>
  <c r="J432" i="2"/>
  <c r="G512" i="2"/>
  <c r="E512" i="2"/>
  <c r="F512" i="2" s="1"/>
  <c r="D513" i="2"/>
  <c r="M513" i="2" s="1"/>
  <c r="C514" i="2"/>
  <c r="A515" i="2" l="1"/>
  <c r="B514" i="2"/>
  <c r="H514" i="2" s="1"/>
  <c r="L514" i="2" s="1"/>
  <c r="K432" i="2"/>
  <c r="I432" i="2" s="1"/>
  <c r="J433" i="2" s="1"/>
  <c r="K433" i="2" s="1"/>
  <c r="G513" i="2"/>
  <c r="E513" i="2"/>
  <c r="F513" i="2" s="1"/>
  <c r="D514" i="2"/>
  <c r="M514" i="2" s="1"/>
  <c r="C515" i="2"/>
  <c r="A516" i="2" l="1"/>
  <c r="B515" i="2"/>
  <c r="H515" i="2" s="1"/>
  <c r="L515" i="2" s="1"/>
  <c r="I433" i="2"/>
  <c r="J434" i="2"/>
  <c r="K434" i="2"/>
  <c r="G514" i="2"/>
  <c r="E514" i="2"/>
  <c r="F514" i="2" s="1"/>
  <c r="D515" i="2"/>
  <c r="M515" i="2" s="1"/>
  <c r="C516" i="2"/>
  <c r="A517" i="2" l="1"/>
  <c r="B516" i="2"/>
  <c r="H516" i="2" s="1"/>
  <c r="L516" i="2" s="1"/>
  <c r="I434" i="2"/>
  <c r="J435" i="2"/>
  <c r="K435" i="2" s="1"/>
  <c r="I435" i="2" s="1"/>
  <c r="G515" i="2"/>
  <c r="E515" i="2"/>
  <c r="F515" i="2" s="1"/>
  <c r="D516" i="2"/>
  <c r="M516" i="2" s="1"/>
  <c r="C517" i="2"/>
  <c r="A518" i="2" l="1"/>
  <c r="B517" i="2"/>
  <c r="H517" i="2" s="1"/>
  <c r="L517" i="2" s="1"/>
  <c r="J436" i="2"/>
  <c r="K436" i="2"/>
  <c r="G516" i="2"/>
  <c r="E516" i="2"/>
  <c r="F516" i="2" s="1"/>
  <c r="D517" i="2"/>
  <c r="M517" i="2" s="1"/>
  <c r="C518" i="2"/>
  <c r="A519" i="2" l="1"/>
  <c r="B518" i="2"/>
  <c r="H518" i="2" s="1"/>
  <c r="L518" i="2" s="1"/>
  <c r="I436" i="2"/>
  <c r="J437" i="2"/>
  <c r="G517" i="2"/>
  <c r="E517" i="2"/>
  <c r="F517" i="2" s="1"/>
  <c r="D518" i="2"/>
  <c r="M518" i="2" s="1"/>
  <c r="C519" i="2"/>
  <c r="A520" i="2" l="1"/>
  <c r="B519" i="2"/>
  <c r="H519" i="2" s="1"/>
  <c r="L519" i="2" s="1"/>
  <c r="K437" i="2"/>
  <c r="I437" i="2"/>
  <c r="G518" i="2"/>
  <c r="E518" i="2"/>
  <c r="F518" i="2" s="1"/>
  <c r="D519" i="2"/>
  <c r="M519" i="2" s="1"/>
  <c r="C520" i="2"/>
  <c r="A521" i="2" l="1"/>
  <c r="B520" i="2"/>
  <c r="H520" i="2" s="1"/>
  <c r="L520" i="2" s="1"/>
  <c r="J438" i="2"/>
  <c r="G519" i="2"/>
  <c r="E519" i="2"/>
  <c r="F519" i="2" s="1"/>
  <c r="D520" i="2"/>
  <c r="M520" i="2" s="1"/>
  <c r="C521" i="2"/>
  <c r="A522" i="2" l="1"/>
  <c r="B521" i="2"/>
  <c r="H521" i="2" s="1"/>
  <c r="L521" i="2" s="1"/>
  <c r="K438" i="2"/>
  <c r="I438" i="2" s="1"/>
  <c r="G520" i="2"/>
  <c r="E520" i="2"/>
  <c r="F520" i="2" s="1"/>
  <c r="D521" i="2"/>
  <c r="M521" i="2" s="1"/>
  <c r="C522" i="2"/>
  <c r="A523" i="2" l="1"/>
  <c r="B522" i="2"/>
  <c r="H522" i="2" s="1"/>
  <c r="L522" i="2" s="1"/>
  <c r="J439" i="2"/>
  <c r="K439" i="2" s="1"/>
  <c r="I439" i="2" s="1"/>
  <c r="G521" i="2"/>
  <c r="E521" i="2"/>
  <c r="F521" i="2" s="1"/>
  <c r="D522" i="2"/>
  <c r="M522" i="2" s="1"/>
  <c r="C523" i="2"/>
  <c r="A524" i="2" l="1"/>
  <c r="B523" i="2"/>
  <c r="H523" i="2" s="1"/>
  <c r="L523" i="2" s="1"/>
  <c r="J440" i="2"/>
  <c r="K440" i="2"/>
  <c r="G522" i="2"/>
  <c r="E522" i="2"/>
  <c r="F522" i="2" s="1"/>
  <c r="D523" i="2"/>
  <c r="M523" i="2" s="1"/>
  <c r="C524" i="2"/>
  <c r="A525" i="2" l="1"/>
  <c r="B524" i="2"/>
  <c r="H524" i="2" s="1"/>
  <c r="L524" i="2" s="1"/>
  <c r="I440" i="2"/>
  <c r="J441" i="2"/>
  <c r="K441" i="2"/>
  <c r="I441" i="2" s="1"/>
  <c r="G523" i="2"/>
  <c r="E523" i="2"/>
  <c r="F523" i="2" s="1"/>
  <c r="D524" i="2"/>
  <c r="M524" i="2" s="1"/>
  <c r="C525" i="2"/>
  <c r="A526" i="2" l="1"/>
  <c r="B525" i="2"/>
  <c r="H525" i="2" s="1"/>
  <c r="L525" i="2" s="1"/>
  <c r="J442" i="2"/>
  <c r="K442" i="2"/>
  <c r="G524" i="2"/>
  <c r="E524" i="2"/>
  <c r="F524" i="2" s="1"/>
  <c r="D525" i="2"/>
  <c r="M525" i="2" s="1"/>
  <c r="C526" i="2"/>
  <c r="A527" i="2" l="1"/>
  <c r="B526" i="2"/>
  <c r="H526" i="2" s="1"/>
  <c r="L526" i="2" s="1"/>
  <c r="I442" i="2"/>
  <c r="J443" i="2"/>
  <c r="K443" i="2"/>
  <c r="G525" i="2"/>
  <c r="E525" i="2"/>
  <c r="F525" i="2" s="1"/>
  <c r="D526" i="2"/>
  <c r="M526" i="2" s="1"/>
  <c r="C527" i="2"/>
  <c r="A528" i="2" l="1"/>
  <c r="B527" i="2"/>
  <c r="H527" i="2" s="1"/>
  <c r="L527" i="2" s="1"/>
  <c r="I443" i="2"/>
  <c r="J444" i="2"/>
  <c r="K444" i="2"/>
  <c r="G526" i="2"/>
  <c r="E526" i="2"/>
  <c r="F526" i="2" s="1"/>
  <c r="D527" i="2"/>
  <c r="M527" i="2" s="1"/>
  <c r="C528" i="2"/>
  <c r="A529" i="2" l="1"/>
  <c r="B528" i="2"/>
  <c r="H528" i="2" s="1"/>
  <c r="L528" i="2" s="1"/>
  <c r="I444" i="2"/>
  <c r="J445" i="2"/>
  <c r="K445" i="2" s="1"/>
  <c r="G527" i="2"/>
  <c r="E527" i="2"/>
  <c r="F527" i="2" s="1"/>
  <c r="D528" i="2"/>
  <c r="M528" i="2" s="1"/>
  <c r="C529" i="2"/>
  <c r="A530" i="2" l="1"/>
  <c r="B529" i="2"/>
  <c r="H529" i="2" s="1"/>
  <c r="L529" i="2" s="1"/>
  <c r="I445" i="2"/>
  <c r="J446" i="2"/>
  <c r="K446" i="2" s="1"/>
  <c r="G528" i="2"/>
  <c r="E528" i="2"/>
  <c r="F528" i="2" s="1"/>
  <c r="D529" i="2"/>
  <c r="M529" i="2" s="1"/>
  <c r="C530" i="2"/>
  <c r="A531" i="2" l="1"/>
  <c r="B530" i="2"/>
  <c r="H530" i="2" s="1"/>
  <c r="L530" i="2" s="1"/>
  <c r="I446" i="2"/>
  <c r="G529" i="2"/>
  <c r="E529" i="2"/>
  <c r="F529" i="2" s="1"/>
  <c r="D530" i="2"/>
  <c r="M530" i="2" s="1"/>
  <c r="C531" i="2"/>
  <c r="A532" i="2" l="1"/>
  <c r="B531" i="2"/>
  <c r="H531" i="2" s="1"/>
  <c r="L531" i="2" s="1"/>
  <c r="J447" i="2"/>
  <c r="K447" i="2" s="1"/>
  <c r="I447" i="2" s="1"/>
  <c r="J448" i="2" s="1"/>
  <c r="G530" i="2"/>
  <c r="E530" i="2"/>
  <c r="F530" i="2" s="1"/>
  <c r="D531" i="2"/>
  <c r="M531" i="2" s="1"/>
  <c r="C532" i="2"/>
  <c r="A533" i="2" l="1"/>
  <c r="B532" i="2"/>
  <c r="H532" i="2" s="1"/>
  <c r="L532" i="2" s="1"/>
  <c r="K448" i="2"/>
  <c r="I448" i="2" s="1"/>
  <c r="G531" i="2"/>
  <c r="E531" i="2"/>
  <c r="F531" i="2" s="1"/>
  <c r="D532" i="2"/>
  <c r="M532" i="2" s="1"/>
  <c r="C533" i="2"/>
  <c r="A534" i="2" l="1"/>
  <c r="B533" i="2"/>
  <c r="H533" i="2" s="1"/>
  <c r="L533" i="2" s="1"/>
  <c r="J449" i="2"/>
  <c r="K449" i="2" s="1"/>
  <c r="I449" i="2" s="1"/>
  <c r="G532" i="2"/>
  <c r="E532" i="2"/>
  <c r="F532" i="2" s="1"/>
  <c r="D533" i="2"/>
  <c r="M533" i="2" s="1"/>
  <c r="C534" i="2"/>
  <c r="A535" i="2" l="1"/>
  <c r="B534" i="2"/>
  <c r="H534" i="2" s="1"/>
  <c r="L534" i="2" s="1"/>
  <c r="J450" i="2"/>
  <c r="K450" i="2" s="1"/>
  <c r="I450" i="2" s="1"/>
  <c r="G533" i="2"/>
  <c r="E533" i="2"/>
  <c r="F533" i="2" s="1"/>
  <c r="D534" i="2"/>
  <c r="M534" i="2" s="1"/>
  <c r="C535" i="2"/>
  <c r="A536" i="2" l="1"/>
  <c r="B535" i="2"/>
  <c r="H535" i="2" s="1"/>
  <c r="L535" i="2" s="1"/>
  <c r="J451" i="2"/>
  <c r="K451" i="2" s="1"/>
  <c r="I451" i="2" s="1"/>
  <c r="G534" i="2"/>
  <c r="E534" i="2"/>
  <c r="F534" i="2" s="1"/>
  <c r="D535" i="2"/>
  <c r="M535" i="2" s="1"/>
  <c r="C536" i="2"/>
  <c r="A537" i="2" l="1"/>
  <c r="B536" i="2"/>
  <c r="H536" i="2" s="1"/>
  <c r="L536" i="2" s="1"/>
  <c r="J452" i="2"/>
  <c r="K452" i="2" s="1"/>
  <c r="I452" i="2" s="1"/>
  <c r="G535" i="2"/>
  <c r="E535" i="2"/>
  <c r="F535" i="2" s="1"/>
  <c r="D536" i="2"/>
  <c r="M536" i="2" s="1"/>
  <c r="C537" i="2"/>
  <c r="A538" i="2" l="1"/>
  <c r="B537" i="2"/>
  <c r="H537" i="2" s="1"/>
  <c r="L537" i="2" s="1"/>
  <c r="J453" i="2"/>
  <c r="K453" i="2" s="1"/>
  <c r="I453" i="2" s="1"/>
  <c r="G536" i="2"/>
  <c r="E536" i="2"/>
  <c r="F536" i="2" s="1"/>
  <c r="D537" i="2"/>
  <c r="M537" i="2" s="1"/>
  <c r="C538" i="2"/>
  <c r="A539" i="2" l="1"/>
  <c r="B538" i="2"/>
  <c r="H538" i="2" s="1"/>
  <c r="L538" i="2" s="1"/>
  <c r="J454" i="2"/>
  <c r="G537" i="2"/>
  <c r="E537" i="2"/>
  <c r="F537" i="2" s="1"/>
  <c r="D538" i="2"/>
  <c r="M538" i="2" s="1"/>
  <c r="C539" i="2"/>
  <c r="A540" i="2" l="1"/>
  <c r="B539" i="2"/>
  <c r="H539" i="2" s="1"/>
  <c r="L539" i="2" s="1"/>
  <c r="K454" i="2"/>
  <c r="I454" i="2" s="1"/>
  <c r="G538" i="2"/>
  <c r="E538" i="2"/>
  <c r="F538" i="2" s="1"/>
  <c r="D539" i="2"/>
  <c r="M539" i="2" s="1"/>
  <c r="C540" i="2"/>
  <c r="A541" i="2" l="1"/>
  <c r="B540" i="2"/>
  <c r="H540" i="2" s="1"/>
  <c r="L540" i="2" s="1"/>
  <c r="J455" i="2"/>
  <c r="K455" i="2" s="1"/>
  <c r="I455" i="2" s="1"/>
  <c r="G539" i="2"/>
  <c r="E539" i="2"/>
  <c r="F539" i="2" s="1"/>
  <c r="D540" i="2"/>
  <c r="M540" i="2" s="1"/>
  <c r="C541" i="2"/>
  <c r="A542" i="2" l="1"/>
  <c r="B541" i="2"/>
  <c r="H541" i="2" s="1"/>
  <c r="L541" i="2" s="1"/>
  <c r="J456" i="2"/>
  <c r="G540" i="2"/>
  <c r="E540" i="2"/>
  <c r="F540" i="2" s="1"/>
  <c r="D541" i="2"/>
  <c r="M541" i="2" s="1"/>
  <c r="C542" i="2"/>
  <c r="A543" i="2" l="1"/>
  <c r="B542" i="2"/>
  <c r="H542" i="2" s="1"/>
  <c r="L542" i="2" s="1"/>
  <c r="K456" i="2"/>
  <c r="I456" i="2" s="1"/>
  <c r="G541" i="2"/>
  <c r="E541" i="2"/>
  <c r="F541" i="2" s="1"/>
  <c r="D542" i="2"/>
  <c r="M542" i="2" s="1"/>
  <c r="C543" i="2"/>
  <c r="A544" i="2" l="1"/>
  <c r="B543" i="2"/>
  <c r="H543" i="2" s="1"/>
  <c r="L543" i="2" s="1"/>
  <c r="J457" i="2"/>
  <c r="K457" i="2" s="1"/>
  <c r="I457" i="2" s="1"/>
  <c r="G542" i="2"/>
  <c r="E542" i="2"/>
  <c r="F542" i="2" s="1"/>
  <c r="D543" i="2"/>
  <c r="M543" i="2" s="1"/>
  <c r="C544" i="2"/>
  <c r="A545" i="2" l="1"/>
  <c r="B544" i="2"/>
  <c r="H544" i="2" s="1"/>
  <c r="L544" i="2" s="1"/>
  <c r="J458" i="2"/>
  <c r="K458" i="2"/>
  <c r="I458" i="2" s="1"/>
  <c r="G543" i="2"/>
  <c r="E543" i="2"/>
  <c r="F543" i="2" s="1"/>
  <c r="D544" i="2"/>
  <c r="M544" i="2" s="1"/>
  <c r="C545" i="2"/>
  <c r="A546" i="2" l="1"/>
  <c r="B545" i="2"/>
  <c r="H545" i="2" s="1"/>
  <c r="L545" i="2" s="1"/>
  <c r="J459" i="2"/>
  <c r="K459" i="2"/>
  <c r="I459" i="2" s="1"/>
  <c r="J460" i="2"/>
  <c r="K460" i="2"/>
  <c r="G544" i="2"/>
  <c r="E544" i="2"/>
  <c r="F544" i="2" s="1"/>
  <c r="D545" i="2"/>
  <c r="M545" i="2" s="1"/>
  <c r="C546" i="2"/>
  <c r="A547" i="2" l="1"/>
  <c r="B546" i="2"/>
  <c r="H546" i="2" s="1"/>
  <c r="L546" i="2" s="1"/>
  <c r="I460" i="2"/>
  <c r="J461" i="2" s="1"/>
  <c r="K461" i="2" s="1"/>
  <c r="G545" i="2"/>
  <c r="E545" i="2"/>
  <c r="F545" i="2" s="1"/>
  <c r="D546" i="2"/>
  <c r="M546" i="2" s="1"/>
  <c r="C547" i="2"/>
  <c r="A548" i="2" l="1"/>
  <c r="B547" i="2"/>
  <c r="H547" i="2" s="1"/>
  <c r="L547" i="2" s="1"/>
  <c r="I461" i="2"/>
  <c r="J462" i="2"/>
  <c r="K462" i="2"/>
  <c r="G546" i="2"/>
  <c r="E546" i="2"/>
  <c r="F546" i="2" s="1"/>
  <c r="D547" i="2"/>
  <c r="M547" i="2" s="1"/>
  <c r="C548" i="2"/>
  <c r="A549" i="2" l="1"/>
  <c r="B548" i="2"/>
  <c r="H548" i="2" s="1"/>
  <c r="L548" i="2" s="1"/>
  <c r="I462" i="2"/>
  <c r="J463" i="2"/>
  <c r="K463" i="2" s="1"/>
  <c r="I463" i="2" s="1"/>
  <c r="G547" i="2"/>
  <c r="E547" i="2"/>
  <c r="F547" i="2" s="1"/>
  <c r="D548" i="2"/>
  <c r="M548" i="2" s="1"/>
  <c r="C549" i="2"/>
  <c r="A550" i="2" l="1"/>
  <c r="B549" i="2"/>
  <c r="H549" i="2" s="1"/>
  <c r="L549" i="2" s="1"/>
  <c r="J464" i="2"/>
  <c r="K464" i="2"/>
  <c r="G548" i="2"/>
  <c r="E548" i="2"/>
  <c r="F548" i="2" s="1"/>
  <c r="D549" i="2"/>
  <c r="M549" i="2" s="1"/>
  <c r="C550" i="2"/>
  <c r="A551" i="2" l="1"/>
  <c r="B550" i="2"/>
  <c r="H550" i="2" s="1"/>
  <c r="L550" i="2" s="1"/>
  <c r="I464" i="2"/>
  <c r="J465" i="2"/>
  <c r="K465" i="2"/>
  <c r="G549" i="2"/>
  <c r="E549" i="2"/>
  <c r="F549" i="2" s="1"/>
  <c r="D550" i="2"/>
  <c r="M550" i="2" s="1"/>
  <c r="C551" i="2"/>
  <c r="A552" i="2" l="1"/>
  <c r="B551" i="2"/>
  <c r="H551" i="2" s="1"/>
  <c r="L551" i="2" s="1"/>
  <c r="I465" i="2"/>
  <c r="J466" i="2"/>
  <c r="K466" i="2"/>
  <c r="G550" i="2"/>
  <c r="E550" i="2"/>
  <c r="F550" i="2" s="1"/>
  <c r="D551" i="2"/>
  <c r="M551" i="2" s="1"/>
  <c r="C552" i="2"/>
  <c r="A553" i="2" l="1"/>
  <c r="B552" i="2"/>
  <c r="H552" i="2" s="1"/>
  <c r="L552" i="2" s="1"/>
  <c r="I466" i="2"/>
  <c r="J467" i="2"/>
  <c r="K467" i="2"/>
  <c r="G551" i="2"/>
  <c r="E551" i="2"/>
  <c r="F551" i="2" s="1"/>
  <c r="D552" i="2"/>
  <c r="M552" i="2" s="1"/>
  <c r="C553" i="2"/>
  <c r="A554" i="2" l="1"/>
  <c r="B553" i="2"/>
  <c r="H553" i="2" s="1"/>
  <c r="L553" i="2" s="1"/>
  <c r="I467" i="2"/>
  <c r="J468" i="2" s="1"/>
  <c r="K468" i="2" s="1"/>
  <c r="G552" i="2"/>
  <c r="E552" i="2"/>
  <c r="F552" i="2" s="1"/>
  <c r="D553" i="2"/>
  <c r="M553" i="2" s="1"/>
  <c r="C554" i="2"/>
  <c r="A555" i="2" l="1"/>
  <c r="B554" i="2"/>
  <c r="H554" i="2" s="1"/>
  <c r="L554" i="2" s="1"/>
  <c r="I468" i="2"/>
  <c r="G553" i="2"/>
  <c r="E553" i="2"/>
  <c r="F553" i="2" s="1"/>
  <c r="D554" i="2"/>
  <c r="M554" i="2" s="1"/>
  <c r="C555" i="2"/>
  <c r="A556" i="2" l="1"/>
  <c r="B555" i="2"/>
  <c r="H555" i="2" s="1"/>
  <c r="L555" i="2" s="1"/>
  <c r="J469" i="2"/>
  <c r="K469" i="2"/>
  <c r="I469" i="2"/>
  <c r="J470" i="2"/>
  <c r="K470" i="2"/>
  <c r="G554" i="2"/>
  <c r="E554" i="2"/>
  <c r="F554" i="2" s="1"/>
  <c r="D555" i="2"/>
  <c r="M555" i="2" s="1"/>
  <c r="C556" i="2"/>
  <c r="A557" i="2" l="1"/>
  <c r="B556" i="2"/>
  <c r="H556" i="2" s="1"/>
  <c r="L556" i="2" s="1"/>
  <c r="I470" i="2"/>
  <c r="J471" i="2"/>
  <c r="E555" i="2"/>
  <c r="F555" i="2" s="1"/>
  <c r="G555" i="2"/>
  <c r="D556" i="2"/>
  <c r="M556" i="2" s="1"/>
  <c r="C557" i="2"/>
  <c r="A558" i="2" l="1"/>
  <c r="B557" i="2"/>
  <c r="H557" i="2" s="1"/>
  <c r="L557" i="2" s="1"/>
  <c r="K471" i="2"/>
  <c r="I471" i="2"/>
  <c r="G556" i="2"/>
  <c r="E556" i="2"/>
  <c r="F556" i="2" s="1"/>
  <c r="D557" i="2"/>
  <c r="M557" i="2" s="1"/>
  <c r="C558" i="2"/>
  <c r="A559" i="2" l="1"/>
  <c r="B558" i="2"/>
  <c r="H558" i="2" s="1"/>
  <c r="L558" i="2" s="1"/>
  <c r="J472" i="2"/>
  <c r="K472" i="2" s="1"/>
  <c r="I472" i="2" s="1"/>
  <c r="G557" i="2"/>
  <c r="E557" i="2"/>
  <c r="F557" i="2" s="1"/>
  <c r="D558" i="2"/>
  <c r="M558" i="2" s="1"/>
  <c r="C559" i="2"/>
  <c r="A560" i="2" l="1"/>
  <c r="B559" i="2"/>
  <c r="H559" i="2" s="1"/>
  <c r="L559" i="2" s="1"/>
  <c r="J473" i="2"/>
  <c r="K473" i="2" s="1"/>
  <c r="G558" i="2"/>
  <c r="E558" i="2"/>
  <c r="F558" i="2" s="1"/>
  <c r="D559" i="2"/>
  <c r="M559" i="2" s="1"/>
  <c r="C560" i="2"/>
  <c r="A561" i="2" l="1"/>
  <c r="B560" i="2"/>
  <c r="H560" i="2" s="1"/>
  <c r="L560" i="2" s="1"/>
  <c r="I473" i="2"/>
  <c r="J474" i="2"/>
  <c r="G559" i="2"/>
  <c r="E559" i="2"/>
  <c r="F559" i="2" s="1"/>
  <c r="D560" i="2"/>
  <c r="M560" i="2" s="1"/>
  <c r="C561" i="2"/>
  <c r="A562" i="2" l="1"/>
  <c r="B561" i="2"/>
  <c r="H561" i="2" s="1"/>
  <c r="L561" i="2" s="1"/>
  <c r="K474" i="2"/>
  <c r="I474" i="2" s="1"/>
  <c r="G560" i="2"/>
  <c r="E560" i="2"/>
  <c r="F560" i="2" s="1"/>
  <c r="D561" i="2"/>
  <c r="M561" i="2" s="1"/>
  <c r="C562" i="2"/>
  <c r="A563" i="2" l="1"/>
  <c r="B562" i="2"/>
  <c r="H562" i="2" s="1"/>
  <c r="L562" i="2" s="1"/>
  <c r="J475" i="2"/>
  <c r="K475" i="2" s="1"/>
  <c r="I475" i="2" s="1"/>
  <c r="E561" i="2"/>
  <c r="F561" i="2" s="1"/>
  <c r="G561" i="2"/>
  <c r="D562" i="2"/>
  <c r="M562" i="2" s="1"/>
  <c r="C563" i="2"/>
  <c r="A564" i="2" l="1"/>
  <c r="B563" i="2"/>
  <c r="H563" i="2" s="1"/>
  <c r="L563" i="2" s="1"/>
  <c r="J476" i="2"/>
  <c r="K476" i="2" s="1"/>
  <c r="I476" i="2" s="1"/>
  <c r="G562" i="2"/>
  <c r="E562" i="2"/>
  <c r="F562" i="2" s="1"/>
  <c r="D563" i="2"/>
  <c r="M563" i="2" s="1"/>
  <c r="C564" i="2"/>
  <c r="A565" i="2" l="1"/>
  <c r="B564" i="2"/>
  <c r="H564" i="2" s="1"/>
  <c r="L564" i="2" s="1"/>
  <c r="J477" i="2"/>
  <c r="K477" i="2" s="1"/>
  <c r="I477" i="2" s="1"/>
  <c r="G563" i="2"/>
  <c r="E563" i="2"/>
  <c r="F563" i="2" s="1"/>
  <c r="D564" i="2"/>
  <c r="M564" i="2" s="1"/>
  <c r="C565" i="2"/>
  <c r="A566" i="2" l="1"/>
  <c r="B565" i="2"/>
  <c r="H565" i="2" s="1"/>
  <c r="L565" i="2" s="1"/>
  <c r="J478" i="2"/>
  <c r="K478" i="2" s="1"/>
  <c r="I478" i="2" s="1"/>
  <c r="G564" i="2"/>
  <c r="E564" i="2"/>
  <c r="F564" i="2" s="1"/>
  <c r="D565" i="2"/>
  <c r="M565" i="2" s="1"/>
  <c r="C566" i="2"/>
  <c r="A567" i="2" l="1"/>
  <c r="B566" i="2"/>
  <c r="H566" i="2" s="1"/>
  <c r="L566" i="2" s="1"/>
  <c r="J479" i="2"/>
  <c r="G565" i="2"/>
  <c r="E565" i="2"/>
  <c r="F565" i="2" s="1"/>
  <c r="D566" i="2"/>
  <c r="M566" i="2" s="1"/>
  <c r="C567" i="2"/>
  <c r="A568" i="2" l="1"/>
  <c r="B567" i="2"/>
  <c r="H567" i="2" s="1"/>
  <c r="L567" i="2" s="1"/>
  <c r="K479" i="2"/>
  <c r="I479" i="2" s="1"/>
  <c r="E566" i="2"/>
  <c r="F566" i="2" s="1"/>
  <c r="G566" i="2"/>
  <c r="D567" i="2"/>
  <c r="M567" i="2" s="1"/>
  <c r="C568" i="2"/>
  <c r="A569" i="2" l="1"/>
  <c r="B568" i="2"/>
  <c r="H568" i="2" s="1"/>
  <c r="L568" i="2" s="1"/>
  <c r="J480" i="2"/>
  <c r="G567" i="2"/>
  <c r="E567" i="2"/>
  <c r="F567" i="2" s="1"/>
  <c r="D568" i="2"/>
  <c r="M568" i="2" s="1"/>
  <c r="C569" i="2"/>
  <c r="A570" i="2" l="1"/>
  <c r="B569" i="2"/>
  <c r="H569" i="2" s="1"/>
  <c r="L569" i="2" s="1"/>
  <c r="K480" i="2"/>
  <c r="I480" i="2" s="1"/>
  <c r="E568" i="2"/>
  <c r="F568" i="2" s="1"/>
  <c r="G568" i="2"/>
  <c r="D569" i="2"/>
  <c r="M569" i="2" s="1"/>
  <c r="C570" i="2"/>
  <c r="A571" i="2" l="1"/>
  <c r="B570" i="2"/>
  <c r="H570" i="2" s="1"/>
  <c r="L570" i="2" s="1"/>
  <c r="J481" i="2"/>
  <c r="G569" i="2"/>
  <c r="E569" i="2"/>
  <c r="F569" i="2" s="1"/>
  <c r="D570" i="2"/>
  <c r="M570" i="2" s="1"/>
  <c r="C571" i="2"/>
  <c r="A572" i="2" l="1"/>
  <c r="B571" i="2"/>
  <c r="H571" i="2" s="1"/>
  <c r="L571" i="2" s="1"/>
  <c r="K481" i="2"/>
  <c r="I481" i="2" s="1"/>
  <c r="G570" i="2"/>
  <c r="E570" i="2"/>
  <c r="F570" i="2" s="1"/>
  <c r="D571" i="2"/>
  <c r="M571" i="2" s="1"/>
  <c r="C572" i="2"/>
  <c r="A573" i="2" l="1"/>
  <c r="B572" i="2"/>
  <c r="H572" i="2" s="1"/>
  <c r="L572" i="2" s="1"/>
  <c r="J482" i="2"/>
  <c r="G571" i="2"/>
  <c r="E571" i="2"/>
  <c r="F571" i="2" s="1"/>
  <c r="D572" i="2"/>
  <c r="M572" i="2" s="1"/>
  <c r="C573" i="2"/>
  <c r="A574" i="2" l="1"/>
  <c r="B573" i="2"/>
  <c r="H573" i="2" s="1"/>
  <c r="L573" i="2" s="1"/>
  <c r="K482" i="2"/>
  <c r="I482" i="2" s="1"/>
  <c r="E572" i="2"/>
  <c r="F572" i="2" s="1"/>
  <c r="G572" i="2"/>
  <c r="D573" i="2"/>
  <c r="M573" i="2" s="1"/>
  <c r="C574" i="2"/>
  <c r="A575" i="2" l="1"/>
  <c r="B574" i="2"/>
  <c r="H574" i="2" s="1"/>
  <c r="L574" i="2" s="1"/>
  <c r="J483" i="2"/>
  <c r="K483" i="2" s="1"/>
  <c r="I483" i="2" s="1"/>
  <c r="G573" i="2"/>
  <c r="E573" i="2"/>
  <c r="F573" i="2" s="1"/>
  <c r="D574" i="2"/>
  <c r="M574" i="2" s="1"/>
  <c r="C575" i="2"/>
  <c r="A576" i="2" l="1"/>
  <c r="B575" i="2"/>
  <c r="H575" i="2" s="1"/>
  <c r="L575" i="2" s="1"/>
  <c r="J484" i="2"/>
  <c r="K484" i="2"/>
  <c r="G574" i="2"/>
  <c r="E574" i="2"/>
  <c r="F574" i="2" s="1"/>
  <c r="D575" i="2"/>
  <c r="M575" i="2" s="1"/>
  <c r="C576" i="2"/>
  <c r="A577" i="2" l="1"/>
  <c r="B576" i="2"/>
  <c r="H576" i="2" s="1"/>
  <c r="L576" i="2" s="1"/>
  <c r="I484" i="2"/>
  <c r="J485" i="2" s="1"/>
  <c r="G575" i="2"/>
  <c r="E575" i="2"/>
  <c r="F575" i="2" s="1"/>
  <c r="D576" i="2"/>
  <c r="M576" i="2" s="1"/>
  <c r="C577" i="2"/>
  <c r="A578" i="2" l="1"/>
  <c r="B577" i="2"/>
  <c r="H577" i="2" s="1"/>
  <c r="L577" i="2" s="1"/>
  <c r="K485" i="2"/>
  <c r="I485" i="2" s="1"/>
  <c r="J486" i="2"/>
  <c r="K486" i="2" s="1"/>
  <c r="I486" i="2" s="1"/>
  <c r="G576" i="2"/>
  <c r="E576" i="2"/>
  <c r="F576" i="2" s="1"/>
  <c r="D577" i="2"/>
  <c r="M577" i="2" s="1"/>
  <c r="C578" i="2"/>
  <c r="A579" i="2" l="1"/>
  <c r="B578" i="2"/>
  <c r="H578" i="2" s="1"/>
  <c r="L578" i="2" s="1"/>
  <c r="J487" i="2"/>
  <c r="K487" i="2"/>
  <c r="E577" i="2"/>
  <c r="F577" i="2" s="1"/>
  <c r="G577" i="2"/>
  <c r="D578" i="2"/>
  <c r="M578" i="2" s="1"/>
  <c r="C579" i="2"/>
  <c r="A580" i="2" l="1"/>
  <c r="B579" i="2"/>
  <c r="H579" i="2" s="1"/>
  <c r="L579" i="2" s="1"/>
  <c r="I487" i="2"/>
  <c r="J488" i="2"/>
  <c r="K488" i="2"/>
  <c r="G578" i="2"/>
  <c r="E578" i="2"/>
  <c r="F578" i="2" s="1"/>
  <c r="D579" i="2"/>
  <c r="M579" i="2" s="1"/>
  <c r="C580" i="2"/>
  <c r="A581" i="2" l="1"/>
  <c r="B580" i="2"/>
  <c r="H580" i="2" s="1"/>
  <c r="L580" i="2" s="1"/>
  <c r="I488" i="2"/>
  <c r="J489" i="2"/>
  <c r="G579" i="2"/>
  <c r="E579" i="2"/>
  <c r="F579" i="2" s="1"/>
  <c r="D580" i="2"/>
  <c r="M580" i="2" s="1"/>
  <c r="C581" i="2"/>
  <c r="A582" i="2" l="1"/>
  <c r="B581" i="2"/>
  <c r="H581" i="2" s="1"/>
  <c r="L581" i="2" s="1"/>
  <c r="K489" i="2"/>
  <c r="I489" i="2"/>
  <c r="E580" i="2"/>
  <c r="F580" i="2" s="1"/>
  <c r="G580" i="2"/>
  <c r="D581" i="2"/>
  <c r="M581" i="2" s="1"/>
  <c r="C582" i="2"/>
  <c r="A583" i="2" l="1"/>
  <c r="B582" i="2"/>
  <c r="H582" i="2" s="1"/>
  <c r="L582" i="2" s="1"/>
  <c r="J490" i="2"/>
  <c r="G581" i="2"/>
  <c r="E581" i="2"/>
  <c r="F581" i="2" s="1"/>
  <c r="D582" i="2"/>
  <c r="M582" i="2" s="1"/>
  <c r="C583" i="2"/>
  <c r="A584" i="2" l="1"/>
  <c r="B583" i="2"/>
  <c r="H583" i="2" s="1"/>
  <c r="L583" i="2" s="1"/>
  <c r="K490" i="2"/>
  <c r="I490" i="2" s="1"/>
  <c r="G582" i="2"/>
  <c r="E582" i="2"/>
  <c r="F582" i="2" s="1"/>
  <c r="D583" i="2"/>
  <c r="M583" i="2" s="1"/>
  <c r="C584" i="2"/>
  <c r="A585" i="2" l="1"/>
  <c r="B584" i="2"/>
  <c r="H584" i="2" s="1"/>
  <c r="L584" i="2" s="1"/>
  <c r="J491" i="2"/>
  <c r="K491" i="2" s="1"/>
  <c r="I491" i="2" s="1"/>
  <c r="G583" i="2"/>
  <c r="E583" i="2"/>
  <c r="F583" i="2" s="1"/>
  <c r="D584" i="2"/>
  <c r="M584" i="2" s="1"/>
  <c r="C585" i="2"/>
  <c r="A586" i="2" l="1"/>
  <c r="B585" i="2"/>
  <c r="H585" i="2" s="1"/>
  <c r="L585" i="2" s="1"/>
  <c r="J492" i="2"/>
  <c r="K492" i="2" s="1"/>
  <c r="G584" i="2"/>
  <c r="E584" i="2"/>
  <c r="F584" i="2" s="1"/>
  <c r="D585" i="2"/>
  <c r="M585" i="2" s="1"/>
  <c r="C586" i="2"/>
  <c r="A587" i="2" l="1"/>
  <c r="B586" i="2"/>
  <c r="H586" i="2" s="1"/>
  <c r="L586" i="2" s="1"/>
  <c r="I492" i="2"/>
  <c r="J493" i="2"/>
  <c r="K493" i="2"/>
  <c r="G585" i="2"/>
  <c r="E585" i="2"/>
  <c r="F585" i="2" s="1"/>
  <c r="D586" i="2"/>
  <c r="M586" i="2" s="1"/>
  <c r="C587" i="2"/>
  <c r="A588" i="2" l="1"/>
  <c r="B587" i="2"/>
  <c r="H587" i="2" s="1"/>
  <c r="L587" i="2" s="1"/>
  <c r="I493" i="2"/>
  <c r="J494" i="2"/>
  <c r="K494" i="2"/>
  <c r="I494" i="2"/>
  <c r="G586" i="2"/>
  <c r="E586" i="2"/>
  <c r="F586" i="2" s="1"/>
  <c r="D587" i="2"/>
  <c r="M587" i="2" s="1"/>
  <c r="C588" i="2"/>
  <c r="A589" i="2" l="1"/>
  <c r="B588" i="2"/>
  <c r="H588" i="2" s="1"/>
  <c r="L588" i="2" s="1"/>
  <c r="J495" i="2"/>
  <c r="G587" i="2"/>
  <c r="E587" i="2"/>
  <c r="F587" i="2" s="1"/>
  <c r="D588" i="2"/>
  <c r="M588" i="2" s="1"/>
  <c r="C589" i="2"/>
  <c r="A590" i="2" l="1"/>
  <c r="B589" i="2"/>
  <c r="H589" i="2" s="1"/>
  <c r="L589" i="2" s="1"/>
  <c r="K495" i="2"/>
  <c r="I495" i="2" s="1"/>
  <c r="G588" i="2"/>
  <c r="E588" i="2"/>
  <c r="F588" i="2" s="1"/>
  <c r="D589" i="2"/>
  <c r="M589" i="2" s="1"/>
  <c r="C590" i="2"/>
  <c r="A591" i="2" l="1"/>
  <c r="B590" i="2"/>
  <c r="H590" i="2" s="1"/>
  <c r="L590" i="2" s="1"/>
  <c r="J496" i="2"/>
  <c r="K496" i="2" s="1"/>
  <c r="I496" i="2" s="1"/>
  <c r="E589" i="2"/>
  <c r="F589" i="2" s="1"/>
  <c r="G589" i="2"/>
  <c r="D590" i="2"/>
  <c r="M590" i="2" s="1"/>
  <c r="C591" i="2"/>
  <c r="A592" i="2" l="1"/>
  <c r="B591" i="2"/>
  <c r="H591" i="2" s="1"/>
  <c r="L591" i="2" s="1"/>
  <c r="J497" i="2"/>
  <c r="K497" i="2"/>
  <c r="G590" i="2"/>
  <c r="E590" i="2"/>
  <c r="F590" i="2" s="1"/>
  <c r="D591" i="2"/>
  <c r="M591" i="2" s="1"/>
  <c r="C592" i="2"/>
  <c r="A593" i="2" l="1"/>
  <c r="B592" i="2"/>
  <c r="H592" i="2" s="1"/>
  <c r="L592" i="2" s="1"/>
  <c r="I497" i="2"/>
  <c r="J498" i="2"/>
  <c r="K498" i="2"/>
  <c r="G591" i="2"/>
  <c r="E591" i="2"/>
  <c r="F591" i="2" s="1"/>
  <c r="D592" i="2"/>
  <c r="M592" i="2" s="1"/>
  <c r="C593" i="2"/>
  <c r="A594" i="2" l="1"/>
  <c r="B593" i="2"/>
  <c r="H593" i="2" s="1"/>
  <c r="L593" i="2" s="1"/>
  <c r="I498" i="2"/>
  <c r="J499" i="2"/>
  <c r="G592" i="2"/>
  <c r="E592" i="2"/>
  <c r="F592" i="2" s="1"/>
  <c r="D593" i="2"/>
  <c r="M593" i="2" s="1"/>
  <c r="C594" i="2"/>
  <c r="A595" i="2" l="1"/>
  <c r="B594" i="2"/>
  <c r="H594" i="2" s="1"/>
  <c r="L594" i="2" s="1"/>
  <c r="K499" i="2"/>
  <c r="I499" i="2" s="1"/>
  <c r="E593" i="2"/>
  <c r="F593" i="2" s="1"/>
  <c r="G593" i="2"/>
  <c r="D594" i="2"/>
  <c r="M594" i="2" s="1"/>
  <c r="C595" i="2"/>
  <c r="A596" i="2" l="1"/>
  <c r="B595" i="2"/>
  <c r="H595" i="2" s="1"/>
  <c r="L595" i="2" s="1"/>
  <c r="J500" i="2"/>
  <c r="K500" i="2"/>
  <c r="I500" i="2"/>
  <c r="G594" i="2"/>
  <c r="E594" i="2"/>
  <c r="F594" i="2" s="1"/>
  <c r="D595" i="2"/>
  <c r="M595" i="2" s="1"/>
  <c r="C596" i="2"/>
  <c r="A597" i="2" l="1"/>
  <c r="B596" i="2"/>
  <c r="H596" i="2" s="1"/>
  <c r="L596" i="2" s="1"/>
  <c r="J501" i="2"/>
  <c r="G595" i="2"/>
  <c r="E595" i="2"/>
  <c r="F595" i="2" s="1"/>
  <c r="D596" i="2"/>
  <c r="M596" i="2" s="1"/>
  <c r="C597" i="2"/>
  <c r="A598" i="2" l="1"/>
  <c r="B597" i="2"/>
  <c r="H597" i="2" s="1"/>
  <c r="L597" i="2" s="1"/>
  <c r="K501" i="2"/>
  <c r="I501" i="2" s="1"/>
  <c r="G596" i="2"/>
  <c r="E596" i="2"/>
  <c r="F596" i="2" s="1"/>
  <c r="D597" i="2"/>
  <c r="M597" i="2" s="1"/>
  <c r="C598" i="2"/>
  <c r="A599" i="2" l="1"/>
  <c r="B598" i="2"/>
  <c r="H598" i="2" s="1"/>
  <c r="L598" i="2" s="1"/>
  <c r="J502" i="2"/>
  <c r="E597" i="2"/>
  <c r="F597" i="2" s="1"/>
  <c r="G597" i="2"/>
  <c r="D598" i="2"/>
  <c r="M598" i="2" s="1"/>
  <c r="C599" i="2"/>
  <c r="A600" i="2" l="1"/>
  <c r="B599" i="2"/>
  <c r="H599" i="2" s="1"/>
  <c r="L599" i="2" s="1"/>
  <c r="K502" i="2"/>
  <c r="I502" i="2" s="1"/>
  <c r="G598" i="2"/>
  <c r="E598" i="2"/>
  <c r="F598" i="2" s="1"/>
  <c r="D599" i="2"/>
  <c r="M599" i="2" s="1"/>
  <c r="C600" i="2"/>
  <c r="A601" i="2" l="1"/>
  <c r="B600" i="2"/>
  <c r="H600" i="2" s="1"/>
  <c r="L600" i="2" s="1"/>
  <c r="J503" i="2"/>
  <c r="K503" i="2" s="1"/>
  <c r="I503" i="2" s="1"/>
  <c r="G599" i="2"/>
  <c r="E599" i="2"/>
  <c r="F599" i="2" s="1"/>
  <c r="D600" i="2"/>
  <c r="M600" i="2" s="1"/>
  <c r="C601" i="2"/>
  <c r="A602" i="2" l="1"/>
  <c r="B601" i="2"/>
  <c r="H601" i="2" s="1"/>
  <c r="L601" i="2" s="1"/>
  <c r="J504" i="2"/>
  <c r="K504" i="2" s="1"/>
  <c r="I504" i="2" s="1"/>
  <c r="J505" i="2" s="1"/>
  <c r="G600" i="2"/>
  <c r="E600" i="2"/>
  <c r="F600" i="2" s="1"/>
  <c r="D601" i="2"/>
  <c r="M601" i="2" s="1"/>
  <c r="C602" i="2"/>
  <c r="A603" i="2" l="1"/>
  <c r="B602" i="2"/>
  <c r="H602" i="2" s="1"/>
  <c r="L602" i="2" s="1"/>
  <c r="K505" i="2"/>
  <c r="I505" i="2" s="1"/>
  <c r="G601" i="2"/>
  <c r="E601" i="2"/>
  <c r="F601" i="2" s="1"/>
  <c r="D602" i="2"/>
  <c r="M602" i="2" s="1"/>
  <c r="C603" i="2"/>
  <c r="A604" i="2" l="1"/>
  <c r="B603" i="2"/>
  <c r="H603" i="2" s="1"/>
  <c r="L603" i="2" s="1"/>
  <c r="J506" i="2"/>
  <c r="G602" i="2"/>
  <c r="E602" i="2"/>
  <c r="F602" i="2" s="1"/>
  <c r="D603" i="2"/>
  <c r="M603" i="2" s="1"/>
  <c r="C604" i="2"/>
  <c r="A605" i="2" l="1"/>
  <c r="B604" i="2"/>
  <c r="H604" i="2" s="1"/>
  <c r="L604" i="2" s="1"/>
  <c r="K506" i="2"/>
  <c r="I506" i="2" s="1"/>
  <c r="E603" i="2"/>
  <c r="F603" i="2" s="1"/>
  <c r="G603" i="2"/>
  <c r="D604" i="2"/>
  <c r="M604" i="2" s="1"/>
  <c r="C605" i="2"/>
  <c r="A606" i="2" l="1"/>
  <c r="B605" i="2"/>
  <c r="H605" i="2" s="1"/>
  <c r="L605" i="2" s="1"/>
  <c r="J507" i="2"/>
  <c r="K507" i="2" s="1"/>
  <c r="G604" i="2"/>
  <c r="E604" i="2"/>
  <c r="F604" i="2" s="1"/>
  <c r="D605" i="2"/>
  <c r="M605" i="2" s="1"/>
  <c r="C606" i="2"/>
  <c r="A607" i="2" l="1"/>
  <c r="B606" i="2"/>
  <c r="H606" i="2" s="1"/>
  <c r="L606" i="2" s="1"/>
  <c r="I507" i="2"/>
  <c r="G605" i="2"/>
  <c r="E605" i="2"/>
  <c r="F605" i="2" s="1"/>
  <c r="D606" i="2"/>
  <c r="M606" i="2" s="1"/>
  <c r="C607" i="2"/>
  <c r="A608" i="2" l="1"/>
  <c r="B607" i="2"/>
  <c r="H607" i="2" s="1"/>
  <c r="L607" i="2" s="1"/>
  <c r="J508" i="2"/>
  <c r="K508" i="2"/>
  <c r="I508" i="2"/>
  <c r="J509" i="2"/>
  <c r="G606" i="2"/>
  <c r="E606" i="2"/>
  <c r="F606" i="2" s="1"/>
  <c r="D607" i="2"/>
  <c r="M607" i="2" s="1"/>
  <c r="C608" i="2"/>
  <c r="A609" i="2" l="1"/>
  <c r="B608" i="2"/>
  <c r="H608" i="2" s="1"/>
  <c r="L608" i="2" s="1"/>
  <c r="K509" i="2"/>
  <c r="I509" i="2" s="1"/>
  <c r="E607" i="2"/>
  <c r="F607" i="2" s="1"/>
  <c r="G607" i="2"/>
  <c r="D608" i="2"/>
  <c r="M608" i="2" s="1"/>
  <c r="C609" i="2"/>
  <c r="A610" i="2" l="1"/>
  <c r="B609" i="2"/>
  <c r="H609" i="2" s="1"/>
  <c r="L609" i="2" s="1"/>
  <c r="J510" i="2"/>
  <c r="G608" i="2"/>
  <c r="E608" i="2"/>
  <c r="F608" i="2" s="1"/>
  <c r="D609" i="2"/>
  <c r="M609" i="2" s="1"/>
  <c r="C610" i="2"/>
  <c r="A611" i="2" l="1"/>
  <c r="B610" i="2"/>
  <c r="H610" i="2" s="1"/>
  <c r="L610" i="2" s="1"/>
  <c r="K510" i="2"/>
  <c r="I510" i="2" s="1"/>
  <c r="G609" i="2"/>
  <c r="E609" i="2"/>
  <c r="F609" i="2" s="1"/>
  <c r="D610" i="2"/>
  <c r="M610" i="2" s="1"/>
  <c r="C611" i="2"/>
  <c r="A612" i="2" l="1"/>
  <c r="B611" i="2"/>
  <c r="H611" i="2" s="1"/>
  <c r="L611" i="2" s="1"/>
  <c r="J511" i="2"/>
  <c r="K511" i="2" s="1"/>
  <c r="I511" i="2" s="1"/>
  <c r="G610" i="2"/>
  <c r="E610" i="2"/>
  <c r="F610" i="2" s="1"/>
  <c r="D611" i="2"/>
  <c r="M611" i="2" s="1"/>
  <c r="C612" i="2"/>
  <c r="A613" i="2" l="1"/>
  <c r="B612" i="2"/>
  <c r="H612" i="2" s="1"/>
  <c r="L612" i="2" s="1"/>
  <c r="J512" i="2"/>
  <c r="K512" i="2"/>
  <c r="E611" i="2"/>
  <c r="F611" i="2" s="1"/>
  <c r="G611" i="2"/>
  <c r="D612" i="2"/>
  <c r="M612" i="2" s="1"/>
  <c r="C613" i="2"/>
  <c r="A614" i="2" l="1"/>
  <c r="B613" i="2"/>
  <c r="H613" i="2" s="1"/>
  <c r="L613" i="2" s="1"/>
  <c r="I512" i="2"/>
  <c r="G612" i="2"/>
  <c r="E612" i="2"/>
  <c r="F612" i="2" s="1"/>
  <c r="D613" i="2"/>
  <c r="M613" i="2" s="1"/>
  <c r="C614" i="2"/>
  <c r="A615" i="2" l="1"/>
  <c r="B614" i="2"/>
  <c r="H614" i="2" s="1"/>
  <c r="L614" i="2" s="1"/>
  <c r="J513" i="2"/>
  <c r="K513" i="2" s="1"/>
  <c r="I513" i="2" s="1"/>
  <c r="G613" i="2"/>
  <c r="E613" i="2"/>
  <c r="F613" i="2" s="1"/>
  <c r="D614" i="2"/>
  <c r="M614" i="2" s="1"/>
  <c r="C615" i="2"/>
  <c r="A616" i="2" l="1"/>
  <c r="B615" i="2"/>
  <c r="H615" i="2" s="1"/>
  <c r="L615" i="2" s="1"/>
  <c r="J514" i="2"/>
  <c r="K514" i="2" s="1"/>
  <c r="I514" i="2" s="1"/>
  <c r="G614" i="2"/>
  <c r="E614" i="2"/>
  <c r="F614" i="2" s="1"/>
  <c r="D615" i="2"/>
  <c r="M615" i="2" s="1"/>
  <c r="C616" i="2"/>
  <c r="A617" i="2" l="1"/>
  <c r="B616" i="2"/>
  <c r="H616" i="2" s="1"/>
  <c r="L616" i="2" s="1"/>
  <c r="J515" i="2"/>
  <c r="K515" i="2" s="1"/>
  <c r="G615" i="2"/>
  <c r="E615" i="2"/>
  <c r="F615" i="2" s="1"/>
  <c r="D616" i="2"/>
  <c r="M616" i="2" s="1"/>
  <c r="C617" i="2"/>
  <c r="A618" i="2" l="1"/>
  <c r="B617" i="2"/>
  <c r="H617" i="2" s="1"/>
  <c r="L617" i="2" s="1"/>
  <c r="I515" i="2"/>
  <c r="J516" i="2" s="1"/>
  <c r="K516" i="2" s="1"/>
  <c r="I516" i="2" s="1"/>
  <c r="G616" i="2"/>
  <c r="E616" i="2"/>
  <c r="F616" i="2" s="1"/>
  <c r="D617" i="2"/>
  <c r="M617" i="2" s="1"/>
  <c r="C618" i="2"/>
  <c r="A619" i="2" l="1"/>
  <c r="B618" i="2"/>
  <c r="H618" i="2" s="1"/>
  <c r="L618" i="2" s="1"/>
  <c r="J517" i="2"/>
  <c r="K517" i="2" s="1"/>
  <c r="I517" i="2" s="1"/>
  <c r="E617" i="2"/>
  <c r="F617" i="2" s="1"/>
  <c r="G617" i="2"/>
  <c r="D618" i="2"/>
  <c r="M618" i="2" s="1"/>
  <c r="C619" i="2"/>
  <c r="A620" i="2" l="1"/>
  <c r="B619" i="2"/>
  <c r="H619" i="2" s="1"/>
  <c r="L619" i="2" s="1"/>
  <c r="J518" i="2"/>
  <c r="K518" i="2"/>
  <c r="G618" i="2"/>
  <c r="E618" i="2"/>
  <c r="F618" i="2" s="1"/>
  <c r="D619" i="2"/>
  <c r="M619" i="2" s="1"/>
  <c r="C620" i="2"/>
  <c r="A621" i="2" l="1"/>
  <c r="B620" i="2"/>
  <c r="H620" i="2" s="1"/>
  <c r="L620" i="2" s="1"/>
  <c r="I518" i="2"/>
  <c r="J519" i="2"/>
  <c r="K519" i="2"/>
  <c r="G619" i="2"/>
  <c r="E619" i="2"/>
  <c r="F619" i="2" s="1"/>
  <c r="D620" i="2"/>
  <c r="M620" i="2" s="1"/>
  <c r="C621" i="2"/>
  <c r="A622" i="2" l="1"/>
  <c r="B621" i="2"/>
  <c r="H621" i="2" s="1"/>
  <c r="L621" i="2" s="1"/>
  <c r="I519" i="2"/>
  <c r="J520" i="2"/>
  <c r="K520" i="2"/>
  <c r="G620" i="2"/>
  <c r="E620" i="2"/>
  <c r="F620" i="2" s="1"/>
  <c r="D621" i="2"/>
  <c r="M621" i="2" s="1"/>
  <c r="C622" i="2"/>
  <c r="A623" i="2" l="1"/>
  <c r="B622" i="2"/>
  <c r="H622" i="2" s="1"/>
  <c r="L622" i="2" s="1"/>
  <c r="I520" i="2"/>
  <c r="J521" i="2"/>
  <c r="G621" i="2"/>
  <c r="E621" i="2"/>
  <c r="F621" i="2" s="1"/>
  <c r="D622" i="2"/>
  <c r="M622" i="2" s="1"/>
  <c r="C623" i="2"/>
  <c r="A624" i="2" l="1"/>
  <c r="B623" i="2"/>
  <c r="H623" i="2" s="1"/>
  <c r="L623" i="2" s="1"/>
  <c r="K521" i="2"/>
  <c r="I521" i="2" s="1"/>
  <c r="E622" i="2"/>
  <c r="F622" i="2" s="1"/>
  <c r="G622" i="2"/>
  <c r="D623" i="2"/>
  <c r="M623" i="2" s="1"/>
  <c r="C624" i="2"/>
  <c r="A625" i="2" l="1"/>
  <c r="B624" i="2"/>
  <c r="H624" i="2" s="1"/>
  <c r="L624" i="2" s="1"/>
  <c r="J522" i="2"/>
  <c r="G623" i="2"/>
  <c r="E623" i="2"/>
  <c r="F623" i="2" s="1"/>
  <c r="D624" i="2"/>
  <c r="M624" i="2" s="1"/>
  <c r="C625" i="2"/>
  <c r="A626" i="2" l="1"/>
  <c r="B625" i="2"/>
  <c r="H625" i="2" s="1"/>
  <c r="L625" i="2" s="1"/>
  <c r="K522" i="2"/>
  <c r="I522" i="2" s="1"/>
  <c r="G624" i="2"/>
  <c r="E624" i="2"/>
  <c r="F624" i="2" s="1"/>
  <c r="D625" i="2"/>
  <c r="M625" i="2" s="1"/>
  <c r="C626" i="2"/>
  <c r="A627" i="2" l="1"/>
  <c r="B626" i="2"/>
  <c r="H626" i="2" s="1"/>
  <c r="L626" i="2" s="1"/>
  <c r="J523" i="2"/>
  <c r="K523" i="2" s="1"/>
  <c r="I523" i="2" s="1"/>
  <c r="G625" i="2"/>
  <c r="E625" i="2"/>
  <c r="F625" i="2" s="1"/>
  <c r="D626" i="2"/>
  <c r="M626" i="2" s="1"/>
  <c r="C627" i="2"/>
  <c r="A628" i="2" l="1"/>
  <c r="B627" i="2"/>
  <c r="H627" i="2" s="1"/>
  <c r="L627" i="2" s="1"/>
  <c r="J524" i="2"/>
  <c r="K524" i="2" s="1"/>
  <c r="I524" i="2" s="1"/>
  <c r="G626" i="2"/>
  <c r="E626" i="2"/>
  <c r="F626" i="2" s="1"/>
  <c r="D627" i="2"/>
  <c r="M627" i="2" s="1"/>
  <c r="C628" i="2"/>
  <c r="A629" i="2" l="1"/>
  <c r="B628" i="2"/>
  <c r="H628" i="2" s="1"/>
  <c r="L628" i="2" s="1"/>
  <c r="J525" i="2"/>
  <c r="K525" i="2" s="1"/>
  <c r="I525" i="2" s="1"/>
  <c r="E627" i="2"/>
  <c r="F627" i="2" s="1"/>
  <c r="G627" i="2"/>
  <c r="D628" i="2"/>
  <c r="M628" i="2" s="1"/>
  <c r="C629" i="2"/>
  <c r="A630" i="2" l="1"/>
  <c r="B629" i="2"/>
  <c r="H629" i="2" s="1"/>
  <c r="L629" i="2" s="1"/>
  <c r="J526" i="2"/>
  <c r="K526" i="2" s="1"/>
  <c r="G628" i="2"/>
  <c r="E628" i="2"/>
  <c r="F628" i="2" s="1"/>
  <c r="D629" i="2"/>
  <c r="M629" i="2" s="1"/>
  <c r="C630" i="2"/>
  <c r="A631" i="2" l="1"/>
  <c r="B630" i="2"/>
  <c r="H630" i="2" s="1"/>
  <c r="L630" i="2" s="1"/>
  <c r="I526" i="2"/>
  <c r="J527" i="2" s="1"/>
  <c r="G629" i="2"/>
  <c r="E629" i="2"/>
  <c r="F629" i="2" s="1"/>
  <c r="D630" i="2"/>
  <c r="M630" i="2" s="1"/>
  <c r="C631" i="2"/>
  <c r="A632" i="2" l="1"/>
  <c r="B631" i="2"/>
  <c r="H631" i="2" s="1"/>
  <c r="L631" i="2" s="1"/>
  <c r="K527" i="2"/>
  <c r="I527" i="2" s="1"/>
  <c r="G630" i="2"/>
  <c r="E630" i="2"/>
  <c r="F630" i="2" s="1"/>
  <c r="D631" i="2"/>
  <c r="M631" i="2" s="1"/>
  <c r="C632" i="2"/>
  <c r="A633" i="2" l="1"/>
  <c r="B632" i="2"/>
  <c r="H632" i="2" s="1"/>
  <c r="L632" i="2" s="1"/>
  <c r="J528" i="2"/>
  <c r="K528" i="2"/>
  <c r="I528" i="2"/>
  <c r="J529" i="2"/>
  <c r="K529" i="2"/>
  <c r="E631" i="2"/>
  <c r="F631" i="2" s="1"/>
  <c r="G631" i="2"/>
  <c r="D632" i="2"/>
  <c r="M632" i="2" s="1"/>
  <c r="C633" i="2"/>
  <c r="A634" i="2" l="1"/>
  <c r="B633" i="2"/>
  <c r="H633" i="2" s="1"/>
  <c r="L633" i="2" s="1"/>
  <c r="I529" i="2"/>
  <c r="J530" i="2"/>
  <c r="G632" i="2"/>
  <c r="E632" i="2"/>
  <c r="F632" i="2" s="1"/>
  <c r="D633" i="2"/>
  <c r="M633" i="2" s="1"/>
  <c r="C634" i="2"/>
  <c r="A635" i="2" l="1"/>
  <c r="B634" i="2"/>
  <c r="H634" i="2" s="1"/>
  <c r="L634" i="2" s="1"/>
  <c r="K530" i="2"/>
  <c r="I530" i="2" s="1"/>
  <c r="G633" i="2"/>
  <c r="E633" i="2"/>
  <c r="F633" i="2" s="1"/>
  <c r="D634" i="2"/>
  <c r="M634" i="2" s="1"/>
  <c r="C635" i="2"/>
  <c r="A636" i="2" l="1"/>
  <c r="B635" i="2"/>
  <c r="H635" i="2" s="1"/>
  <c r="L635" i="2" s="1"/>
  <c r="J531" i="2"/>
  <c r="K531" i="2" s="1"/>
  <c r="I531" i="2" s="1"/>
  <c r="G634" i="2"/>
  <c r="E634" i="2"/>
  <c r="F634" i="2" s="1"/>
  <c r="D635" i="2"/>
  <c r="M635" i="2" s="1"/>
  <c r="C636" i="2"/>
  <c r="A637" i="2" l="1"/>
  <c r="B636" i="2"/>
  <c r="H636" i="2" s="1"/>
  <c r="L636" i="2" s="1"/>
  <c r="J532" i="2"/>
  <c r="K532" i="2"/>
  <c r="G635" i="2"/>
  <c r="E635" i="2"/>
  <c r="F635" i="2" s="1"/>
  <c r="D636" i="2"/>
  <c r="M636" i="2" s="1"/>
  <c r="C637" i="2"/>
  <c r="A638" i="2" l="1"/>
  <c r="B637" i="2"/>
  <c r="H637" i="2" s="1"/>
  <c r="L637" i="2" s="1"/>
  <c r="I532" i="2"/>
  <c r="J533" i="2"/>
  <c r="K533" i="2" s="1"/>
  <c r="I533" i="2" s="1"/>
  <c r="G636" i="2"/>
  <c r="E636" i="2"/>
  <c r="F636" i="2" s="1"/>
  <c r="D637" i="2"/>
  <c r="M637" i="2" s="1"/>
  <c r="C638" i="2"/>
  <c r="A639" i="2" l="1"/>
  <c r="B638" i="2"/>
  <c r="H638" i="2" s="1"/>
  <c r="L638" i="2" s="1"/>
  <c r="J534" i="2"/>
  <c r="E637" i="2"/>
  <c r="F637" i="2" s="1"/>
  <c r="G637" i="2"/>
  <c r="D638" i="2"/>
  <c r="M638" i="2" s="1"/>
  <c r="C639" i="2"/>
  <c r="A640" i="2" l="1"/>
  <c r="B639" i="2"/>
  <c r="H639" i="2" s="1"/>
  <c r="L639" i="2" s="1"/>
  <c r="K534" i="2"/>
  <c r="I534" i="2"/>
  <c r="G638" i="2"/>
  <c r="E638" i="2"/>
  <c r="F638" i="2" s="1"/>
  <c r="D639" i="2"/>
  <c r="M639" i="2" s="1"/>
  <c r="C640" i="2"/>
  <c r="A641" i="2" l="1"/>
  <c r="B640" i="2"/>
  <c r="H640" i="2" s="1"/>
  <c r="L640" i="2" s="1"/>
  <c r="J535" i="2"/>
  <c r="K535" i="2" s="1"/>
  <c r="I535" i="2" s="1"/>
  <c r="G639" i="2"/>
  <c r="E639" i="2"/>
  <c r="F639" i="2" s="1"/>
  <c r="D640" i="2"/>
  <c r="M640" i="2" s="1"/>
  <c r="C641" i="2"/>
  <c r="A642" i="2" l="1"/>
  <c r="B641" i="2"/>
  <c r="H641" i="2" s="1"/>
  <c r="L641" i="2" s="1"/>
  <c r="J536" i="2"/>
  <c r="K536" i="2"/>
  <c r="G640" i="2"/>
  <c r="E640" i="2"/>
  <c r="F640" i="2" s="1"/>
  <c r="D641" i="2"/>
  <c r="M641" i="2" s="1"/>
  <c r="C642" i="2"/>
  <c r="A643" i="2" l="1"/>
  <c r="B642" i="2"/>
  <c r="H642" i="2" s="1"/>
  <c r="L642" i="2" s="1"/>
  <c r="I536" i="2"/>
  <c r="J537" i="2"/>
  <c r="K537" i="2"/>
  <c r="G641" i="2"/>
  <c r="E641" i="2"/>
  <c r="F641" i="2" s="1"/>
  <c r="D642" i="2"/>
  <c r="M642" i="2" s="1"/>
  <c r="C643" i="2"/>
  <c r="A644" i="2" l="1"/>
  <c r="B643" i="2"/>
  <c r="H643" i="2" s="1"/>
  <c r="L643" i="2" s="1"/>
  <c r="I537" i="2"/>
  <c r="J538" i="2"/>
  <c r="K538" i="2"/>
  <c r="G642" i="2"/>
  <c r="E642" i="2"/>
  <c r="F642" i="2" s="1"/>
  <c r="D643" i="2"/>
  <c r="M643" i="2" s="1"/>
  <c r="C644" i="2"/>
  <c r="A645" i="2" l="1"/>
  <c r="B644" i="2"/>
  <c r="H644" i="2" s="1"/>
  <c r="L644" i="2" s="1"/>
  <c r="I538" i="2"/>
  <c r="J539" i="2"/>
  <c r="K539" i="2" s="1"/>
  <c r="G643" i="2"/>
  <c r="E643" i="2"/>
  <c r="F643" i="2" s="1"/>
  <c r="D644" i="2"/>
  <c r="M644" i="2" s="1"/>
  <c r="C645" i="2"/>
  <c r="A646" i="2" l="1"/>
  <c r="B645" i="2"/>
  <c r="H645" i="2" s="1"/>
  <c r="L645" i="2" s="1"/>
  <c r="I539" i="2"/>
  <c r="J540" i="2" s="1"/>
  <c r="G644" i="2"/>
  <c r="E644" i="2"/>
  <c r="F644" i="2" s="1"/>
  <c r="D645" i="2"/>
  <c r="M645" i="2" s="1"/>
  <c r="C646" i="2"/>
  <c r="A647" i="2" l="1"/>
  <c r="B646" i="2"/>
  <c r="H646" i="2" s="1"/>
  <c r="L646" i="2" s="1"/>
  <c r="K540" i="2"/>
  <c r="I540" i="2" s="1"/>
  <c r="E645" i="2"/>
  <c r="F645" i="2" s="1"/>
  <c r="G645" i="2"/>
  <c r="D646" i="2"/>
  <c r="M646" i="2" s="1"/>
  <c r="C647" i="2"/>
  <c r="A648" i="2" l="1"/>
  <c r="B647" i="2"/>
  <c r="H647" i="2" s="1"/>
  <c r="L647" i="2" s="1"/>
  <c r="J541" i="2"/>
  <c r="K541" i="2" s="1"/>
  <c r="I541" i="2" s="1"/>
  <c r="G646" i="2"/>
  <c r="E646" i="2"/>
  <c r="F646" i="2" s="1"/>
  <c r="D647" i="2"/>
  <c r="M647" i="2" s="1"/>
  <c r="C648" i="2"/>
  <c r="A649" i="2" l="1"/>
  <c r="B648" i="2"/>
  <c r="H648" i="2" s="1"/>
  <c r="L648" i="2" s="1"/>
  <c r="J542" i="2"/>
  <c r="G647" i="2"/>
  <c r="E647" i="2"/>
  <c r="F647" i="2" s="1"/>
  <c r="D648" i="2"/>
  <c r="M648" i="2" s="1"/>
  <c r="C649" i="2"/>
  <c r="A650" i="2" l="1"/>
  <c r="B649" i="2"/>
  <c r="H649" i="2" s="1"/>
  <c r="L649" i="2" s="1"/>
  <c r="K542" i="2"/>
  <c r="I542" i="2" s="1"/>
  <c r="G648" i="2"/>
  <c r="E648" i="2"/>
  <c r="F648" i="2" s="1"/>
  <c r="D649" i="2"/>
  <c r="M649" i="2" s="1"/>
  <c r="C650" i="2"/>
  <c r="A651" i="2" l="1"/>
  <c r="B650" i="2"/>
  <c r="H650" i="2" s="1"/>
  <c r="L650" i="2" s="1"/>
  <c r="J543" i="2"/>
  <c r="G649" i="2"/>
  <c r="E649" i="2"/>
  <c r="F649" i="2" s="1"/>
  <c r="D650" i="2"/>
  <c r="M650" i="2" s="1"/>
  <c r="C651" i="2"/>
  <c r="A652" i="2" l="1"/>
  <c r="B651" i="2"/>
  <c r="H651" i="2" s="1"/>
  <c r="L651" i="2" s="1"/>
  <c r="K543" i="2"/>
  <c r="I543" i="2" s="1"/>
  <c r="E650" i="2"/>
  <c r="F650" i="2" s="1"/>
  <c r="G650" i="2"/>
  <c r="D651" i="2"/>
  <c r="M651" i="2" s="1"/>
  <c r="C652" i="2"/>
  <c r="A653" i="2" l="1"/>
  <c r="B652" i="2"/>
  <c r="H652" i="2" s="1"/>
  <c r="L652" i="2" s="1"/>
  <c r="J544" i="2"/>
  <c r="K544" i="2" s="1"/>
  <c r="I544" i="2" s="1"/>
  <c r="G651" i="2"/>
  <c r="E651" i="2"/>
  <c r="F651" i="2" s="1"/>
  <c r="D652" i="2"/>
  <c r="M652" i="2" s="1"/>
  <c r="C653" i="2"/>
  <c r="A654" i="2" l="1"/>
  <c r="B653" i="2"/>
  <c r="H653" i="2" s="1"/>
  <c r="L653" i="2" s="1"/>
  <c r="J545" i="2"/>
  <c r="K545" i="2" s="1"/>
  <c r="I545" i="2" s="1"/>
  <c r="G652" i="2"/>
  <c r="E652" i="2"/>
  <c r="F652" i="2" s="1"/>
  <c r="D653" i="2"/>
  <c r="M653" i="2" s="1"/>
  <c r="C654" i="2"/>
  <c r="A655" i="2" l="1"/>
  <c r="B654" i="2"/>
  <c r="H654" i="2" s="1"/>
  <c r="L654" i="2" s="1"/>
  <c r="J546" i="2"/>
  <c r="K546" i="2" s="1"/>
  <c r="I546" i="2" s="1"/>
  <c r="G653" i="2"/>
  <c r="E653" i="2"/>
  <c r="F653" i="2" s="1"/>
  <c r="D654" i="2"/>
  <c r="M654" i="2" s="1"/>
  <c r="C655" i="2"/>
  <c r="A656" i="2" l="1"/>
  <c r="B655" i="2"/>
  <c r="H655" i="2" s="1"/>
  <c r="L655" i="2" s="1"/>
  <c r="J547" i="2"/>
  <c r="G654" i="2"/>
  <c r="E654" i="2"/>
  <c r="F654" i="2" s="1"/>
  <c r="D655" i="2"/>
  <c r="M655" i="2" s="1"/>
  <c r="C656" i="2"/>
  <c r="A657" i="2" l="1"/>
  <c r="B656" i="2"/>
  <c r="H656" i="2" s="1"/>
  <c r="L656" i="2" s="1"/>
  <c r="K547" i="2"/>
  <c r="I547" i="2" s="1"/>
  <c r="G655" i="2"/>
  <c r="E655" i="2"/>
  <c r="F655" i="2" s="1"/>
  <c r="D656" i="2"/>
  <c r="M656" i="2" s="1"/>
  <c r="C657" i="2"/>
  <c r="A658" i="2" l="1"/>
  <c r="B657" i="2"/>
  <c r="H657" i="2" s="1"/>
  <c r="L657" i="2" s="1"/>
  <c r="J548" i="2"/>
  <c r="K548" i="2" s="1"/>
  <c r="I548" i="2" s="1"/>
  <c r="G656" i="2"/>
  <c r="E656" i="2"/>
  <c r="F656" i="2" s="1"/>
  <c r="D657" i="2"/>
  <c r="M657" i="2" s="1"/>
  <c r="C658" i="2"/>
  <c r="A659" i="2" l="1"/>
  <c r="B658" i="2"/>
  <c r="H658" i="2" s="1"/>
  <c r="L658" i="2" s="1"/>
  <c r="J549" i="2"/>
  <c r="K549" i="2"/>
  <c r="E657" i="2"/>
  <c r="F657" i="2" s="1"/>
  <c r="G657" i="2"/>
  <c r="D658" i="2"/>
  <c r="M658" i="2" s="1"/>
  <c r="C659" i="2"/>
  <c r="A660" i="2" l="1"/>
  <c r="B659" i="2"/>
  <c r="H659" i="2" s="1"/>
  <c r="L659" i="2" s="1"/>
  <c r="I549" i="2"/>
  <c r="J550" i="2"/>
  <c r="K550" i="2"/>
  <c r="G658" i="2"/>
  <c r="E658" i="2"/>
  <c r="F658" i="2" s="1"/>
  <c r="D659" i="2"/>
  <c r="M659" i="2" s="1"/>
  <c r="C660" i="2"/>
  <c r="A661" i="2" l="1"/>
  <c r="B660" i="2"/>
  <c r="H660" i="2" s="1"/>
  <c r="L660" i="2" s="1"/>
  <c r="I550" i="2"/>
  <c r="J551" i="2"/>
  <c r="K551" i="2"/>
  <c r="G659" i="2"/>
  <c r="E659" i="2"/>
  <c r="F659" i="2" s="1"/>
  <c r="D660" i="2"/>
  <c r="M660" i="2" s="1"/>
  <c r="C661" i="2"/>
  <c r="A662" i="2" l="1"/>
  <c r="B661" i="2"/>
  <c r="H661" i="2" s="1"/>
  <c r="L661" i="2" s="1"/>
  <c r="I551" i="2"/>
  <c r="G660" i="2"/>
  <c r="E660" i="2"/>
  <c r="F660" i="2" s="1"/>
  <c r="D661" i="2"/>
  <c r="M661" i="2" s="1"/>
  <c r="C662" i="2"/>
  <c r="A663" i="2" l="1"/>
  <c r="B662" i="2"/>
  <c r="H662" i="2" s="1"/>
  <c r="L662" i="2" s="1"/>
  <c r="J552" i="2"/>
  <c r="K552" i="2" s="1"/>
  <c r="I552" i="2" s="1"/>
  <c r="J553" i="2" s="1"/>
  <c r="G661" i="2"/>
  <c r="E661" i="2"/>
  <c r="F661" i="2" s="1"/>
  <c r="D662" i="2"/>
  <c r="M662" i="2" s="1"/>
  <c r="C663" i="2"/>
  <c r="A664" i="2" l="1"/>
  <c r="B663" i="2"/>
  <c r="H663" i="2" s="1"/>
  <c r="L663" i="2" s="1"/>
  <c r="K553" i="2"/>
  <c r="I553" i="2"/>
  <c r="G662" i="2"/>
  <c r="E662" i="2"/>
  <c r="F662" i="2" s="1"/>
  <c r="D663" i="2"/>
  <c r="M663" i="2" s="1"/>
  <c r="C664" i="2"/>
  <c r="A665" i="2" l="1"/>
  <c r="B664" i="2"/>
  <c r="H664" i="2" s="1"/>
  <c r="L664" i="2" s="1"/>
  <c r="J554" i="2"/>
  <c r="K554" i="2" s="1"/>
  <c r="I554" i="2" s="1"/>
  <c r="E663" i="2"/>
  <c r="F663" i="2" s="1"/>
  <c r="G663" i="2"/>
  <c r="D664" i="2"/>
  <c r="M664" i="2" s="1"/>
  <c r="C665" i="2"/>
  <c r="A666" i="2" l="1"/>
  <c r="B665" i="2"/>
  <c r="H665" i="2" s="1"/>
  <c r="L665" i="2" s="1"/>
  <c r="J555" i="2"/>
  <c r="K555" i="2"/>
  <c r="G664" i="2"/>
  <c r="E664" i="2"/>
  <c r="F664" i="2" s="1"/>
  <c r="D665" i="2"/>
  <c r="M665" i="2" s="1"/>
  <c r="C666" i="2"/>
  <c r="A667" i="2" l="1"/>
  <c r="B666" i="2"/>
  <c r="H666" i="2" s="1"/>
  <c r="L666" i="2" s="1"/>
  <c r="I555" i="2"/>
  <c r="J556" i="2" s="1"/>
  <c r="K556" i="2" s="1"/>
  <c r="G665" i="2"/>
  <c r="E665" i="2"/>
  <c r="F665" i="2" s="1"/>
  <c r="D666" i="2"/>
  <c r="M666" i="2" s="1"/>
  <c r="C667" i="2"/>
  <c r="A668" i="2" l="1"/>
  <c r="B667" i="2"/>
  <c r="H667" i="2" s="1"/>
  <c r="L667" i="2" s="1"/>
  <c r="I556" i="2"/>
  <c r="J557" i="2"/>
  <c r="K557" i="2"/>
  <c r="G666" i="2"/>
  <c r="E666" i="2"/>
  <c r="F666" i="2" s="1"/>
  <c r="D667" i="2"/>
  <c r="M667" i="2" s="1"/>
  <c r="C668" i="2"/>
  <c r="A669" i="2" l="1"/>
  <c r="B668" i="2"/>
  <c r="H668" i="2" s="1"/>
  <c r="L668" i="2" s="1"/>
  <c r="I557" i="2"/>
  <c r="J558" i="2"/>
  <c r="K558" i="2"/>
  <c r="E667" i="2"/>
  <c r="F667" i="2" s="1"/>
  <c r="G667" i="2"/>
  <c r="D668" i="2"/>
  <c r="M668" i="2" s="1"/>
  <c r="C669" i="2"/>
  <c r="A670" i="2" l="1"/>
  <c r="B669" i="2"/>
  <c r="H669" i="2" s="1"/>
  <c r="L669" i="2" s="1"/>
  <c r="I558" i="2"/>
  <c r="J559" i="2"/>
  <c r="K559" i="2"/>
  <c r="G668" i="2"/>
  <c r="E668" i="2"/>
  <c r="F668" i="2" s="1"/>
  <c r="D669" i="2"/>
  <c r="M669" i="2" s="1"/>
  <c r="C670" i="2"/>
  <c r="A671" i="2" l="1"/>
  <c r="B670" i="2"/>
  <c r="H670" i="2" s="1"/>
  <c r="L670" i="2" s="1"/>
  <c r="I559" i="2"/>
  <c r="G669" i="2"/>
  <c r="E669" i="2"/>
  <c r="F669" i="2" s="1"/>
  <c r="D670" i="2"/>
  <c r="M670" i="2" s="1"/>
  <c r="C671" i="2"/>
  <c r="A672" i="2" l="1"/>
  <c r="B671" i="2"/>
  <c r="H671" i="2" s="1"/>
  <c r="L671" i="2" s="1"/>
  <c r="J560" i="2"/>
  <c r="K560" i="2" s="1"/>
  <c r="G670" i="2"/>
  <c r="E670" i="2"/>
  <c r="F670" i="2" s="1"/>
  <c r="D671" i="2"/>
  <c r="M671" i="2" s="1"/>
  <c r="C672" i="2"/>
  <c r="A673" i="2" l="1"/>
  <c r="B672" i="2"/>
  <c r="H672" i="2" s="1"/>
  <c r="L672" i="2" s="1"/>
  <c r="I560" i="2"/>
  <c r="G671" i="2"/>
  <c r="E671" i="2"/>
  <c r="F671" i="2" s="1"/>
  <c r="D672" i="2"/>
  <c r="M672" i="2" s="1"/>
  <c r="C673" i="2"/>
  <c r="A674" i="2" l="1"/>
  <c r="B673" i="2"/>
  <c r="H673" i="2" s="1"/>
  <c r="L673" i="2" s="1"/>
  <c r="J561" i="2"/>
  <c r="K561" i="2" s="1"/>
  <c r="E672" i="2"/>
  <c r="F672" i="2" s="1"/>
  <c r="G672" i="2"/>
  <c r="D673" i="2"/>
  <c r="M673" i="2" s="1"/>
  <c r="C674" i="2"/>
  <c r="A675" i="2" l="1"/>
  <c r="B674" i="2"/>
  <c r="H674" i="2" s="1"/>
  <c r="L674" i="2" s="1"/>
  <c r="I561" i="2"/>
  <c r="G673" i="2"/>
  <c r="E673" i="2"/>
  <c r="F673" i="2" s="1"/>
  <c r="D674" i="2"/>
  <c r="M674" i="2" s="1"/>
  <c r="C675" i="2"/>
  <c r="A676" i="2" l="1"/>
  <c r="B675" i="2"/>
  <c r="H675" i="2" s="1"/>
  <c r="L675" i="2" s="1"/>
  <c r="J562" i="2"/>
  <c r="K562" i="2" s="1"/>
  <c r="G674" i="2"/>
  <c r="E674" i="2"/>
  <c r="F674" i="2" s="1"/>
  <c r="D675" i="2"/>
  <c r="M675" i="2" s="1"/>
  <c r="C676" i="2"/>
  <c r="A677" i="2" l="1"/>
  <c r="B676" i="2"/>
  <c r="H676" i="2" s="1"/>
  <c r="L676" i="2" s="1"/>
  <c r="I562" i="2"/>
  <c r="G675" i="2"/>
  <c r="E675" i="2"/>
  <c r="F675" i="2" s="1"/>
  <c r="D676" i="2"/>
  <c r="M676" i="2" s="1"/>
  <c r="C677" i="2"/>
  <c r="A678" i="2" l="1"/>
  <c r="B677" i="2"/>
  <c r="H677" i="2" s="1"/>
  <c r="L677" i="2" s="1"/>
  <c r="J563" i="2"/>
  <c r="K563" i="2"/>
  <c r="G676" i="2"/>
  <c r="E676" i="2"/>
  <c r="F676" i="2" s="1"/>
  <c r="D677" i="2"/>
  <c r="M677" i="2" s="1"/>
  <c r="C678" i="2"/>
  <c r="A679" i="2" l="1"/>
  <c r="B678" i="2"/>
  <c r="H678" i="2" s="1"/>
  <c r="L678" i="2" s="1"/>
  <c r="I563" i="2"/>
  <c r="G677" i="2"/>
  <c r="E677" i="2"/>
  <c r="F677" i="2" s="1"/>
  <c r="D678" i="2"/>
  <c r="M678" i="2" s="1"/>
  <c r="C679" i="2"/>
  <c r="A680" i="2" l="1"/>
  <c r="B679" i="2"/>
  <c r="H679" i="2" s="1"/>
  <c r="L679" i="2" s="1"/>
  <c r="J564" i="2"/>
  <c r="K564" i="2" s="1"/>
  <c r="E678" i="2"/>
  <c r="F678" i="2" s="1"/>
  <c r="G678" i="2"/>
  <c r="D679" i="2"/>
  <c r="M679" i="2" s="1"/>
  <c r="C680" i="2"/>
  <c r="A681" i="2" l="1"/>
  <c r="B680" i="2"/>
  <c r="H680" i="2" s="1"/>
  <c r="L680" i="2" s="1"/>
  <c r="I564" i="2"/>
  <c r="G679" i="2"/>
  <c r="E679" i="2"/>
  <c r="F679" i="2" s="1"/>
  <c r="D680" i="2"/>
  <c r="M680" i="2" s="1"/>
  <c r="C681" i="2"/>
  <c r="A682" i="2" l="1"/>
  <c r="B681" i="2"/>
  <c r="H681" i="2" s="1"/>
  <c r="L681" i="2" s="1"/>
  <c r="J565" i="2"/>
  <c r="K565" i="2"/>
  <c r="G680" i="2"/>
  <c r="E680" i="2"/>
  <c r="F680" i="2" s="1"/>
  <c r="D681" i="2"/>
  <c r="M681" i="2" s="1"/>
  <c r="C682" i="2"/>
  <c r="A683" i="2" l="1"/>
  <c r="B682" i="2"/>
  <c r="H682" i="2" s="1"/>
  <c r="L682" i="2" s="1"/>
  <c r="I565" i="2"/>
  <c r="E681" i="2"/>
  <c r="F681" i="2" s="1"/>
  <c r="G681" i="2"/>
  <c r="D682" i="2"/>
  <c r="M682" i="2" s="1"/>
  <c r="C683" i="2"/>
  <c r="A684" i="2" l="1"/>
  <c r="B683" i="2"/>
  <c r="H683" i="2" s="1"/>
  <c r="L683" i="2" s="1"/>
  <c r="J566" i="2"/>
  <c r="K566" i="2" s="1"/>
  <c r="I566" i="2" s="1"/>
  <c r="G682" i="2"/>
  <c r="E682" i="2"/>
  <c r="F682" i="2" s="1"/>
  <c r="D683" i="2"/>
  <c r="M683" i="2" s="1"/>
  <c r="C684" i="2"/>
  <c r="A685" i="2" l="1"/>
  <c r="B684" i="2"/>
  <c r="H684" i="2" s="1"/>
  <c r="L684" i="2" s="1"/>
  <c r="J567" i="2"/>
  <c r="K567" i="2" s="1"/>
  <c r="I567" i="2" s="1"/>
  <c r="G683" i="2"/>
  <c r="E683" i="2"/>
  <c r="F683" i="2" s="1"/>
  <c r="D684" i="2"/>
  <c r="M684" i="2" s="1"/>
  <c r="C685" i="2"/>
  <c r="A686" i="2" l="1"/>
  <c r="B685" i="2"/>
  <c r="H685" i="2" s="1"/>
  <c r="L685" i="2" s="1"/>
  <c r="J568" i="2"/>
  <c r="K568" i="2"/>
  <c r="G684" i="2"/>
  <c r="E684" i="2"/>
  <c r="F684" i="2" s="1"/>
  <c r="D685" i="2"/>
  <c r="M685" i="2" s="1"/>
  <c r="C686" i="2"/>
  <c r="A687" i="2" l="1"/>
  <c r="B686" i="2"/>
  <c r="H686" i="2" s="1"/>
  <c r="L686" i="2" s="1"/>
  <c r="I568" i="2"/>
  <c r="G685" i="2"/>
  <c r="E685" i="2"/>
  <c r="F685" i="2" s="1"/>
  <c r="D686" i="2"/>
  <c r="M686" i="2" s="1"/>
  <c r="C687" i="2"/>
  <c r="A688" i="2" l="1"/>
  <c r="B687" i="2"/>
  <c r="H687" i="2" s="1"/>
  <c r="L687" i="2" s="1"/>
  <c r="J569" i="2"/>
  <c r="K569" i="2" s="1"/>
  <c r="I569" i="2" s="1"/>
  <c r="J570" i="2" s="1"/>
  <c r="K570" i="2" s="1"/>
  <c r="I570" i="2" s="1"/>
  <c r="G686" i="2"/>
  <c r="E686" i="2"/>
  <c r="F686" i="2" s="1"/>
  <c r="D687" i="2"/>
  <c r="M687" i="2" s="1"/>
  <c r="C688" i="2"/>
  <c r="A689" i="2" l="1"/>
  <c r="B688" i="2"/>
  <c r="H688" i="2" s="1"/>
  <c r="L688" i="2" s="1"/>
  <c r="J571" i="2"/>
  <c r="K571" i="2" s="1"/>
  <c r="G687" i="2"/>
  <c r="E687" i="2"/>
  <c r="F687" i="2" s="1"/>
  <c r="D688" i="2"/>
  <c r="M688" i="2" s="1"/>
  <c r="C689" i="2"/>
  <c r="A690" i="2" l="1"/>
  <c r="B689" i="2"/>
  <c r="H689" i="2" s="1"/>
  <c r="L689" i="2" s="1"/>
  <c r="I571" i="2"/>
  <c r="G688" i="2"/>
  <c r="E688" i="2"/>
  <c r="F688" i="2" s="1"/>
  <c r="D689" i="2"/>
  <c r="M689" i="2" s="1"/>
  <c r="C690" i="2"/>
  <c r="A691" i="2" l="1"/>
  <c r="B690" i="2"/>
  <c r="H690" i="2" s="1"/>
  <c r="L690" i="2" s="1"/>
  <c r="J572" i="2"/>
  <c r="K572" i="2" s="1"/>
  <c r="I572" i="2" s="1"/>
  <c r="J573" i="2" s="1"/>
  <c r="K573" i="2" s="1"/>
  <c r="I573" i="2" s="1"/>
  <c r="E689" i="2"/>
  <c r="F689" i="2" s="1"/>
  <c r="G689" i="2"/>
  <c r="D690" i="2"/>
  <c r="M690" i="2" s="1"/>
  <c r="C691" i="2"/>
  <c r="A692" i="2" l="1"/>
  <c r="B691" i="2"/>
  <c r="H691" i="2" s="1"/>
  <c r="L691" i="2" s="1"/>
  <c r="J574" i="2"/>
  <c r="K574" i="2" s="1"/>
  <c r="G690" i="2"/>
  <c r="E690" i="2"/>
  <c r="F690" i="2" s="1"/>
  <c r="D691" i="2"/>
  <c r="M691" i="2" s="1"/>
  <c r="C692" i="2"/>
  <c r="A693" i="2" l="1"/>
  <c r="B692" i="2"/>
  <c r="H692" i="2" s="1"/>
  <c r="L692" i="2" s="1"/>
  <c r="I574" i="2"/>
  <c r="G691" i="2"/>
  <c r="E691" i="2"/>
  <c r="F691" i="2" s="1"/>
  <c r="D692" i="2"/>
  <c r="M692" i="2" s="1"/>
  <c r="C693" i="2"/>
  <c r="A694" i="2" l="1"/>
  <c r="B693" i="2"/>
  <c r="H693" i="2" s="1"/>
  <c r="L693" i="2" s="1"/>
  <c r="J575" i="2"/>
  <c r="K575" i="2" s="1"/>
  <c r="G692" i="2"/>
  <c r="E692" i="2"/>
  <c r="F692" i="2" s="1"/>
  <c r="D693" i="2"/>
  <c r="M693" i="2" s="1"/>
  <c r="C694" i="2"/>
  <c r="A695" i="2" l="1"/>
  <c r="B694" i="2"/>
  <c r="H694" i="2" s="1"/>
  <c r="L694" i="2" s="1"/>
  <c r="I575" i="2"/>
  <c r="G693" i="2"/>
  <c r="E693" i="2"/>
  <c r="F693" i="2" s="1"/>
  <c r="D694" i="2"/>
  <c r="M694" i="2" s="1"/>
  <c r="C695" i="2"/>
  <c r="A696" i="2" l="1"/>
  <c r="B695" i="2"/>
  <c r="H695" i="2" s="1"/>
  <c r="L695" i="2" s="1"/>
  <c r="J576" i="2"/>
  <c r="K576" i="2"/>
  <c r="G694" i="2"/>
  <c r="E694" i="2"/>
  <c r="F694" i="2" s="1"/>
  <c r="D695" i="2"/>
  <c r="M695" i="2" s="1"/>
  <c r="C696" i="2"/>
  <c r="A697" i="2" l="1"/>
  <c r="B696" i="2"/>
  <c r="H696" i="2" s="1"/>
  <c r="L696" i="2" s="1"/>
  <c r="I576" i="2"/>
  <c r="G695" i="2"/>
  <c r="E695" i="2"/>
  <c r="F695" i="2" s="1"/>
  <c r="D696" i="2"/>
  <c r="M696" i="2" s="1"/>
  <c r="C697" i="2"/>
  <c r="A698" i="2" l="1"/>
  <c r="B697" i="2"/>
  <c r="H697" i="2" s="1"/>
  <c r="L697" i="2" s="1"/>
  <c r="J577" i="2"/>
  <c r="K577" i="2"/>
  <c r="G696" i="2"/>
  <c r="E696" i="2"/>
  <c r="F696" i="2" s="1"/>
  <c r="D697" i="2"/>
  <c r="M697" i="2" s="1"/>
  <c r="C698" i="2"/>
  <c r="A699" i="2" l="1"/>
  <c r="B698" i="2"/>
  <c r="H698" i="2" s="1"/>
  <c r="L698" i="2" s="1"/>
  <c r="I577" i="2"/>
  <c r="G697" i="2"/>
  <c r="E697" i="2"/>
  <c r="F697" i="2" s="1"/>
  <c r="D698" i="2"/>
  <c r="M698" i="2" s="1"/>
  <c r="C699" i="2"/>
  <c r="A700" i="2" l="1"/>
  <c r="B699" i="2"/>
  <c r="H699" i="2" s="1"/>
  <c r="L699" i="2" s="1"/>
  <c r="J578" i="2"/>
  <c r="G698" i="2"/>
  <c r="E698" i="2"/>
  <c r="F698" i="2" s="1"/>
  <c r="D699" i="2"/>
  <c r="M699" i="2" s="1"/>
  <c r="C700" i="2"/>
  <c r="A701" i="2" l="1"/>
  <c r="B700" i="2"/>
  <c r="H700" i="2" s="1"/>
  <c r="L700" i="2" s="1"/>
  <c r="K578" i="2"/>
  <c r="I578" i="2" s="1"/>
  <c r="G699" i="2"/>
  <c r="E699" i="2"/>
  <c r="F699" i="2" s="1"/>
  <c r="D700" i="2"/>
  <c r="M700" i="2" s="1"/>
  <c r="C701" i="2"/>
  <c r="A702" i="2" l="1"/>
  <c r="B701" i="2"/>
  <c r="H701" i="2" s="1"/>
  <c r="L701" i="2" s="1"/>
  <c r="J579" i="2"/>
  <c r="K579" i="2" s="1"/>
  <c r="I579" i="2" s="1"/>
  <c r="G700" i="2"/>
  <c r="E700" i="2"/>
  <c r="F700" i="2" s="1"/>
  <c r="D701" i="2"/>
  <c r="M701" i="2" s="1"/>
  <c r="C702" i="2"/>
  <c r="A703" i="2" l="1"/>
  <c r="B702" i="2"/>
  <c r="H702" i="2" s="1"/>
  <c r="L702" i="2" s="1"/>
  <c r="J580" i="2"/>
  <c r="K580" i="2" s="1"/>
  <c r="I580" i="2" s="1"/>
  <c r="G701" i="2"/>
  <c r="E701" i="2"/>
  <c r="F701" i="2" s="1"/>
  <c r="D702" i="2"/>
  <c r="M702" i="2" s="1"/>
  <c r="C703" i="2"/>
  <c r="A704" i="2" l="1"/>
  <c r="B703" i="2"/>
  <c r="H703" i="2" s="1"/>
  <c r="L703" i="2" s="1"/>
  <c r="J581" i="2"/>
  <c r="K581" i="2" s="1"/>
  <c r="G702" i="2"/>
  <c r="E702" i="2"/>
  <c r="F702" i="2" s="1"/>
  <c r="D703" i="2"/>
  <c r="M703" i="2" s="1"/>
  <c r="C704" i="2"/>
  <c r="A705" i="2" l="1"/>
  <c r="B704" i="2"/>
  <c r="H704" i="2" s="1"/>
  <c r="L704" i="2" s="1"/>
  <c r="I581" i="2"/>
  <c r="G703" i="2"/>
  <c r="E703" i="2"/>
  <c r="F703" i="2" s="1"/>
  <c r="D704" i="2"/>
  <c r="M704" i="2" s="1"/>
  <c r="C705" i="2"/>
  <c r="A706" i="2" l="1"/>
  <c r="B705" i="2"/>
  <c r="H705" i="2" s="1"/>
  <c r="L705" i="2" s="1"/>
  <c r="J582" i="2"/>
  <c r="K582" i="2" s="1"/>
  <c r="I582" i="2" s="1"/>
  <c r="G704" i="2"/>
  <c r="E704" i="2"/>
  <c r="F704" i="2" s="1"/>
  <c r="D705" i="2"/>
  <c r="M705" i="2" s="1"/>
  <c r="C706" i="2"/>
  <c r="A707" i="2" l="1"/>
  <c r="B706" i="2"/>
  <c r="H706" i="2" s="1"/>
  <c r="L706" i="2" s="1"/>
  <c r="J583" i="2"/>
  <c r="K583" i="2" s="1"/>
  <c r="I583" i="2" s="1"/>
  <c r="G705" i="2"/>
  <c r="E705" i="2"/>
  <c r="F705" i="2" s="1"/>
  <c r="D706" i="2"/>
  <c r="M706" i="2" s="1"/>
  <c r="C707" i="2"/>
  <c r="A708" i="2" l="1"/>
  <c r="B707" i="2"/>
  <c r="H707" i="2" s="1"/>
  <c r="L707" i="2" s="1"/>
  <c r="J584" i="2"/>
  <c r="K584" i="2" s="1"/>
  <c r="G706" i="2"/>
  <c r="E706" i="2"/>
  <c r="F706" i="2" s="1"/>
  <c r="D707" i="2"/>
  <c r="M707" i="2" s="1"/>
  <c r="C708" i="2"/>
  <c r="A709" i="2" l="1"/>
  <c r="B708" i="2"/>
  <c r="H708" i="2" s="1"/>
  <c r="L708" i="2" s="1"/>
  <c r="I584" i="2"/>
  <c r="G707" i="2"/>
  <c r="E707" i="2"/>
  <c r="F707" i="2" s="1"/>
  <c r="D708" i="2"/>
  <c r="M708" i="2" s="1"/>
  <c r="C709" i="2"/>
  <c r="A710" i="2" l="1"/>
  <c r="B709" i="2"/>
  <c r="H709" i="2" s="1"/>
  <c r="L709" i="2" s="1"/>
  <c r="J585" i="2"/>
  <c r="K585" i="2" s="1"/>
  <c r="I585" i="2" s="1"/>
  <c r="G708" i="2"/>
  <c r="E708" i="2"/>
  <c r="F708" i="2" s="1"/>
  <c r="D709" i="2"/>
  <c r="M709" i="2" s="1"/>
  <c r="C710" i="2"/>
  <c r="A711" i="2" l="1"/>
  <c r="B710" i="2"/>
  <c r="H710" i="2" s="1"/>
  <c r="L710" i="2" s="1"/>
  <c r="J586" i="2"/>
  <c r="K586" i="2" s="1"/>
  <c r="G709" i="2"/>
  <c r="E709" i="2"/>
  <c r="F709" i="2" s="1"/>
  <c r="D710" i="2"/>
  <c r="M710" i="2" s="1"/>
  <c r="C711" i="2"/>
  <c r="A712" i="2" l="1"/>
  <c r="B711" i="2"/>
  <c r="H711" i="2" s="1"/>
  <c r="L711" i="2" s="1"/>
  <c r="I586" i="2"/>
  <c r="G710" i="2"/>
  <c r="E710" i="2"/>
  <c r="F710" i="2" s="1"/>
  <c r="D711" i="2"/>
  <c r="M711" i="2" s="1"/>
  <c r="C712" i="2"/>
  <c r="A713" i="2" l="1"/>
  <c r="B712" i="2"/>
  <c r="H712" i="2" s="1"/>
  <c r="L712" i="2" s="1"/>
  <c r="J587" i="2"/>
  <c r="K587" i="2"/>
  <c r="G711" i="2"/>
  <c r="E711" i="2"/>
  <c r="F711" i="2" s="1"/>
  <c r="D712" i="2"/>
  <c r="M712" i="2" s="1"/>
  <c r="C713" i="2"/>
  <c r="A714" i="2" l="1"/>
  <c r="B713" i="2"/>
  <c r="H713" i="2" s="1"/>
  <c r="L713" i="2" s="1"/>
  <c r="I587" i="2"/>
  <c r="G712" i="2"/>
  <c r="E712" i="2"/>
  <c r="F712" i="2" s="1"/>
  <c r="D713" i="2"/>
  <c r="M713" i="2" s="1"/>
  <c r="C714" i="2"/>
  <c r="A715" i="2" l="1"/>
  <c r="B714" i="2"/>
  <c r="H714" i="2" s="1"/>
  <c r="L714" i="2" s="1"/>
  <c r="J588" i="2"/>
  <c r="K588" i="2" s="1"/>
  <c r="G713" i="2"/>
  <c r="E713" i="2"/>
  <c r="F713" i="2" s="1"/>
  <c r="D714" i="2"/>
  <c r="M714" i="2" s="1"/>
  <c r="C715" i="2"/>
  <c r="A716" i="2" l="1"/>
  <c r="B715" i="2"/>
  <c r="H715" i="2" s="1"/>
  <c r="L715" i="2" s="1"/>
  <c r="I588" i="2"/>
  <c r="G714" i="2"/>
  <c r="E714" i="2"/>
  <c r="F714" i="2" s="1"/>
  <c r="D715" i="2"/>
  <c r="M715" i="2" s="1"/>
  <c r="C716" i="2"/>
  <c r="A717" i="2" l="1"/>
  <c r="B716" i="2"/>
  <c r="H716" i="2" s="1"/>
  <c r="L716" i="2" s="1"/>
  <c r="J589" i="2"/>
  <c r="K589" i="2" s="1"/>
  <c r="I589" i="2" s="1"/>
  <c r="G715" i="2"/>
  <c r="E715" i="2"/>
  <c r="F715" i="2" s="1"/>
  <c r="D716" i="2"/>
  <c r="M716" i="2" s="1"/>
  <c r="C717" i="2"/>
  <c r="A718" i="2" l="1"/>
  <c r="B717" i="2"/>
  <c r="H717" i="2" s="1"/>
  <c r="L717" i="2" s="1"/>
  <c r="J590" i="2"/>
  <c r="K590" i="2" s="1"/>
  <c r="G716" i="2"/>
  <c r="E716" i="2"/>
  <c r="F716" i="2" s="1"/>
  <c r="D717" i="2"/>
  <c r="M717" i="2" s="1"/>
  <c r="C718" i="2"/>
  <c r="A719" i="2" l="1"/>
  <c r="B718" i="2"/>
  <c r="H718" i="2" s="1"/>
  <c r="L718" i="2" s="1"/>
  <c r="I590" i="2"/>
  <c r="G717" i="2"/>
  <c r="E717" i="2"/>
  <c r="F717" i="2" s="1"/>
  <c r="D718" i="2"/>
  <c r="M718" i="2" s="1"/>
  <c r="C719" i="2"/>
  <c r="A720" i="2" l="1"/>
  <c r="B719" i="2"/>
  <c r="H719" i="2" s="1"/>
  <c r="L719" i="2" s="1"/>
  <c r="J591" i="2"/>
  <c r="K591" i="2"/>
  <c r="G718" i="2"/>
  <c r="E718" i="2"/>
  <c r="F718" i="2" s="1"/>
  <c r="D719" i="2"/>
  <c r="M719" i="2" s="1"/>
  <c r="C720" i="2"/>
  <c r="A721" i="2" l="1"/>
  <c r="B720" i="2"/>
  <c r="H720" i="2" s="1"/>
  <c r="L720" i="2" s="1"/>
  <c r="I591" i="2"/>
  <c r="G719" i="2"/>
  <c r="E719" i="2"/>
  <c r="F719" i="2" s="1"/>
  <c r="D720" i="2"/>
  <c r="M720" i="2" s="1"/>
  <c r="C721" i="2"/>
  <c r="A722" i="2" l="1"/>
  <c r="B721" i="2"/>
  <c r="H721" i="2" s="1"/>
  <c r="L721" i="2" s="1"/>
  <c r="J592" i="2"/>
  <c r="K592" i="2"/>
  <c r="G720" i="2"/>
  <c r="E720" i="2"/>
  <c r="F720" i="2" s="1"/>
  <c r="D721" i="2"/>
  <c r="M721" i="2" s="1"/>
  <c r="C722" i="2"/>
  <c r="A723" i="2" l="1"/>
  <c r="B722" i="2"/>
  <c r="H722" i="2" s="1"/>
  <c r="L722" i="2" s="1"/>
  <c r="I592" i="2"/>
  <c r="G721" i="2"/>
  <c r="E721" i="2"/>
  <c r="F721" i="2" s="1"/>
  <c r="D722" i="2"/>
  <c r="M722" i="2" s="1"/>
  <c r="C723" i="2"/>
  <c r="A724" i="2" l="1"/>
  <c r="B723" i="2"/>
  <c r="H723" i="2" s="1"/>
  <c r="L723" i="2" s="1"/>
  <c r="J593" i="2"/>
  <c r="K593" i="2"/>
  <c r="G722" i="2"/>
  <c r="E722" i="2"/>
  <c r="F722" i="2" s="1"/>
  <c r="D723" i="2"/>
  <c r="M723" i="2" s="1"/>
  <c r="C724" i="2"/>
  <c r="A725" i="2" l="1"/>
  <c r="B724" i="2"/>
  <c r="H724" i="2" s="1"/>
  <c r="L724" i="2" s="1"/>
  <c r="I593" i="2"/>
  <c r="G723" i="2"/>
  <c r="E723" i="2"/>
  <c r="F723" i="2" s="1"/>
  <c r="D724" i="2"/>
  <c r="M724" i="2" s="1"/>
  <c r="C725" i="2"/>
  <c r="A726" i="2" l="1"/>
  <c r="B725" i="2"/>
  <c r="H725" i="2" s="1"/>
  <c r="L725" i="2" s="1"/>
  <c r="J594" i="2"/>
  <c r="K594" i="2" s="1"/>
  <c r="I594" i="2" s="1"/>
  <c r="G724" i="2"/>
  <c r="E724" i="2"/>
  <c r="F724" i="2" s="1"/>
  <c r="D725" i="2"/>
  <c r="M725" i="2" s="1"/>
  <c r="C726" i="2"/>
  <c r="A727" i="2" l="1"/>
  <c r="B726" i="2"/>
  <c r="H726" i="2" s="1"/>
  <c r="L726" i="2" s="1"/>
  <c r="J595" i="2"/>
  <c r="K595" i="2" s="1"/>
  <c r="I595" i="2" s="1"/>
  <c r="G725" i="2"/>
  <c r="E725" i="2"/>
  <c r="F725" i="2" s="1"/>
  <c r="D726" i="2"/>
  <c r="M726" i="2" s="1"/>
  <c r="C727" i="2"/>
  <c r="A728" i="2" l="1"/>
  <c r="B727" i="2"/>
  <c r="H727" i="2" s="1"/>
  <c r="L727" i="2" s="1"/>
  <c r="J596" i="2"/>
  <c r="K596" i="2" s="1"/>
  <c r="G726" i="2"/>
  <c r="E726" i="2"/>
  <c r="F726" i="2" s="1"/>
  <c r="D727" i="2"/>
  <c r="M727" i="2" s="1"/>
  <c r="C728" i="2"/>
  <c r="A729" i="2" l="1"/>
  <c r="B728" i="2"/>
  <c r="H728" i="2" s="1"/>
  <c r="L728" i="2" s="1"/>
  <c r="I596" i="2"/>
  <c r="G727" i="2"/>
  <c r="E727" i="2"/>
  <c r="F727" i="2" s="1"/>
  <c r="D728" i="2"/>
  <c r="M728" i="2" s="1"/>
  <c r="C729" i="2"/>
  <c r="A730" i="2" l="1"/>
  <c r="B729" i="2"/>
  <c r="H729" i="2" s="1"/>
  <c r="L729" i="2" s="1"/>
  <c r="J597" i="2"/>
  <c r="K597" i="2" s="1"/>
  <c r="G728" i="2"/>
  <c r="E728" i="2"/>
  <c r="F728" i="2" s="1"/>
  <c r="D729" i="2"/>
  <c r="M729" i="2" s="1"/>
  <c r="C730" i="2"/>
  <c r="A731" i="2" l="1"/>
  <c r="B730" i="2"/>
  <c r="H730" i="2" s="1"/>
  <c r="L730" i="2" s="1"/>
  <c r="I597" i="2"/>
  <c r="G729" i="2"/>
  <c r="E729" i="2"/>
  <c r="F729" i="2" s="1"/>
  <c r="D730" i="2"/>
  <c r="M730" i="2" s="1"/>
  <c r="C731" i="2"/>
  <c r="A732" i="2" l="1"/>
  <c r="B731" i="2"/>
  <c r="H731" i="2" s="1"/>
  <c r="L731" i="2" s="1"/>
  <c r="J598" i="2"/>
  <c r="K598" i="2" s="1"/>
  <c r="I598" i="2" s="1"/>
  <c r="G730" i="2"/>
  <c r="E730" i="2"/>
  <c r="F730" i="2" s="1"/>
  <c r="D731" i="2"/>
  <c r="M731" i="2" s="1"/>
  <c r="C732" i="2"/>
  <c r="A733" i="2" l="1"/>
  <c r="B732" i="2"/>
  <c r="H732" i="2" s="1"/>
  <c r="L732" i="2" s="1"/>
  <c r="J599" i="2"/>
  <c r="K599" i="2" s="1"/>
  <c r="I599" i="2" s="1"/>
  <c r="G731" i="2"/>
  <c r="E731" i="2"/>
  <c r="F731" i="2" s="1"/>
  <c r="D732" i="2"/>
  <c r="M732" i="2" s="1"/>
  <c r="C733" i="2"/>
  <c r="A734" i="2" l="1"/>
  <c r="B733" i="2"/>
  <c r="H733" i="2" s="1"/>
  <c r="L733" i="2" s="1"/>
  <c r="J600" i="2"/>
  <c r="K600" i="2" s="1"/>
  <c r="I600" i="2" s="1"/>
  <c r="G732" i="2"/>
  <c r="E732" i="2"/>
  <c r="F732" i="2" s="1"/>
  <c r="D733" i="2"/>
  <c r="M733" i="2" s="1"/>
  <c r="C734" i="2"/>
  <c r="A735" i="2" l="1"/>
  <c r="B734" i="2"/>
  <c r="H734" i="2" s="1"/>
  <c r="L734" i="2" s="1"/>
  <c r="J601" i="2"/>
  <c r="K601" i="2" s="1"/>
  <c r="I601" i="2" s="1"/>
  <c r="J602" i="2" s="1"/>
  <c r="K602" i="2" s="1"/>
  <c r="I602" i="2" s="1"/>
  <c r="G733" i="2"/>
  <c r="E733" i="2"/>
  <c r="F733" i="2" s="1"/>
  <c r="D734" i="2"/>
  <c r="M734" i="2" s="1"/>
  <c r="C735" i="2"/>
  <c r="A736" i="2" l="1"/>
  <c r="B735" i="2"/>
  <c r="H735" i="2" s="1"/>
  <c r="L735" i="2" s="1"/>
  <c r="J603" i="2"/>
  <c r="K603" i="2"/>
  <c r="G734" i="2"/>
  <c r="E734" i="2"/>
  <c r="F734" i="2" s="1"/>
  <c r="D735" i="2"/>
  <c r="M735" i="2" s="1"/>
  <c r="C736" i="2"/>
  <c r="A737" i="2" l="1"/>
  <c r="B736" i="2"/>
  <c r="H736" i="2" s="1"/>
  <c r="L736" i="2" s="1"/>
  <c r="I603" i="2"/>
  <c r="G735" i="2"/>
  <c r="E735" i="2"/>
  <c r="F735" i="2" s="1"/>
  <c r="D736" i="2"/>
  <c r="M736" i="2" s="1"/>
  <c r="C737" i="2"/>
  <c r="A738" i="2" l="1"/>
  <c r="B737" i="2"/>
  <c r="H737" i="2" s="1"/>
  <c r="L737" i="2" s="1"/>
  <c r="J604" i="2"/>
  <c r="K604" i="2"/>
  <c r="G736" i="2"/>
  <c r="E736" i="2"/>
  <c r="F736" i="2" s="1"/>
  <c r="D737" i="2"/>
  <c r="M737" i="2" s="1"/>
  <c r="C738" i="2"/>
  <c r="A739" i="2" l="1"/>
  <c r="B738" i="2"/>
  <c r="H738" i="2" s="1"/>
  <c r="L738" i="2" s="1"/>
  <c r="I604" i="2"/>
  <c r="G737" i="2"/>
  <c r="E737" i="2"/>
  <c r="F737" i="2" s="1"/>
  <c r="D738" i="2"/>
  <c r="M738" i="2" s="1"/>
  <c r="C739" i="2"/>
  <c r="A740" i="2" l="1"/>
  <c r="B739" i="2"/>
  <c r="H739" i="2" s="1"/>
  <c r="L739" i="2" s="1"/>
  <c r="J605" i="2"/>
  <c r="G738" i="2"/>
  <c r="E738" i="2"/>
  <c r="F738" i="2" s="1"/>
  <c r="D739" i="2"/>
  <c r="M739" i="2" s="1"/>
  <c r="C740" i="2"/>
  <c r="A741" i="2" l="1"/>
  <c r="B740" i="2"/>
  <c r="H740" i="2" s="1"/>
  <c r="L740" i="2" s="1"/>
  <c r="K605" i="2"/>
  <c r="I605" i="2"/>
  <c r="J606" i="2" s="1"/>
  <c r="K606" i="2" s="1"/>
  <c r="I606" i="2" s="1"/>
  <c r="G739" i="2"/>
  <c r="E739" i="2"/>
  <c r="F739" i="2" s="1"/>
  <c r="D740" i="2"/>
  <c r="M740" i="2" s="1"/>
  <c r="C741" i="2"/>
  <c r="A742" i="2" l="1"/>
  <c r="B741" i="2"/>
  <c r="H741" i="2" s="1"/>
  <c r="L741" i="2" s="1"/>
  <c r="J607" i="2"/>
  <c r="K607" i="2" s="1"/>
  <c r="I607" i="2" s="1"/>
  <c r="J608" i="2" s="1"/>
  <c r="K608" i="2" s="1"/>
  <c r="I608" i="2" s="1"/>
  <c r="J609" i="2" s="1"/>
  <c r="K609" i="2" s="1"/>
  <c r="I609" i="2" s="1"/>
  <c r="G740" i="2"/>
  <c r="E740" i="2"/>
  <c r="F740" i="2" s="1"/>
  <c r="D741" i="2"/>
  <c r="M741" i="2" s="1"/>
  <c r="C742" i="2"/>
  <c r="A743" i="2" l="1"/>
  <c r="B742" i="2"/>
  <c r="H742" i="2" s="1"/>
  <c r="L742" i="2" s="1"/>
  <c r="J610" i="2"/>
  <c r="K610" i="2" s="1"/>
  <c r="I610" i="2" s="1"/>
  <c r="G741" i="2"/>
  <c r="E741" i="2"/>
  <c r="F741" i="2" s="1"/>
  <c r="D742" i="2"/>
  <c r="M742" i="2" s="1"/>
  <c r="C743" i="2"/>
  <c r="A744" i="2" l="1"/>
  <c r="B743" i="2"/>
  <c r="H743" i="2" s="1"/>
  <c r="L743" i="2" s="1"/>
  <c r="J611" i="2"/>
  <c r="K611" i="2" s="1"/>
  <c r="I611" i="2" s="1"/>
  <c r="G742" i="2"/>
  <c r="E742" i="2"/>
  <c r="F742" i="2" s="1"/>
  <c r="D743" i="2"/>
  <c r="M743" i="2" s="1"/>
  <c r="C744" i="2"/>
  <c r="A745" i="2" l="1"/>
  <c r="B744" i="2"/>
  <c r="H744" i="2" s="1"/>
  <c r="L744" i="2" s="1"/>
  <c r="J612" i="2"/>
  <c r="K612" i="2" s="1"/>
  <c r="I612" i="2" s="1"/>
  <c r="G743" i="2"/>
  <c r="E743" i="2"/>
  <c r="F743" i="2" s="1"/>
  <c r="D744" i="2"/>
  <c r="M744" i="2" s="1"/>
  <c r="C745" i="2"/>
  <c r="A746" i="2" l="1"/>
  <c r="B745" i="2"/>
  <c r="H745" i="2" s="1"/>
  <c r="L745" i="2" s="1"/>
  <c r="J613" i="2"/>
  <c r="K613" i="2" s="1"/>
  <c r="I613" i="2" s="1"/>
  <c r="G744" i="2"/>
  <c r="E744" i="2"/>
  <c r="F744" i="2" s="1"/>
  <c r="D745" i="2"/>
  <c r="M745" i="2" s="1"/>
  <c r="C746" i="2"/>
  <c r="A747" i="2" l="1"/>
  <c r="B746" i="2"/>
  <c r="H746" i="2" s="1"/>
  <c r="L746" i="2" s="1"/>
  <c r="J614" i="2"/>
  <c r="K614" i="2" s="1"/>
  <c r="I614" i="2" s="1"/>
  <c r="G745" i="2"/>
  <c r="E745" i="2"/>
  <c r="F745" i="2" s="1"/>
  <c r="D746" i="2"/>
  <c r="M746" i="2" s="1"/>
  <c r="C747" i="2"/>
  <c r="A748" i="2" l="1"/>
  <c r="B747" i="2"/>
  <c r="H747" i="2" s="1"/>
  <c r="L747" i="2" s="1"/>
  <c r="J615" i="2"/>
  <c r="K615" i="2" s="1"/>
  <c r="I615" i="2" s="1"/>
  <c r="J616" i="2" s="1"/>
  <c r="K616" i="2" s="1"/>
  <c r="I616" i="2" s="1"/>
  <c r="G746" i="2"/>
  <c r="E746" i="2"/>
  <c r="F746" i="2" s="1"/>
  <c r="D747" i="2"/>
  <c r="M747" i="2" s="1"/>
  <c r="C748" i="2"/>
  <c r="A749" i="2" l="1"/>
  <c r="B748" i="2"/>
  <c r="H748" i="2" s="1"/>
  <c r="L748" i="2" s="1"/>
  <c r="J617" i="2"/>
  <c r="K617" i="2" s="1"/>
  <c r="I617" i="2" s="1"/>
  <c r="G747" i="2"/>
  <c r="E747" i="2"/>
  <c r="F747" i="2" s="1"/>
  <c r="D748" i="2"/>
  <c r="M748" i="2" s="1"/>
  <c r="C749" i="2"/>
  <c r="A750" i="2" l="1"/>
  <c r="B749" i="2"/>
  <c r="H749" i="2" s="1"/>
  <c r="L749" i="2" s="1"/>
  <c r="J618" i="2"/>
  <c r="K618" i="2" s="1"/>
  <c r="I618" i="2" s="1"/>
  <c r="G748" i="2"/>
  <c r="E748" i="2"/>
  <c r="F748" i="2" s="1"/>
  <c r="D749" i="2"/>
  <c r="M749" i="2" s="1"/>
  <c r="C750" i="2"/>
  <c r="A751" i="2" l="1"/>
  <c r="B750" i="2"/>
  <c r="H750" i="2" s="1"/>
  <c r="L750" i="2" s="1"/>
  <c r="J619" i="2"/>
  <c r="K619" i="2"/>
  <c r="G749" i="2"/>
  <c r="E749" i="2"/>
  <c r="F749" i="2" s="1"/>
  <c r="D750" i="2"/>
  <c r="M750" i="2" s="1"/>
  <c r="C751" i="2"/>
  <c r="A752" i="2" l="1"/>
  <c r="B751" i="2"/>
  <c r="H751" i="2" s="1"/>
  <c r="L751" i="2" s="1"/>
  <c r="I619" i="2"/>
  <c r="G750" i="2"/>
  <c r="E750" i="2"/>
  <c r="F750" i="2" s="1"/>
  <c r="D751" i="2"/>
  <c r="M751" i="2" s="1"/>
  <c r="C752" i="2"/>
  <c r="A753" i="2" l="1"/>
  <c r="B752" i="2"/>
  <c r="H752" i="2" s="1"/>
  <c r="L752" i="2" s="1"/>
  <c r="J620" i="2"/>
  <c r="K620" i="2" s="1"/>
  <c r="I620" i="2" s="1"/>
  <c r="G751" i="2"/>
  <c r="E751" i="2"/>
  <c r="F751" i="2" s="1"/>
  <c r="D752" i="2"/>
  <c r="M752" i="2" s="1"/>
  <c r="C753" i="2"/>
  <c r="A754" i="2" l="1"/>
  <c r="B753" i="2"/>
  <c r="H753" i="2" s="1"/>
  <c r="L753" i="2" s="1"/>
  <c r="J621" i="2"/>
  <c r="K621" i="2" s="1"/>
  <c r="I621" i="2" s="1"/>
  <c r="G752" i="2"/>
  <c r="E752" i="2"/>
  <c r="F752" i="2" s="1"/>
  <c r="D753" i="2"/>
  <c r="M753" i="2" s="1"/>
  <c r="C754" i="2"/>
  <c r="A755" i="2" l="1"/>
  <c r="B754" i="2"/>
  <c r="H754" i="2" s="1"/>
  <c r="L754" i="2" s="1"/>
  <c r="J622" i="2"/>
  <c r="K622" i="2" s="1"/>
  <c r="I622" i="2" s="1"/>
  <c r="G753" i="2"/>
  <c r="E753" i="2"/>
  <c r="F753" i="2" s="1"/>
  <c r="D754" i="2"/>
  <c r="M754" i="2" s="1"/>
  <c r="C755" i="2"/>
  <c r="A756" i="2" l="1"/>
  <c r="B755" i="2"/>
  <c r="H755" i="2" s="1"/>
  <c r="L755" i="2" s="1"/>
  <c r="J623" i="2"/>
  <c r="K623" i="2" s="1"/>
  <c r="G754" i="2"/>
  <c r="E754" i="2"/>
  <c r="F754" i="2" s="1"/>
  <c r="D755" i="2"/>
  <c r="M755" i="2" s="1"/>
  <c r="C756" i="2"/>
  <c r="A757" i="2" l="1"/>
  <c r="B756" i="2"/>
  <c r="H756" i="2" s="1"/>
  <c r="L756" i="2" s="1"/>
  <c r="I623" i="2"/>
  <c r="G755" i="2"/>
  <c r="E755" i="2"/>
  <c r="F755" i="2" s="1"/>
  <c r="D756" i="2"/>
  <c r="M756" i="2" s="1"/>
  <c r="C757" i="2"/>
  <c r="A758" i="2" l="1"/>
  <c r="B757" i="2"/>
  <c r="H757" i="2" s="1"/>
  <c r="L757" i="2" s="1"/>
  <c r="J624" i="2"/>
  <c r="K624" i="2" s="1"/>
  <c r="G756" i="2"/>
  <c r="E756" i="2"/>
  <c r="F756" i="2" s="1"/>
  <c r="D757" i="2"/>
  <c r="M757" i="2" s="1"/>
  <c r="C758" i="2"/>
  <c r="A759" i="2" l="1"/>
  <c r="B758" i="2"/>
  <c r="H758" i="2" s="1"/>
  <c r="L758" i="2" s="1"/>
  <c r="I624" i="2"/>
  <c r="G757" i="2"/>
  <c r="E757" i="2"/>
  <c r="F757" i="2" s="1"/>
  <c r="D758" i="2"/>
  <c r="M758" i="2" s="1"/>
  <c r="C759" i="2"/>
  <c r="A760" i="2" l="1"/>
  <c r="B759" i="2"/>
  <c r="H759" i="2" s="1"/>
  <c r="L759" i="2" s="1"/>
  <c r="J625" i="2"/>
  <c r="K625" i="2"/>
  <c r="G758" i="2"/>
  <c r="E758" i="2"/>
  <c r="F758" i="2" s="1"/>
  <c r="D759" i="2"/>
  <c r="M759" i="2" s="1"/>
  <c r="C760" i="2"/>
  <c r="A761" i="2" l="1"/>
  <c r="B760" i="2"/>
  <c r="H760" i="2" s="1"/>
  <c r="L760" i="2" s="1"/>
  <c r="I625" i="2"/>
  <c r="G759" i="2"/>
  <c r="E759" i="2"/>
  <c r="F759" i="2" s="1"/>
  <c r="D760" i="2"/>
  <c r="M760" i="2" s="1"/>
  <c r="C761" i="2"/>
  <c r="A762" i="2" l="1"/>
  <c r="B761" i="2"/>
  <c r="H761" i="2" s="1"/>
  <c r="L761" i="2" s="1"/>
  <c r="J626" i="2"/>
  <c r="K626" i="2" s="1"/>
  <c r="G760" i="2"/>
  <c r="E760" i="2"/>
  <c r="F760" i="2" s="1"/>
  <c r="D761" i="2"/>
  <c r="M761" i="2" s="1"/>
  <c r="C762" i="2"/>
  <c r="A763" i="2" l="1"/>
  <c r="B762" i="2"/>
  <c r="H762" i="2" s="1"/>
  <c r="L762" i="2" s="1"/>
  <c r="I626" i="2"/>
  <c r="E761" i="2"/>
  <c r="F761" i="2" s="1"/>
  <c r="G761" i="2"/>
  <c r="D762" i="2"/>
  <c r="M762" i="2" s="1"/>
  <c r="C763" i="2"/>
  <c r="A764" i="2" l="1"/>
  <c r="B763" i="2"/>
  <c r="H763" i="2" s="1"/>
  <c r="L763" i="2" s="1"/>
  <c r="J627" i="2"/>
  <c r="K627" i="2" s="1"/>
  <c r="I627" i="2" s="1"/>
  <c r="J628" i="2" s="1"/>
  <c r="K628" i="2" s="1"/>
  <c r="I628" i="2" s="1"/>
  <c r="E762" i="2"/>
  <c r="F762" i="2" s="1"/>
  <c r="G762" i="2"/>
  <c r="D763" i="2"/>
  <c r="M763" i="2" s="1"/>
  <c r="C764" i="2"/>
  <c r="A765" i="2" l="1"/>
  <c r="B764" i="2"/>
  <c r="H764" i="2" s="1"/>
  <c r="L764" i="2" s="1"/>
  <c r="J629" i="2"/>
  <c r="K629" i="2" s="1"/>
  <c r="I629" i="2" s="1"/>
  <c r="G763" i="2"/>
  <c r="E763" i="2"/>
  <c r="F763" i="2" s="1"/>
  <c r="D764" i="2"/>
  <c r="M764" i="2" s="1"/>
  <c r="C765" i="2"/>
  <c r="A766" i="2" l="1"/>
  <c r="B765" i="2"/>
  <c r="H765" i="2" s="1"/>
  <c r="L765" i="2" s="1"/>
  <c r="J630" i="2"/>
  <c r="K630" i="2" s="1"/>
  <c r="I630" i="2" s="1"/>
  <c r="G764" i="2"/>
  <c r="E764" i="2"/>
  <c r="F764" i="2" s="1"/>
  <c r="D765" i="2"/>
  <c r="M765" i="2" s="1"/>
  <c r="C766" i="2"/>
  <c r="A767" i="2" l="1"/>
  <c r="B766" i="2"/>
  <c r="H766" i="2" s="1"/>
  <c r="L766" i="2" s="1"/>
  <c r="J631" i="2"/>
  <c r="K631" i="2" s="1"/>
  <c r="I631" i="2" s="1"/>
  <c r="G765" i="2"/>
  <c r="E765" i="2"/>
  <c r="F765" i="2" s="1"/>
  <c r="D766" i="2"/>
  <c r="M766" i="2" s="1"/>
  <c r="C767" i="2"/>
  <c r="A768" i="2" l="1"/>
  <c r="B767" i="2"/>
  <c r="H767" i="2" s="1"/>
  <c r="L767" i="2" s="1"/>
  <c r="J632" i="2"/>
  <c r="K632" i="2" s="1"/>
  <c r="G766" i="2"/>
  <c r="E766" i="2"/>
  <c r="F766" i="2" s="1"/>
  <c r="D767" i="2"/>
  <c r="M767" i="2" s="1"/>
  <c r="C768" i="2"/>
  <c r="A769" i="2" l="1"/>
  <c r="B768" i="2"/>
  <c r="H768" i="2" s="1"/>
  <c r="L768" i="2" s="1"/>
  <c r="I632" i="2"/>
  <c r="G767" i="2"/>
  <c r="E767" i="2"/>
  <c r="F767" i="2" s="1"/>
  <c r="D768" i="2"/>
  <c r="M768" i="2" s="1"/>
  <c r="C769" i="2"/>
  <c r="A770" i="2" l="1"/>
  <c r="B769" i="2"/>
  <c r="H769" i="2" s="1"/>
  <c r="L769" i="2" s="1"/>
  <c r="J633" i="2"/>
  <c r="K633" i="2"/>
  <c r="G768" i="2"/>
  <c r="E768" i="2"/>
  <c r="F768" i="2" s="1"/>
  <c r="D769" i="2"/>
  <c r="M769" i="2" s="1"/>
  <c r="C770" i="2"/>
  <c r="A771" i="2" l="1"/>
  <c r="B770" i="2"/>
  <c r="H770" i="2" s="1"/>
  <c r="L770" i="2" s="1"/>
  <c r="I633" i="2"/>
  <c r="G769" i="2"/>
  <c r="E769" i="2"/>
  <c r="F769" i="2" s="1"/>
  <c r="D770" i="2"/>
  <c r="M770" i="2" s="1"/>
  <c r="C771" i="2"/>
  <c r="A772" i="2" l="1"/>
  <c r="B771" i="2"/>
  <c r="H771" i="2" s="1"/>
  <c r="L771" i="2" s="1"/>
  <c r="J634" i="2"/>
  <c r="K634" i="2"/>
  <c r="G770" i="2"/>
  <c r="E770" i="2"/>
  <c r="F770" i="2" s="1"/>
  <c r="D771" i="2"/>
  <c r="M771" i="2" s="1"/>
  <c r="C772" i="2"/>
  <c r="A773" i="2" l="1"/>
  <c r="B772" i="2"/>
  <c r="H772" i="2" s="1"/>
  <c r="L772" i="2" s="1"/>
  <c r="I634" i="2"/>
  <c r="G771" i="2"/>
  <c r="E771" i="2"/>
  <c r="F771" i="2" s="1"/>
  <c r="D772" i="2"/>
  <c r="M772" i="2" s="1"/>
  <c r="C773" i="2"/>
  <c r="A774" i="2" l="1"/>
  <c r="B773" i="2"/>
  <c r="H773" i="2" s="1"/>
  <c r="L773" i="2" s="1"/>
  <c r="J635" i="2"/>
  <c r="K635" i="2" s="1"/>
  <c r="I635" i="2" s="1"/>
  <c r="G772" i="2"/>
  <c r="E772" i="2"/>
  <c r="F772" i="2" s="1"/>
  <c r="D773" i="2"/>
  <c r="M773" i="2" s="1"/>
  <c r="C774" i="2"/>
  <c r="A775" i="2" l="1"/>
  <c r="B774" i="2"/>
  <c r="H774" i="2" s="1"/>
  <c r="L774" i="2" s="1"/>
  <c r="J636" i="2"/>
  <c r="K636" i="2" s="1"/>
  <c r="I636" i="2" s="1"/>
  <c r="G773" i="2"/>
  <c r="E773" i="2"/>
  <c r="F773" i="2" s="1"/>
  <c r="D774" i="2"/>
  <c r="M774" i="2" s="1"/>
  <c r="C775" i="2"/>
  <c r="A776" i="2" l="1"/>
  <c r="B775" i="2"/>
  <c r="H775" i="2" s="1"/>
  <c r="L775" i="2" s="1"/>
  <c r="J637" i="2"/>
  <c r="K637" i="2" s="1"/>
  <c r="I637" i="2" s="1"/>
  <c r="G774" i="2"/>
  <c r="E774" i="2"/>
  <c r="F774" i="2" s="1"/>
  <c r="D775" i="2"/>
  <c r="M775" i="2" s="1"/>
  <c r="C776" i="2"/>
  <c r="A777" i="2" l="1"/>
  <c r="B776" i="2"/>
  <c r="H776" i="2" s="1"/>
  <c r="L776" i="2" s="1"/>
  <c r="J638" i="2"/>
  <c r="K638" i="2" s="1"/>
  <c r="I638" i="2" s="1"/>
  <c r="J639" i="2" s="1"/>
  <c r="K639" i="2" s="1"/>
  <c r="I639" i="2" s="1"/>
  <c r="G775" i="2"/>
  <c r="E775" i="2"/>
  <c r="F775" i="2" s="1"/>
  <c r="D776" i="2"/>
  <c r="M776" i="2" s="1"/>
  <c r="C777" i="2"/>
  <c r="A778" i="2" l="1"/>
  <c r="B777" i="2"/>
  <c r="H777" i="2" s="1"/>
  <c r="L777" i="2" s="1"/>
  <c r="J640" i="2"/>
  <c r="K640" i="2" s="1"/>
  <c r="I640" i="2" s="1"/>
  <c r="G776" i="2"/>
  <c r="E776" i="2"/>
  <c r="F776" i="2" s="1"/>
  <c r="D777" i="2"/>
  <c r="M777" i="2" s="1"/>
  <c r="C778" i="2"/>
  <c r="A779" i="2" l="1"/>
  <c r="B778" i="2"/>
  <c r="H778" i="2" s="1"/>
  <c r="L778" i="2" s="1"/>
  <c r="J641" i="2"/>
  <c r="K641" i="2" s="1"/>
  <c r="I641" i="2" s="1"/>
  <c r="J642" i="2" s="1"/>
  <c r="K642" i="2" s="1"/>
  <c r="I642" i="2" s="1"/>
  <c r="G777" i="2"/>
  <c r="E777" i="2"/>
  <c r="F777" i="2" s="1"/>
  <c r="D778" i="2"/>
  <c r="M778" i="2" s="1"/>
  <c r="C779" i="2"/>
  <c r="A780" i="2" l="1"/>
  <c r="B779" i="2"/>
  <c r="H779" i="2" s="1"/>
  <c r="L779" i="2" s="1"/>
  <c r="J643" i="2"/>
  <c r="G778" i="2"/>
  <c r="E778" i="2"/>
  <c r="F778" i="2" s="1"/>
  <c r="D779" i="2"/>
  <c r="M779" i="2" s="1"/>
  <c r="C780" i="2"/>
  <c r="A781" i="2" l="1"/>
  <c r="B780" i="2"/>
  <c r="H780" i="2" s="1"/>
  <c r="L780" i="2" s="1"/>
  <c r="K643" i="2"/>
  <c r="I643" i="2" s="1"/>
  <c r="G779" i="2"/>
  <c r="E779" i="2"/>
  <c r="F779" i="2" s="1"/>
  <c r="D780" i="2"/>
  <c r="M780" i="2" s="1"/>
  <c r="C781" i="2"/>
  <c r="A782" i="2" l="1"/>
  <c r="B781" i="2"/>
  <c r="H781" i="2" s="1"/>
  <c r="L781" i="2" s="1"/>
  <c r="J644" i="2"/>
  <c r="K644" i="2"/>
  <c r="I644" i="2" s="1"/>
  <c r="J645" i="2" s="1"/>
  <c r="K645" i="2" s="1"/>
  <c r="I645" i="2" s="1"/>
  <c r="G780" i="2"/>
  <c r="E780" i="2"/>
  <c r="F780" i="2" s="1"/>
  <c r="D781" i="2"/>
  <c r="M781" i="2" s="1"/>
  <c r="C782" i="2"/>
  <c r="A783" i="2" l="1"/>
  <c r="B782" i="2"/>
  <c r="H782" i="2" s="1"/>
  <c r="L782" i="2" s="1"/>
  <c r="J646" i="2"/>
  <c r="K646" i="2"/>
  <c r="G781" i="2"/>
  <c r="E781" i="2"/>
  <c r="F781" i="2" s="1"/>
  <c r="D782" i="2"/>
  <c r="M782" i="2" s="1"/>
  <c r="C783" i="2"/>
  <c r="A784" i="2" l="1"/>
  <c r="B783" i="2"/>
  <c r="H783" i="2" s="1"/>
  <c r="L783" i="2" s="1"/>
  <c r="I646" i="2"/>
  <c r="G782" i="2"/>
  <c r="E782" i="2"/>
  <c r="F782" i="2" s="1"/>
  <c r="D783" i="2"/>
  <c r="M783" i="2" s="1"/>
  <c r="C784" i="2"/>
  <c r="A785" i="2" l="1"/>
  <c r="B784" i="2"/>
  <c r="H784" i="2" s="1"/>
  <c r="L784" i="2" s="1"/>
  <c r="J647" i="2"/>
  <c r="K647" i="2" s="1"/>
  <c r="G783" i="2"/>
  <c r="E783" i="2"/>
  <c r="F783" i="2" s="1"/>
  <c r="D784" i="2"/>
  <c r="M784" i="2" s="1"/>
  <c r="C785" i="2"/>
  <c r="A786" i="2" l="1"/>
  <c r="B785" i="2"/>
  <c r="H785" i="2" s="1"/>
  <c r="L785" i="2" s="1"/>
  <c r="I647" i="2"/>
  <c r="G784" i="2"/>
  <c r="E784" i="2"/>
  <c r="F784" i="2" s="1"/>
  <c r="D785" i="2"/>
  <c r="M785" i="2" s="1"/>
  <c r="C786" i="2"/>
  <c r="A787" i="2" l="1"/>
  <c r="B786" i="2"/>
  <c r="H786" i="2" s="1"/>
  <c r="L786" i="2" s="1"/>
  <c r="J648" i="2"/>
  <c r="K648" i="2" s="1"/>
  <c r="G785" i="2"/>
  <c r="E785" i="2"/>
  <c r="F785" i="2" s="1"/>
  <c r="D786" i="2"/>
  <c r="M786" i="2" s="1"/>
  <c r="C787" i="2"/>
  <c r="A788" i="2" l="1"/>
  <c r="B787" i="2"/>
  <c r="H787" i="2" s="1"/>
  <c r="L787" i="2" s="1"/>
  <c r="I648" i="2"/>
  <c r="G786" i="2"/>
  <c r="E786" i="2"/>
  <c r="F786" i="2" s="1"/>
  <c r="D787" i="2"/>
  <c r="M787" i="2" s="1"/>
  <c r="C788" i="2"/>
  <c r="A789" i="2" l="1"/>
  <c r="B788" i="2"/>
  <c r="H788" i="2" s="1"/>
  <c r="L788" i="2" s="1"/>
  <c r="J649" i="2"/>
  <c r="K649" i="2"/>
  <c r="G787" i="2"/>
  <c r="E787" i="2"/>
  <c r="F787" i="2" s="1"/>
  <c r="D788" i="2"/>
  <c r="M788" i="2" s="1"/>
  <c r="C789" i="2"/>
  <c r="A790" i="2" l="1"/>
  <c r="B789" i="2"/>
  <c r="H789" i="2" s="1"/>
  <c r="L789" i="2" s="1"/>
  <c r="I649" i="2"/>
  <c r="J650" i="2" s="1"/>
  <c r="K650" i="2" s="1"/>
  <c r="I650" i="2" s="1"/>
  <c r="G788" i="2"/>
  <c r="E788" i="2"/>
  <c r="F788" i="2" s="1"/>
  <c r="D789" i="2"/>
  <c r="M789" i="2" s="1"/>
  <c r="C790" i="2"/>
  <c r="A791" i="2" l="1"/>
  <c r="B790" i="2"/>
  <c r="H790" i="2" s="1"/>
  <c r="L790" i="2" s="1"/>
  <c r="J651" i="2"/>
  <c r="K651" i="2" s="1"/>
  <c r="I651" i="2" s="1"/>
  <c r="G789" i="2"/>
  <c r="E789" i="2"/>
  <c r="F789" i="2" s="1"/>
  <c r="D790" i="2"/>
  <c r="M790" i="2" s="1"/>
  <c r="C791" i="2"/>
  <c r="A792" i="2" l="1"/>
  <c r="B791" i="2"/>
  <c r="H791" i="2" s="1"/>
  <c r="L791" i="2" s="1"/>
  <c r="J652" i="2"/>
  <c r="K652" i="2"/>
  <c r="G790" i="2"/>
  <c r="E790" i="2"/>
  <c r="F790" i="2" s="1"/>
  <c r="D791" i="2"/>
  <c r="M791" i="2" s="1"/>
  <c r="C792" i="2"/>
  <c r="A793" i="2" l="1"/>
  <c r="B792" i="2"/>
  <c r="H792" i="2" s="1"/>
  <c r="L792" i="2" s="1"/>
  <c r="I652" i="2"/>
  <c r="G791" i="2"/>
  <c r="E791" i="2"/>
  <c r="F791" i="2" s="1"/>
  <c r="D792" i="2"/>
  <c r="M792" i="2" s="1"/>
  <c r="C793" i="2"/>
  <c r="A794" i="2" l="1"/>
  <c r="B793" i="2"/>
  <c r="H793" i="2" s="1"/>
  <c r="L793" i="2" s="1"/>
  <c r="J653" i="2"/>
  <c r="K653" i="2" s="1"/>
  <c r="I653" i="2" s="1"/>
  <c r="J654" i="2" s="1"/>
  <c r="K654" i="2" s="1"/>
  <c r="I654" i="2" s="1"/>
  <c r="G792" i="2"/>
  <c r="E792" i="2"/>
  <c r="F792" i="2" s="1"/>
  <c r="D793" i="2"/>
  <c r="M793" i="2" s="1"/>
  <c r="C794" i="2"/>
  <c r="A795" i="2" l="1"/>
  <c r="B794" i="2"/>
  <c r="H794" i="2" s="1"/>
  <c r="L794" i="2" s="1"/>
  <c r="J655" i="2"/>
  <c r="K655" i="2" s="1"/>
  <c r="I655" i="2" s="1"/>
  <c r="J656" i="2" s="1"/>
  <c r="K656" i="2" s="1"/>
  <c r="I656" i="2" s="1"/>
  <c r="G793" i="2"/>
  <c r="E793" i="2"/>
  <c r="F793" i="2" s="1"/>
  <c r="D794" i="2"/>
  <c r="M794" i="2" s="1"/>
  <c r="C795" i="2"/>
  <c r="A796" i="2" l="1"/>
  <c r="B795" i="2"/>
  <c r="H795" i="2" s="1"/>
  <c r="L795" i="2" s="1"/>
  <c r="J657" i="2"/>
  <c r="K657" i="2"/>
  <c r="G794" i="2"/>
  <c r="E794" i="2"/>
  <c r="F794" i="2" s="1"/>
  <c r="D795" i="2"/>
  <c r="M795" i="2" s="1"/>
  <c r="C796" i="2"/>
  <c r="A797" i="2" l="1"/>
  <c r="B796" i="2"/>
  <c r="H796" i="2" s="1"/>
  <c r="L796" i="2" s="1"/>
  <c r="I657" i="2"/>
  <c r="G795" i="2"/>
  <c r="E795" i="2"/>
  <c r="F795" i="2" s="1"/>
  <c r="D796" i="2"/>
  <c r="M796" i="2" s="1"/>
  <c r="C797" i="2"/>
  <c r="A798" i="2" l="1"/>
  <c r="B797" i="2"/>
  <c r="H797" i="2" s="1"/>
  <c r="L797" i="2" s="1"/>
  <c r="J658" i="2"/>
  <c r="K658" i="2"/>
  <c r="G796" i="2"/>
  <c r="E796" i="2"/>
  <c r="F796" i="2" s="1"/>
  <c r="D797" i="2"/>
  <c r="M797" i="2" s="1"/>
  <c r="C798" i="2"/>
  <c r="A799" i="2" l="1"/>
  <c r="B798" i="2"/>
  <c r="H798" i="2" s="1"/>
  <c r="L798" i="2" s="1"/>
  <c r="I658" i="2"/>
  <c r="G797" i="2"/>
  <c r="E797" i="2"/>
  <c r="F797" i="2" s="1"/>
  <c r="D798" i="2"/>
  <c r="M798" i="2" s="1"/>
  <c r="C799" i="2"/>
  <c r="A800" i="2" l="1"/>
  <c r="B799" i="2"/>
  <c r="H799" i="2" s="1"/>
  <c r="L799" i="2" s="1"/>
  <c r="J659" i="2"/>
  <c r="K659" i="2" s="1"/>
  <c r="G798" i="2"/>
  <c r="E798" i="2"/>
  <c r="F798" i="2" s="1"/>
  <c r="D799" i="2"/>
  <c r="M799" i="2" s="1"/>
  <c r="C800" i="2"/>
  <c r="A801" i="2" l="1"/>
  <c r="B800" i="2"/>
  <c r="H800" i="2" s="1"/>
  <c r="L800" i="2" s="1"/>
  <c r="I659" i="2"/>
  <c r="G799" i="2"/>
  <c r="E799" i="2"/>
  <c r="F799" i="2" s="1"/>
  <c r="D800" i="2"/>
  <c r="M800" i="2" s="1"/>
  <c r="C801" i="2"/>
  <c r="A802" i="2" l="1"/>
  <c r="B801" i="2"/>
  <c r="H801" i="2" s="1"/>
  <c r="L801" i="2" s="1"/>
  <c r="J660" i="2"/>
  <c r="K660" i="2" s="1"/>
  <c r="I660" i="2" s="1"/>
  <c r="G800" i="2"/>
  <c r="E800" i="2"/>
  <c r="F800" i="2" s="1"/>
  <c r="D801" i="2"/>
  <c r="M801" i="2" s="1"/>
  <c r="C802" i="2"/>
  <c r="A803" i="2" l="1"/>
  <c r="B802" i="2"/>
  <c r="H802" i="2" s="1"/>
  <c r="L802" i="2" s="1"/>
  <c r="J661" i="2"/>
  <c r="K661" i="2" s="1"/>
  <c r="I661" i="2" s="1"/>
  <c r="G801" i="2"/>
  <c r="E801" i="2"/>
  <c r="F801" i="2" s="1"/>
  <c r="D802" i="2"/>
  <c r="M802" i="2" s="1"/>
  <c r="C803" i="2"/>
  <c r="A804" i="2" l="1"/>
  <c r="B803" i="2"/>
  <c r="H803" i="2" s="1"/>
  <c r="L803" i="2" s="1"/>
  <c r="J662" i="2"/>
  <c r="K662" i="2" s="1"/>
  <c r="I662" i="2" s="1"/>
  <c r="G802" i="2"/>
  <c r="E802" i="2"/>
  <c r="F802" i="2" s="1"/>
  <c r="D803" i="2"/>
  <c r="M803" i="2" s="1"/>
  <c r="C804" i="2"/>
  <c r="A805" i="2" l="1"/>
  <c r="B804" i="2"/>
  <c r="H804" i="2" s="1"/>
  <c r="L804" i="2" s="1"/>
  <c r="J663" i="2"/>
  <c r="K663" i="2" s="1"/>
  <c r="I663" i="2" s="1"/>
  <c r="G803" i="2"/>
  <c r="E803" i="2"/>
  <c r="F803" i="2" s="1"/>
  <c r="D804" i="2"/>
  <c r="M804" i="2" s="1"/>
  <c r="C805" i="2"/>
  <c r="A806" i="2" l="1"/>
  <c r="B805" i="2"/>
  <c r="H805" i="2" s="1"/>
  <c r="L805" i="2" s="1"/>
  <c r="J664" i="2"/>
  <c r="K664" i="2" s="1"/>
  <c r="I664" i="2" s="1"/>
  <c r="G804" i="2"/>
  <c r="E804" i="2"/>
  <c r="F804" i="2" s="1"/>
  <c r="D805" i="2"/>
  <c r="M805" i="2" s="1"/>
  <c r="C806" i="2"/>
  <c r="A807" i="2" l="1"/>
  <c r="B806" i="2"/>
  <c r="H806" i="2" s="1"/>
  <c r="L806" i="2" s="1"/>
  <c r="J665" i="2"/>
  <c r="K665" i="2" s="1"/>
  <c r="I665" i="2" s="1"/>
  <c r="G805" i="2"/>
  <c r="E805" i="2"/>
  <c r="F805" i="2" s="1"/>
  <c r="D806" i="2"/>
  <c r="M806" i="2" s="1"/>
  <c r="C807" i="2"/>
  <c r="A808" i="2" l="1"/>
  <c r="B807" i="2"/>
  <c r="H807" i="2" s="1"/>
  <c r="L807" i="2" s="1"/>
  <c r="J666" i="2"/>
  <c r="K666" i="2" s="1"/>
  <c r="I666" i="2" s="1"/>
  <c r="G806" i="2"/>
  <c r="E806" i="2"/>
  <c r="F806" i="2" s="1"/>
  <c r="D807" i="2"/>
  <c r="M807" i="2" s="1"/>
  <c r="C808" i="2"/>
  <c r="A809" i="2" l="1"/>
  <c r="B808" i="2"/>
  <c r="H808" i="2" s="1"/>
  <c r="L808" i="2" s="1"/>
  <c r="J667" i="2"/>
  <c r="K667" i="2" s="1"/>
  <c r="I667" i="2" s="1"/>
  <c r="G807" i="2"/>
  <c r="E807" i="2"/>
  <c r="F807" i="2" s="1"/>
  <c r="D808" i="2"/>
  <c r="M808" i="2" s="1"/>
  <c r="C809" i="2"/>
  <c r="A810" i="2" l="1"/>
  <c r="B809" i="2"/>
  <c r="H809" i="2" s="1"/>
  <c r="L809" i="2" s="1"/>
  <c r="J668" i="2"/>
  <c r="K668" i="2" s="1"/>
  <c r="I668" i="2" s="1"/>
  <c r="G808" i="2"/>
  <c r="E808" i="2"/>
  <c r="F808" i="2" s="1"/>
  <c r="D809" i="2"/>
  <c r="M809" i="2" s="1"/>
  <c r="C810" i="2"/>
  <c r="A811" i="2" l="1"/>
  <c r="B810" i="2"/>
  <c r="H810" i="2" s="1"/>
  <c r="L810" i="2" s="1"/>
  <c r="J669" i="2"/>
  <c r="K669" i="2" s="1"/>
  <c r="I669" i="2" s="1"/>
  <c r="G809" i="2"/>
  <c r="E809" i="2"/>
  <c r="F809" i="2" s="1"/>
  <c r="D810" i="2"/>
  <c r="M810" i="2" s="1"/>
  <c r="C811" i="2"/>
  <c r="A812" i="2" l="1"/>
  <c r="B811" i="2"/>
  <c r="H811" i="2" s="1"/>
  <c r="L811" i="2" s="1"/>
  <c r="J670" i="2"/>
  <c r="K670" i="2" s="1"/>
  <c r="I670" i="2" s="1"/>
  <c r="G810" i="2"/>
  <c r="E810" i="2"/>
  <c r="F810" i="2" s="1"/>
  <c r="D811" i="2"/>
  <c r="M811" i="2" s="1"/>
  <c r="C812" i="2"/>
  <c r="A813" i="2" l="1"/>
  <c r="B812" i="2"/>
  <c r="H812" i="2" s="1"/>
  <c r="L812" i="2" s="1"/>
  <c r="J671" i="2"/>
  <c r="K671" i="2" s="1"/>
  <c r="I671" i="2" s="1"/>
  <c r="G811" i="2"/>
  <c r="E811" i="2"/>
  <c r="F811" i="2" s="1"/>
  <c r="D812" i="2"/>
  <c r="M812" i="2" s="1"/>
  <c r="C813" i="2"/>
  <c r="A814" i="2" l="1"/>
  <c r="B813" i="2"/>
  <c r="H813" i="2" s="1"/>
  <c r="L813" i="2" s="1"/>
  <c r="J672" i="2"/>
  <c r="G812" i="2"/>
  <c r="E812" i="2"/>
  <c r="F812" i="2" s="1"/>
  <c r="D813" i="2"/>
  <c r="M813" i="2" s="1"/>
  <c r="C814" i="2"/>
  <c r="A815" i="2" l="1"/>
  <c r="B814" i="2"/>
  <c r="H814" i="2" s="1"/>
  <c r="L814" i="2" s="1"/>
  <c r="K672" i="2"/>
  <c r="I672" i="2" s="1"/>
  <c r="G813" i="2"/>
  <c r="E813" i="2"/>
  <c r="F813" i="2" s="1"/>
  <c r="D814" i="2"/>
  <c r="M814" i="2" s="1"/>
  <c r="C815" i="2"/>
  <c r="A816" i="2" l="1"/>
  <c r="B815" i="2"/>
  <c r="H815" i="2" s="1"/>
  <c r="L815" i="2" s="1"/>
  <c r="J673" i="2"/>
  <c r="K673" i="2"/>
  <c r="I673" i="2"/>
  <c r="G814" i="2"/>
  <c r="E814" i="2"/>
  <c r="F814" i="2" s="1"/>
  <c r="D815" i="2"/>
  <c r="M815" i="2" s="1"/>
  <c r="C816" i="2"/>
  <c r="A817" i="2" l="1"/>
  <c r="B816" i="2"/>
  <c r="H816" i="2" s="1"/>
  <c r="L816" i="2" s="1"/>
  <c r="J674" i="2"/>
  <c r="G815" i="2"/>
  <c r="E815" i="2"/>
  <c r="F815" i="2" s="1"/>
  <c r="D816" i="2"/>
  <c r="M816" i="2" s="1"/>
  <c r="C817" i="2"/>
  <c r="A818" i="2" l="1"/>
  <c r="B817" i="2"/>
  <c r="H817" i="2" s="1"/>
  <c r="L817" i="2" s="1"/>
  <c r="K674" i="2"/>
  <c r="I674" i="2" s="1"/>
  <c r="G816" i="2"/>
  <c r="E816" i="2"/>
  <c r="F816" i="2" s="1"/>
  <c r="D817" i="2"/>
  <c r="M817" i="2" s="1"/>
  <c r="C818" i="2"/>
  <c r="A819" i="2" l="1"/>
  <c r="B818" i="2"/>
  <c r="H818" i="2" s="1"/>
  <c r="L818" i="2" s="1"/>
  <c r="J675" i="2"/>
  <c r="K675" i="2"/>
  <c r="I675" i="2" s="1"/>
  <c r="G817" i="2"/>
  <c r="E817" i="2"/>
  <c r="F817" i="2" s="1"/>
  <c r="D818" i="2"/>
  <c r="M818" i="2" s="1"/>
  <c r="C819" i="2"/>
  <c r="A820" i="2" l="1"/>
  <c r="B819" i="2"/>
  <c r="H819" i="2" s="1"/>
  <c r="L819" i="2" s="1"/>
  <c r="J676" i="2"/>
  <c r="K676" i="2" s="1"/>
  <c r="I676" i="2" s="1"/>
  <c r="G818" i="2"/>
  <c r="E818" i="2"/>
  <c r="F818" i="2" s="1"/>
  <c r="D819" i="2"/>
  <c r="M819" i="2" s="1"/>
  <c r="C820" i="2"/>
  <c r="A821" i="2" l="1"/>
  <c r="B820" i="2"/>
  <c r="H820" i="2" s="1"/>
  <c r="L820" i="2" s="1"/>
  <c r="J677" i="2"/>
  <c r="K677" i="2" s="1"/>
  <c r="I677" i="2" s="1"/>
  <c r="G819" i="2"/>
  <c r="E819" i="2"/>
  <c r="F819" i="2" s="1"/>
  <c r="D820" i="2"/>
  <c r="M820" i="2" s="1"/>
  <c r="C821" i="2"/>
  <c r="A822" i="2" l="1"/>
  <c r="B821" i="2"/>
  <c r="H821" i="2" s="1"/>
  <c r="L821" i="2" s="1"/>
  <c r="J678" i="2"/>
  <c r="K678" i="2" s="1"/>
  <c r="I678" i="2" s="1"/>
  <c r="G820" i="2"/>
  <c r="E820" i="2"/>
  <c r="F820" i="2" s="1"/>
  <c r="D821" i="2"/>
  <c r="M821" i="2" s="1"/>
  <c r="C822" i="2"/>
  <c r="A823" i="2" l="1"/>
  <c r="B822" i="2"/>
  <c r="H822" i="2" s="1"/>
  <c r="L822" i="2" s="1"/>
  <c r="J679" i="2"/>
  <c r="K679" i="2" s="1"/>
  <c r="I679" i="2" s="1"/>
  <c r="G821" i="2"/>
  <c r="E821" i="2"/>
  <c r="F821" i="2" s="1"/>
  <c r="D822" i="2"/>
  <c r="M822" i="2" s="1"/>
  <c r="C823" i="2"/>
  <c r="A824" i="2" l="1"/>
  <c r="B823" i="2"/>
  <c r="H823" i="2" s="1"/>
  <c r="L823" i="2" s="1"/>
  <c r="J680" i="2"/>
  <c r="K680" i="2" s="1"/>
  <c r="I680" i="2" s="1"/>
  <c r="G822" i="2"/>
  <c r="E822" i="2"/>
  <c r="F822" i="2" s="1"/>
  <c r="D823" i="2"/>
  <c r="M823" i="2" s="1"/>
  <c r="C824" i="2"/>
  <c r="A825" i="2" l="1"/>
  <c r="B824" i="2"/>
  <c r="H824" i="2" s="1"/>
  <c r="L824" i="2" s="1"/>
  <c r="J681" i="2"/>
  <c r="G823" i="2"/>
  <c r="E823" i="2"/>
  <c r="F823" i="2" s="1"/>
  <c r="D824" i="2"/>
  <c r="M824" i="2" s="1"/>
  <c r="C825" i="2"/>
  <c r="A826" i="2" l="1"/>
  <c r="B825" i="2"/>
  <c r="H825" i="2" s="1"/>
  <c r="L825" i="2" s="1"/>
  <c r="K681" i="2"/>
  <c r="I681" i="2" s="1"/>
  <c r="G824" i="2"/>
  <c r="E824" i="2"/>
  <c r="F824" i="2" s="1"/>
  <c r="D825" i="2"/>
  <c r="M825" i="2" s="1"/>
  <c r="C826" i="2"/>
  <c r="A827" i="2" l="1"/>
  <c r="B826" i="2"/>
  <c r="H826" i="2" s="1"/>
  <c r="L826" i="2" s="1"/>
  <c r="J682" i="2"/>
  <c r="G825" i="2"/>
  <c r="E825" i="2"/>
  <c r="F825" i="2" s="1"/>
  <c r="D826" i="2"/>
  <c r="M826" i="2" s="1"/>
  <c r="C827" i="2"/>
  <c r="A828" i="2" l="1"/>
  <c r="B827" i="2"/>
  <c r="H827" i="2" s="1"/>
  <c r="L827" i="2" s="1"/>
  <c r="K682" i="2"/>
  <c r="I682" i="2"/>
  <c r="J683" i="2"/>
  <c r="K683" i="2" s="1"/>
  <c r="I683" i="2" s="1"/>
  <c r="G826" i="2"/>
  <c r="E826" i="2"/>
  <c r="F826" i="2" s="1"/>
  <c r="D827" i="2"/>
  <c r="M827" i="2" s="1"/>
  <c r="C828" i="2"/>
  <c r="A829" i="2" l="1"/>
  <c r="B828" i="2"/>
  <c r="H828" i="2" s="1"/>
  <c r="L828" i="2" s="1"/>
  <c r="J684" i="2"/>
  <c r="K684" i="2" s="1"/>
  <c r="I684" i="2" s="1"/>
  <c r="G827" i="2"/>
  <c r="E827" i="2"/>
  <c r="F827" i="2" s="1"/>
  <c r="D828" i="2"/>
  <c r="M828" i="2" s="1"/>
  <c r="C829" i="2"/>
  <c r="A830" i="2" l="1"/>
  <c r="B829" i="2"/>
  <c r="H829" i="2" s="1"/>
  <c r="L829" i="2" s="1"/>
  <c r="J685" i="2"/>
  <c r="K685" i="2" s="1"/>
  <c r="I685" i="2" s="1"/>
  <c r="G828" i="2"/>
  <c r="E828" i="2"/>
  <c r="F828" i="2" s="1"/>
  <c r="D829" i="2"/>
  <c r="M829" i="2" s="1"/>
  <c r="C830" i="2"/>
  <c r="A831" i="2" l="1"/>
  <c r="B830" i="2"/>
  <c r="H830" i="2" s="1"/>
  <c r="L830" i="2" s="1"/>
  <c r="J686" i="2"/>
  <c r="K686" i="2" s="1"/>
  <c r="I686" i="2" s="1"/>
  <c r="G829" i="2"/>
  <c r="E829" i="2"/>
  <c r="F829" i="2" s="1"/>
  <c r="D830" i="2"/>
  <c r="M830" i="2" s="1"/>
  <c r="C831" i="2"/>
  <c r="A832" i="2" l="1"/>
  <c r="B831" i="2"/>
  <c r="H831" i="2" s="1"/>
  <c r="L831" i="2" s="1"/>
  <c r="J687" i="2"/>
  <c r="G830" i="2"/>
  <c r="E830" i="2"/>
  <c r="F830" i="2" s="1"/>
  <c r="D831" i="2"/>
  <c r="M831" i="2" s="1"/>
  <c r="C832" i="2"/>
  <c r="A833" i="2" l="1"/>
  <c r="B832" i="2"/>
  <c r="H832" i="2" s="1"/>
  <c r="L832" i="2" s="1"/>
  <c r="K687" i="2"/>
  <c r="I687" i="2" s="1"/>
  <c r="G831" i="2"/>
  <c r="E831" i="2"/>
  <c r="F831" i="2" s="1"/>
  <c r="D832" i="2"/>
  <c r="M832" i="2" s="1"/>
  <c r="C833" i="2"/>
  <c r="A834" i="2" l="1"/>
  <c r="B833" i="2"/>
  <c r="H833" i="2" s="1"/>
  <c r="L833" i="2" s="1"/>
  <c r="J688" i="2"/>
  <c r="K688" i="2"/>
  <c r="I688" i="2" s="1"/>
  <c r="J689" i="2" s="1"/>
  <c r="K689" i="2" s="1"/>
  <c r="I689" i="2" s="1"/>
  <c r="G832" i="2"/>
  <c r="E832" i="2"/>
  <c r="F832" i="2" s="1"/>
  <c r="D833" i="2"/>
  <c r="M833" i="2" s="1"/>
  <c r="C834" i="2"/>
  <c r="A835" i="2" l="1"/>
  <c r="B834" i="2"/>
  <c r="H834" i="2" s="1"/>
  <c r="L834" i="2" s="1"/>
  <c r="J690" i="2"/>
  <c r="K690" i="2" s="1"/>
  <c r="I690" i="2" s="1"/>
  <c r="J691" i="2" s="1"/>
  <c r="K691" i="2" s="1"/>
  <c r="I691" i="2" s="1"/>
  <c r="G833" i="2"/>
  <c r="E833" i="2"/>
  <c r="F833" i="2" s="1"/>
  <c r="D834" i="2"/>
  <c r="M834" i="2" s="1"/>
  <c r="C835" i="2"/>
  <c r="A836" i="2" l="1"/>
  <c r="B835" i="2"/>
  <c r="H835" i="2" s="1"/>
  <c r="L835" i="2" s="1"/>
  <c r="J692" i="2"/>
  <c r="K692" i="2"/>
  <c r="I692" i="2" s="1"/>
  <c r="G834" i="2"/>
  <c r="E834" i="2"/>
  <c r="F834" i="2" s="1"/>
  <c r="D835" i="2"/>
  <c r="M835" i="2" s="1"/>
  <c r="C836" i="2"/>
  <c r="A837" i="2" l="1"/>
  <c r="B836" i="2"/>
  <c r="H836" i="2" s="1"/>
  <c r="L836" i="2" s="1"/>
  <c r="J693" i="2"/>
  <c r="K693" i="2" s="1"/>
  <c r="I693" i="2" s="1"/>
  <c r="G835" i="2"/>
  <c r="E835" i="2"/>
  <c r="F835" i="2" s="1"/>
  <c r="D836" i="2"/>
  <c r="M836" i="2" s="1"/>
  <c r="C837" i="2"/>
  <c r="A838" i="2" l="1"/>
  <c r="B837" i="2"/>
  <c r="H837" i="2" s="1"/>
  <c r="L837" i="2" s="1"/>
  <c r="J694" i="2"/>
  <c r="K694" i="2" s="1"/>
  <c r="G836" i="2"/>
  <c r="E836" i="2"/>
  <c r="F836" i="2" s="1"/>
  <c r="D837" i="2"/>
  <c r="M837" i="2" s="1"/>
  <c r="C838" i="2"/>
  <c r="A839" i="2" l="1"/>
  <c r="B838" i="2"/>
  <c r="H838" i="2" s="1"/>
  <c r="L838" i="2" s="1"/>
  <c r="I694" i="2"/>
  <c r="G837" i="2"/>
  <c r="E837" i="2"/>
  <c r="F837" i="2" s="1"/>
  <c r="D838" i="2"/>
  <c r="M838" i="2" s="1"/>
  <c r="C839" i="2"/>
  <c r="A840" i="2" l="1"/>
  <c r="B839" i="2"/>
  <c r="H839" i="2" s="1"/>
  <c r="L839" i="2" s="1"/>
  <c r="J695" i="2"/>
  <c r="K695" i="2"/>
  <c r="G838" i="2"/>
  <c r="E838" i="2"/>
  <c r="F838" i="2" s="1"/>
  <c r="D839" i="2"/>
  <c r="M839" i="2" s="1"/>
  <c r="C840" i="2"/>
  <c r="A841" i="2" l="1"/>
  <c r="B840" i="2"/>
  <c r="H840" i="2" s="1"/>
  <c r="L840" i="2" s="1"/>
  <c r="I695" i="2"/>
  <c r="G839" i="2"/>
  <c r="E839" i="2"/>
  <c r="F839" i="2" s="1"/>
  <c r="D840" i="2"/>
  <c r="M840" i="2" s="1"/>
  <c r="C841" i="2"/>
  <c r="A842" i="2" l="1"/>
  <c r="B841" i="2"/>
  <c r="H841" i="2" s="1"/>
  <c r="L841" i="2" s="1"/>
  <c r="J696" i="2"/>
  <c r="K696" i="2" s="1"/>
  <c r="I696" i="2" s="1"/>
  <c r="G840" i="2"/>
  <c r="E840" i="2"/>
  <c r="F840" i="2" s="1"/>
  <c r="D841" i="2"/>
  <c r="M841" i="2" s="1"/>
  <c r="C842" i="2"/>
  <c r="A843" i="2" l="1"/>
  <c r="B842" i="2"/>
  <c r="H842" i="2" s="1"/>
  <c r="L842" i="2" s="1"/>
  <c r="J697" i="2"/>
  <c r="K697" i="2" s="1"/>
  <c r="I697" i="2" s="1"/>
  <c r="J698" i="2" s="1"/>
  <c r="K698" i="2" s="1"/>
  <c r="I698" i="2" s="1"/>
  <c r="G841" i="2"/>
  <c r="E841" i="2"/>
  <c r="F841" i="2" s="1"/>
  <c r="D842" i="2"/>
  <c r="M842" i="2" s="1"/>
  <c r="C843" i="2"/>
  <c r="A844" i="2" l="1"/>
  <c r="B843" i="2"/>
  <c r="H843" i="2" s="1"/>
  <c r="L843" i="2" s="1"/>
  <c r="J699" i="2"/>
  <c r="K699" i="2" s="1"/>
  <c r="I699" i="2" s="1"/>
  <c r="G842" i="2"/>
  <c r="E842" i="2"/>
  <c r="F842" i="2" s="1"/>
  <c r="D843" i="2"/>
  <c r="M843" i="2" s="1"/>
  <c r="C844" i="2"/>
  <c r="A845" i="2" l="1"/>
  <c r="B844" i="2"/>
  <c r="H844" i="2" s="1"/>
  <c r="L844" i="2" s="1"/>
  <c r="J700" i="2"/>
  <c r="K700" i="2" s="1"/>
  <c r="I700" i="2" s="1"/>
  <c r="G843" i="2"/>
  <c r="E843" i="2"/>
  <c r="F843" i="2" s="1"/>
  <c r="D844" i="2"/>
  <c r="M844" i="2" s="1"/>
  <c r="C845" i="2"/>
  <c r="A846" i="2" l="1"/>
  <c r="B845" i="2"/>
  <c r="H845" i="2" s="1"/>
  <c r="L845" i="2" s="1"/>
  <c r="J701" i="2"/>
  <c r="K701" i="2" s="1"/>
  <c r="I701" i="2" s="1"/>
  <c r="G844" i="2"/>
  <c r="E844" i="2"/>
  <c r="F844" i="2" s="1"/>
  <c r="D845" i="2"/>
  <c r="M845" i="2" s="1"/>
  <c r="C846" i="2"/>
  <c r="A847" i="2" l="1"/>
  <c r="B846" i="2"/>
  <c r="H846" i="2" s="1"/>
  <c r="L846" i="2" s="1"/>
  <c r="J702" i="2"/>
  <c r="K702" i="2" s="1"/>
  <c r="I702" i="2" s="1"/>
  <c r="G845" i="2"/>
  <c r="E845" i="2"/>
  <c r="F845" i="2" s="1"/>
  <c r="D846" i="2"/>
  <c r="M846" i="2" s="1"/>
  <c r="C847" i="2"/>
  <c r="A848" i="2" l="1"/>
  <c r="B847" i="2"/>
  <c r="H847" i="2" s="1"/>
  <c r="L847" i="2" s="1"/>
  <c r="J703" i="2"/>
  <c r="K703" i="2" s="1"/>
  <c r="I703" i="2" s="1"/>
  <c r="G846" i="2"/>
  <c r="E846" i="2"/>
  <c r="F846" i="2" s="1"/>
  <c r="D847" i="2"/>
  <c r="M847" i="2" s="1"/>
  <c r="C848" i="2"/>
  <c r="A849" i="2" l="1"/>
  <c r="B848" i="2"/>
  <c r="H848" i="2" s="1"/>
  <c r="L848" i="2" s="1"/>
  <c r="J704" i="2"/>
  <c r="K704" i="2" s="1"/>
  <c r="I704" i="2" s="1"/>
  <c r="G847" i="2"/>
  <c r="E847" i="2"/>
  <c r="F847" i="2" s="1"/>
  <c r="D848" i="2"/>
  <c r="M848" i="2" s="1"/>
  <c r="C849" i="2"/>
  <c r="A850" i="2" l="1"/>
  <c r="B849" i="2"/>
  <c r="H849" i="2" s="1"/>
  <c r="L849" i="2" s="1"/>
  <c r="J705" i="2"/>
  <c r="K705" i="2" s="1"/>
  <c r="I705" i="2" s="1"/>
  <c r="G848" i="2"/>
  <c r="E848" i="2"/>
  <c r="F848" i="2" s="1"/>
  <c r="D849" i="2"/>
  <c r="M849" i="2" s="1"/>
  <c r="C850" i="2"/>
  <c r="A851" i="2" l="1"/>
  <c r="B850" i="2"/>
  <c r="H850" i="2" s="1"/>
  <c r="L850" i="2" s="1"/>
  <c r="J706" i="2"/>
  <c r="G849" i="2"/>
  <c r="E849" i="2"/>
  <c r="F849" i="2" s="1"/>
  <c r="D850" i="2"/>
  <c r="M850" i="2" s="1"/>
  <c r="C851" i="2"/>
  <c r="A852" i="2" l="1"/>
  <c r="B851" i="2"/>
  <c r="H851" i="2" s="1"/>
  <c r="L851" i="2" s="1"/>
  <c r="K706" i="2"/>
  <c r="I706" i="2" s="1"/>
  <c r="G850" i="2"/>
  <c r="E850" i="2"/>
  <c r="F850" i="2" s="1"/>
  <c r="D851" i="2"/>
  <c r="M851" i="2" s="1"/>
  <c r="C852" i="2"/>
  <c r="A853" i="2" l="1"/>
  <c r="B852" i="2"/>
  <c r="H852" i="2" s="1"/>
  <c r="L852" i="2" s="1"/>
  <c r="J707" i="2"/>
  <c r="K707" i="2" s="1"/>
  <c r="I707" i="2" s="1"/>
  <c r="G851" i="2"/>
  <c r="E851" i="2"/>
  <c r="F851" i="2" s="1"/>
  <c r="D852" i="2"/>
  <c r="M852" i="2" s="1"/>
  <c r="C853" i="2"/>
  <c r="A854" i="2" l="1"/>
  <c r="B853" i="2"/>
  <c r="H853" i="2" s="1"/>
  <c r="L853" i="2" s="1"/>
  <c r="J708" i="2"/>
  <c r="K708" i="2" s="1"/>
  <c r="I708" i="2" s="1"/>
  <c r="G852" i="2"/>
  <c r="E852" i="2"/>
  <c r="F852" i="2" s="1"/>
  <c r="D853" i="2"/>
  <c r="M853" i="2" s="1"/>
  <c r="C854" i="2"/>
  <c r="A855" i="2" l="1"/>
  <c r="B854" i="2"/>
  <c r="H854" i="2" s="1"/>
  <c r="L854" i="2" s="1"/>
  <c r="J709" i="2"/>
  <c r="K709" i="2" s="1"/>
  <c r="I709" i="2" s="1"/>
  <c r="J710" i="2" s="1"/>
  <c r="G853" i="2"/>
  <c r="E853" i="2"/>
  <c r="F853" i="2" s="1"/>
  <c r="D854" i="2"/>
  <c r="M854" i="2" s="1"/>
  <c r="C855" i="2"/>
  <c r="A856" i="2" l="1"/>
  <c r="B855" i="2"/>
  <c r="H855" i="2" s="1"/>
  <c r="L855" i="2" s="1"/>
  <c r="K710" i="2"/>
  <c r="I710" i="2" s="1"/>
  <c r="G854" i="2"/>
  <c r="E854" i="2"/>
  <c r="F854" i="2" s="1"/>
  <c r="D855" i="2"/>
  <c r="M855" i="2" s="1"/>
  <c r="C856" i="2"/>
  <c r="A857" i="2" l="1"/>
  <c r="B856" i="2"/>
  <c r="H856" i="2" s="1"/>
  <c r="L856" i="2" s="1"/>
  <c r="J711" i="2"/>
  <c r="G855" i="2"/>
  <c r="E855" i="2"/>
  <c r="F855" i="2" s="1"/>
  <c r="D856" i="2"/>
  <c r="M856" i="2" s="1"/>
  <c r="C857" i="2"/>
  <c r="A858" i="2" l="1"/>
  <c r="B857" i="2"/>
  <c r="H857" i="2" s="1"/>
  <c r="L857" i="2" s="1"/>
  <c r="K711" i="2"/>
  <c r="I711" i="2" s="1"/>
  <c r="G856" i="2"/>
  <c r="E856" i="2"/>
  <c r="F856" i="2" s="1"/>
  <c r="D857" i="2"/>
  <c r="M857" i="2" s="1"/>
  <c r="C858" i="2"/>
  <c r="A859" i="2" l="1"/>
  <c r="B858" i="2"/>
  <c r="H858" i="2" s="1"/>
  <c r="L858" i="2" s="1"/>
  <c r="J712" i="2"/>
  <c r="G857" i="2"/>
  <c r="E857" i="2"/>
  <c r="F857" i="2" s="1"/>
  <c r="D858" i="2"/>
  <c r="M858" i="2" s="1"/>
  <c r="C859" i="2"/>
  <c r="A860" i="2" l="1"/>
  <c r="B859" i="2"/>
  <c r="H859" i="2" s="1"/>
  <c r="L859" i="2" s="1"/>
  <c r="K712" i="2"/>
  <c r="I712" i="2" s="1"/>
  <c r="G858" i="2"/>
  <c r="E858" i="2"/>
  <c r="F858" i="2" s="1"/>
  <c r="D859" i="2"/>
  <c r="M859" i="2" s="1"/>
  <c r="C860" i="2"/>
  <c r="A861" i="2" l="1"/>
  <c r="B860" i="2"/>
  <c r="H860" i="2" s="1"/>
  <c r="L860" i="2" s="1"/>
  <c r="J713" i="2"/>
  <c r="G859" i="2"/>
  <c r="E859" i="2"/>
  <c r="F859" i="2" s="1"/>
  <c r="D860" i="2"/>
  <c r="M860" i="2" s="1"/>
  <c r="C861" i="2"/>
  <c r="A862" i="2" l="1"/>
  <c r="B861" i="2"/>
  <c r="H861" i="2" s="1"/>
  <c r="L861" i="2" s="1"/>
  <c r="K713" i="2"/>
  <c r="I713" i="2" s="1"/>
  <c r="G860" i="2"/>
  <c r="E860" i="2"/>
  <c r="F860" i="2" s="1"/>
  <c r="D861" i="2"/>
  <c r="M861" i="2" s="1"/>
  <c r="C862" i="2"/>
  <c r="A863" i="2" l="1"/>
  <c r="B862" i="2"/>
  <c r="H862" i="2" s="1"/>
  <c r="L862" i="2" s="1"/>
  <c r="J714" i="2"/>
  <c r="G861" i="2"/>
  <c r="E861" i="2"/>
  <c r="F861" i="2" s="1"/>
  <c r="D862" i="2"/>
  <c r="M862" i="2" s="1"/>
  <c r="C863" i="2"/>
  <c r="A864" i="2" l="1"/>
  <c r="B863" i="2"/>
  <c r="H863" i="2" s="1"/>
  <c r="L863" i="2" s="1"/>
  <c r="K714" i="2"/>
  <c r="I714" i="2" s="1"/>
  <c r="G862" i="2"/>
  <c r="E862" i="2"/>
  <c r="F862" i="2" s="1"/>
  <c r="D863" i="2"/>
  <c r="M863" i="2" s="1"/>
  <c r="C864" i="2"/>
  <c r="A865" i="2" l="1"/>
  <c r="B864" i="2"/>
  <c r="H864" i="2" s="1"/>
  <c r="L864" i="2" s="1"/>
  <c r="J715" i="2"/>
  <c r="G863" i="2"/>
  <c r="E863" i="2"/>
  <c r="F863" i="2" s="1"/>
  <c r="D864" i="2"/>
  <c r="M864" i="2" s="1"/>
  <c r="C865" i="2"/>
  <c r="A866" i="2" l="1"/>
  <c r="B865" i="2"/>
  <c r="H865" i="2" s="1"/>
  <c r="L865" i="2" s="1"/>
  <c r="K715" i="2"/>
  <c r="I715" i="2" s="1"/>
  <c r="G864" i="2"/>
  <c r="E864" i="2"/>
  <c r="F864" i="2" s="1"/>
  <c r="D865" i="2"/>
  <c r="M865" i="2" s="1"/>
  <c r="C866" i="2"/>
  <c r="A867" i="2" l="1"/>
  <c r="B866" i="2"/>
  <c r="H866" i="2" s="1"/>
  <c r="L866" i="2" s="1"/>
  <c r="J716" i="2"/>
  <c r="K716" i="2" s="1"/>
  <c r="G865" i="2"/>
  <c r="E865" i="2"/>
  <c r="F865" i="2" s="1"/>
  <c r="D866" i="2"/>
  <c r="M866" i="2" s="1"/>
  <c r="C867" i="2"/>
  <c r="A868" i="2" l="1"/>
  <c r="B867" i="2"/>
  <c r="H867" i="2" s="1"/>
  <c r="L867" i="2" s="1"/>
  <c r="I716" i="2"/>
  <c r="J717" i="2"/>
  <c r="G866" i="2"/>
  <c r="E866" i="2"/>
  <c r="F866" i="2" s="1"/>
  <c r="D867" i="2"/>
  <c r="M867" i="2" s="1"/>
  <c r="C868" i="2"/>
  <c r="A869" i="2" l="1"/>
  <c r="B868" i="2"/>
  <c r="H868" i="2" s="1"/>
  <c r="L868" i="2" s="1"/>
  <c r="K717" i="2"/>
  <c r="I717" i="2"/>
  <c r="G867" i="2"/>
  <c r="E867" i="2"/>
  <c r="F867" i="2" s="1"/>
  <c r="D868" i="2"/>
  <c r="M868" i="2" s="1"/>
  <c r="C869" i="2"/>
  <c r="A870" i="2" l="1"/>
  <c r="B869" i="2"/>
  <c r="H869" i="2" s="1"/>
  <c r="L869" i="2" s="1"/>
  <c r="J718" i="2"/>
  <c r="K718" i="2" s="1"/>
  <c r="G868" i="2"/>
  <c r="E868" i="2"/>
  <c r="F868" i="2" s="1"/>
  <c r="D869" i="2"/>
  <c r="M869" i="2" s="1"/>
  <c r="C870" i="2"/>
  <c r="A871" i="2" l="1"/>
  <c r="B870" i="2"/>
  <c r="H870" i="2" s="1"/>
  <c r="L870" i="2" s="1"/>
  <c r="I718" i="2"/>
  <c r="G869" i="2"/>
  <c r="E869" i="2"/>
  <c r="F869" i="2" s="1"/>
  <c r="D870" i="2"/>
  <c r="M870" i="2" s="1"/>
  <c r="C871" i="2"/>
  <c r="A872" i="2" l="1"/>
  <c r="B871" i="2"/>
  <c r="H871" i="2" s="1"/>
  <c r="L871" i="2" s="1"/>
  <c r="J719" i="2"/>
  <c r="K719" i="2"/>
  <c r="G870" i="2"/>
  <c r="E870" i="2"/>
  <c r="F870" i="2" s="1"/>
  <c r="D871" i="2"/>
  <c r="M871" i="2" s="1"/>
  <c r="C872" i="2"/>
  <c r="A873" i="2" l="1"/>
  <c r="B872" i="2"/>
  <c r="H872" i="2" s="1"/>
  <c r="L872" i="2" s="1"/>
  <c r="I719" i="2"/>
  <c r="G871" i="2"/>
  <c r="E871" i="2"/>
  <c r="F871" i="2" s="1"/>
  <c r="D872" i="2"/>
  <c r="M872" i="2" s="1"/>
  <c r="C873" i="2"/>
  <c r="A874" i="2" l="1"/>
  <c r="B873" i="2"/>
  <c r="H873" i="2" s="1"/>
  <c r="L873" i="2" s="1"/>
  <c r="J720" i="2"/>
  <c r="K720" i="2"/>
  <c r="I720" i="2" s="1"/>
  <c r="J721" i="2" s="1"/>
  <c r="G872" i="2"/>
  <c r="E872" i="2"/>
  <c r="F872" i="2" s="1"/>
  <c r="D873" i="2"/>
  <c r="M873" i="2" s="1"/>
  <c r="C874" i="2"/>
  <c r="A875" i="2" l="1"/>
  <c r="B874" i="2"/>
  <c r="H874" i="2" s="1"/>
  <c r="L874" i="2" s="1"/>
  <c r="K721" i="2"/>
  <c r="I721" i="2" s="1"/>
  <c r="G873" i="2"/>
  <c r="E873" i="2"/>
  <c r="F873" i="2" s="1"/>
  <c r="D874" i="2"/>
  <c r="M874" i="2" s="1"/>
  <c r="C875" i="2"/>
  <c r="A876" i="2" l="1"/>
  <c r="B875" i="2"/>
  <c r="H875" i="2" s="1"/>
  <c r="L875" i="2" s="1"/>
  <c r="J722" i="2"/>
  <c r="G874" i="2"/>
  <c r="E874" i="2"/>
  <c r="F874" i="2" s="1"/>
  <c r="D875" i="2"/>
  <c r="M875" i="2" s="1"/>
  <c r="C876" i="2"/>
  <c r="A877" i="2" l="1"/>
  <c r="B876" i="2"/>
  <c r="H876" i="2" s="1"/>
  <c r="L876" i="2" s="1"/>
  <c r="K722" i="2"/>
  <c r="I722" i="2" s="1"/>
  <c r="G875" i="2"/>
  <c r="E875" i="2"/>
  <c r="F875" i="2" s="1"/>
  <c r="D876" i="2"/>
  <c r="M876" i="2" s="1"/>
  <c r="C877" i="2"/>
  <c r="A878" i="2" l="1"/>
  <c r="B877" i="2"/>
  <c r="H877" i="2" s="1"/>
  <c r="L877" i="2" s="1"/>
  <c r="J723" i="2"/>
  <c r="G876" i="2"/>
  <c r="E876" i="2"/>
  <c r="F876" i="2" s="1"/>
  <c r="D877" i="2"/>
  <c r="M877" i="2" s="1"/>
  <c r="C878" i="2"/>
  <c r="A879" i="2" l="1"/>
  <c r="B878" i="2"/>
  <c r="H878" i="2" s="1"/>
  <c r="L878" i="2" s="1"/>
  <c r="K723" i="2"/>
  <c r="I723" i="2" s="1"/>
  <c r="G877" i="2"/>
  <c r="E877" i="2"/>
  <c r="F877" i="2" s="1"/>
  <c r="D878" i="2"/>
  <c r="M878" i="2" s="1"/>
  <c r="C879" i="2"/>
  <c r="A880" i="2" l="1"/>
  <c r="B879" i="2"/>
  <c r="H879" i="2" s="1"/>
  <c r="L879" i="2" s="1"/>
  <c r="J724" i="2"/>
  <c r="K724" i="2" s="1"/>
  <c r="I724" i="2" s="1"/>
  <c r="G878" i="2"/>
  <c r="E878" i="2"/>
  <c r="F878" i="2" s="1"/>
  <c r="D879" i="2"/>
  <c r="M879" i="2" s="1"/>
  <c r="C880" i="2"/>
  <c r="A881" i="2" l="1"/>
  <c r="B880" i="2"/>
  <c r="H880" i="2" s="1"/>
  <c r="L880" i="2" s="1"/>
  <c r="J725" i="2"/>
  <c r="K725" i="2" s="1"/>
  <c r="G879" i="2"/>
  <c r="E879" i="2"/>
  <c r="F879" i="2" s="1"/>
  <c r="D880" i="2"/>
  <c r="M880" i="2" s="1"/>
  <c r="C881" i="2"/>
  <c r="A882" i="2" l="1"/>
  <c r="B881" i="2"/>
  <c r="H881" i="2" s="1"/>
  <c r="L881" i="2" s="1"/>
  <c r="I725" i="2"/>
  <c r="J726" i="2" s="1"/>
  <c r="G880" i="2"/>
  <c r="E880" i="2"/>
  <c r="F880" i="2" s="1"/>
  <c r="D881" i="2"/>
  <c r="M881" i="2" s="1"/>
  <c r="C882" i="2"/>
  <c r="A883" i="2" l="1"/>
  <c r="B882" i="2"/>
  <c r="H882" i="2" s="1"/>
  <c r="L882" i="2" s="1"/>
  <c r="K726" i="2"/>
  <c r="I726" i="2" s="1"/>
  <c r="G881" i="2"/>
  <c r="E881" i="2"/>
  <c r="F881" i="2" s="1"/>
  <c r="D882" i="2"/>
  <c r="M882" i="2" s="1"/>
  <c r="C883" i="2"/>
  <c r="A884" i="2" l="1"/>
  <c r="B883" i="2"/>
  <c r="H883" i="2" s="1"/>
  <c r="L883" i="2" s="1"/>
  <c r="J727" i="2"/>
  <c r="K727" i="2" s="1"/>
  <c r="I727" i="2" s="1"/>
  <c r="G882" i="2"/>
  <c r="E882" i="2"/>
  <c r="F882" i="2" s="1"/>
  <c r="D883" i="2"/>
  <c r="M883" i="2" s="1"/>
  <c r="C884" i="2"/>
  <c r="A885" i="2" l="1"/>
  <c r="B884" i="2"/>
  <c r="H884" i="2" s="1"/>
  <c r="L884" i="2" s="1"/>
  <c r="J728" i="2"/>
  <c r="G883" i="2"/>
  <c r="E883" i="2"/>
  <c r="F883" i="2" s="1"/>
  <c r="D884" i="2"/>
  <c r="M884" i="2" s="1"/>
  <c r="C885" i="2"/>
  <c r="A886" i="2" l="1"/>
  <c r="B885" i="2"/>
  <c r="H885" i="2" s="1"/>
  <c r="L885" i="2" s="1"/>
  <c r="K728" i="2"/>
  <c r="I728" i="2" s="1"/>
  <c r="G884" i="2"/>
  <c r="E884" i="2"/>
  <c r="F884" i="2" s="1"/>
  <c r="D885" i="2"/>
  <c r="M885" i="2" s="1"/>
  <c r="C886" i="2"/>
  <c r="A887" i="2" l="1"/>
  <c r="B886" i="2"/>
  <c r="H886" i="2" s="1"/>
  <c r="L886" i="2" s="1"/>
  <c r="J729" i="2"/>
  <c r="G885" i="2"/>
  <c r="E885" i="2"/>
  <c r="F885" i="2" s="1"/>
  <c r="D886" i="2"/>
  <c r="M886" i="2" s="1"/>
  <c r="C887" i="2"/>
  <c r="A888" i="2" l="1"/>
  <c r="B887" i="2"/>
  <c r="H887" i="2" s="1"/>
  <c r="L887" i="2" s="1"/>
  <c r="K729" i="2"/>
  <c r="I729" i="2" s="1"/>
  <c r="G886" i="2"/>
  <c r="E886" i="2"/>
  <c r="F886" i="2" s="1"/>
  <c r="D887" i="2"/>
  <c r="M887" i="2" s="1"/>
  <c r="C888" i="2"/>
  <c r="A889" i="2" l="1"/>
  <c r="B888" i="2"/>
  <c r="H888" i="2" s="1"/>
  <c r="L888" i="2" s="1"/>
  <c r="J730" i="2"/>
  <c r="K730" i="2" s="1"/>
  <c r="I730" i="2" s="1"/>
  <c r="G887" i="2"/>
  <c r="E887" i="2"/>
  <c r="F887" i="2" s="1"/>
  <c r="D888" i="2"/>
  <c r="M888" i="2" s="1"/>
  <c r="C889" i="2"/>
  <c r="A890" i="2" l="1"/>
  <c r="B889" i="2"/>
  <c r="H889" i="2" s="1"/>
  <c r="L889" i="2" s="1"/>
  <c r="J731" i="2"/>
  <c r="K731" i="2" s="1"/>
  <c r="I731" i="2" s="1"/>
  <c r="G888" i="2"/>
  <c r="E888" i="2"/>
  <c r="F888" i="2" s="1"/>
  <c r="D889" i="2"/>
  <c r="M889" i="2" s="1"/>
  <c r="C890" i="2"/>
  <c r="A891" i="2" l="1"/>
  <c r="B890" i="2"/>
  <c r="H890" i="2" s="1"/>
  <c r="L890" i="2" s="1"/>
  <c r="J732" i="2"/>
  <c r="K732" i="2" s="1"/>
  <c r="I732" i="2" s="1"/>
  <c r="G889" i="2"/>
  <c r="E889" i="2"/>
  <c r="F889" i="2" s="1"/>
  <c r="D890" i="2"/>
  <c r="M890" i="2" s="1"/>
  <c r="C891" i="2"/>
  <c r="A892" i="2" l="1"/>
  <c r="B891" i="2"/>
  <c r="H891" i="2" s="1"/>
  <c r="L891" i="2" s="1"/>
  <c r="J733" i="2"/>
  <c r="K733" i="2"/>
  <c r="G890" i="2"/>
  <c r="E890" i="2"/>
  <c r="F890" i="2" s="1"/>
  <c r="D891" i="2"/>
  <c r="M891" i="2" s="1"/>
  <c r="C892" i="2"/>
  <c r="A893" i="2" l="1"/>
  <c r="B892" i="2"/>
  <c r="H892" i="2" s="1"/>
  <c r="L892" i="2" s="1"/>
  <c r="I733" i="2"/>
  <c r="J734" i="2"/>
  <c r="K734" i="2"/>
  <c r="G891" i="2"/>
  <c r="E891" i="2"/>
  <c r="F891" i="2" s="1"/>
  <c r="D892" i="2"/>
  <c r="M892" i="2" s="1"/>
  <c r="C893" i="2"/>
  <c r="A894" i="2" l="1"/>
  <c r="B893" i="2"/>
  <c r="H893" i="2" s="1"/>
  <c r="L893" i="2" s="1"/>
  <c r="I734" i="2"/>
  <c r="J735" i="2" s="1"/>
  <c r="G892" i="2"/>
  <c r="E892" i="2"/>
  <c r="F892" i="2" s="1"/>
  <c r="D893" i="2"/>
  <c r="M893" i="2" s="1"/>
  <c r="C894" i="2"/>
  <c r="A895" i="2" l="1"/>
  <c r="B894" i="2"/>
  <c r="H894" i="2" s="1"/>
  <c r="L894" i="2" s="1"/>
  <c r="K735" i="2"/>
  <c r="I735" i="2" s="1"/>
  <c r="G893" i="2"/>
  <c r="E893" i="2"/>
  <c r="F893" i="2" s="1"/>
  <c r="D894" i="2"/>
  <c r="M894" i="2" s="1"/>
  <c r="C895" i="2"/>
  <c r="A896" i="2" l="1"/>
  <c r="B895" i="2"/>
  <c r="H895" i="2" s="1"/>
  <c r="L895" i="2" s="1"/>
  <c r="J736" i="2"/>
  <c r="K736" i="2" s="1"/>
  <c r="I736" i="2" s="1"/>
  <c r="G894" i="2"/>
  <c r="E894" i="2"/>
  <c r="F894" i="2" s="1"/>
  <c r="D895" i="2"/>
  <c r="M895" i="2" s="1"/>
  <c r="C896" i="2"/>
  <c r="A897" i="2" l="1"/>
  <c r="B896" i="2"/>
  <c r="H896" i="2" s="1"/>
  <c r="L896" i="2" s="1"/>
  <c r="J737" i="2"/>
  <c r="K737" i="2"/>
  <c r="G895" i="2"/>
  <c r="E895" i="2"/>
  <c r="F895" i="2" s="1"/>
  <c r="D896" i="2"/>
  <c r="M896" i="2" s="1"/>
  <c r="C897" i="2"/>
  <c r="A898" i="2" l="1"/>
  <c r="B897" i="2"/>
  <c r="H897" i="2" s="1"/>
  <c r="L897" i="2" s="1"/>
  <c r="I737" i="2"/>
  <c r="G896" i="2"/>
  <c r="E896" i="2"/>
  <c r="F896" i="2" s="1"/>
  <c r="D897" i="2"/>
  <c r="M897" i="2" s="1"/>
  <c r="C898" i="2"/>
  <c r="A899" i="2" l="1"/>
  <c r="B898" i="2"/>
  <c r="H898" i="2" s="1"/>
  <c r="L898" i="2" s="1"/>
  <c r="J738" i="2"/>
  <c r="K738" i="2" s="1"/>
  <c r="I738" i="2" s="1"/>
  <c r="G897" i="2"/>
  <c r="E897" i="2"/>
  <c r="F897" i="2" s="1"/>
  <c r="D898" i="2"/>
  <c r="M898" i="2" s="1"/>
  <c r="C899" i="2"/>
  <c r="A900" i="2" l="1"/>
  <c r="B899" i="2"/>
  <c r="H899" i="2" s="1"/>
  <c r="L899" i="2" s="1"/>
  <c r="J739" i="2"/>
  <c r="K739" i="2" s="1"/>
  <c r="I739" i="2" s="1"/>
  <c r="J740" i="2" s="1"/>
  <c r="G898" i="2"/>
  <c r="E898" i="2"/>
  <c r="F898" i="2" s="1"/>
  <c r="D899" i="2"/>
  <c r="M899" i="2" s="1"/>
  <c r="C900" i="2"/>
  <c r="A901" i="2" l="1"/>
  <c r="B900" i="2"/>
  <c r="H900" i="2" s="1"/>
  <c r="L900" i="2" s="1"/>
  <c r="K740" i="2"/>
  <c r="I740" i="2" s="1"/>
  <c r="G899" i="2"/>
  <c r="E899" i="2"/>
  <c r="F899" i="2" s="1"/>
  <c r="D900" i="2"/>
  <c r="M900" i="2" s="1"/>
  <c r="C901" i="2"/>
  <c r="A902" i="2" l="1"/>
  <c r="B901" i="2"/>
  <c r="H901" i="2" s="1"/>
  <c r="L901" i="2" s="1"/>
  <c r="J741" i="2"/>
  <c r="K741" i="2" s="1"/>
  <c r="I741" i="2" s="1"/>
  <c r="G900" i="2"/>
  <c r="E900" i="2"/>
  <c r="F900" i="2" s="1"/>
  <c r="D901" i="2"/>
  <c r="M901" i="2" s="1"/>
  <c r="C902" i="2"/>
  <c r="A903" i="2" l="1"/>
  <c r="B902" i="2"/>
  <c r="H902" i="2" s="1"/>
  <c r="L902" i="2" s="1"/>
  <c r="J742" i="2"/>
  <c r="K742" i="2"/>
  <c r="G901" i="2"/>
  <c r="E901" i="2"/>
  <c r="F901" i="2" s="1"/>
  <c r="D902" i="2"/>
  <c r="M902" i="2" s="1"/>
  <c r="C903" i="2"/>
  <c r="A904" i="2" l="1"/>
  <c r="B903" i="2"/>
  <c r="H903" i="2" s="1"/>
  <c r="L903" i="2" s="1"/>
  <c r="I742" i="2"/>
  <c r="J743" i="2"/>
  <c r="G902" i="2"/>
  <c r="E902" i="2"/>
  <c r="F902" i="2" s="1"/>
  <c r="D903" i="2"/>
  <c r="M903" i="2" s="1"/>
  <c r="C904" i="2"/>
  <c r="A905" i="2" l="1"/>
  <c r="B904" i="2"/>
  <c r="H904" i="2" s="1"/>
  <c r="L904" i="2" s="1"/>
  <c r="K743" i="2"/>
  <c r="I743" i="2"/>
  <c r="J744" i="2"/>
  <c r="G903" i="2"/>
  <c r="E903" i="2"/>
  <c r="F903" i="2" s="1"/>
  <c r="D904" i="2"/>
  <c r="M904" i="2" s="1"/>
  <c r="C905" i="2"/>
  <c r="K744" i="2" l="1"/>
  <c r="A906" i="2"/>
  <c r="B905" i="2"/>
  <c r="H905" i="2" s="1"/>
  <c r="L905" i="2" s="1"/>
  <c r="I744" i="2"/>
  <c r="G904" i="2"/>
  <c r="E904" i="2"/>
  <c r="F904" i="2" s="1"/>
  <c r="D905" i="2"/>
  <c r="M905" i="2" s="1"/>
  <c r="C906" i="2"/>
  <c r="A907" i="2" l="1"/>
  <c r="B906" i="2"/>
  <c r="H906" i="2" s="1"/>
  <c r="L906" i="2" s="1"/>
  <c r="J745" i="2"/>
  <c r="K745" i="2"/>
  <c r="I745" i="2"/>
  <c r="J746" i="2"/>
  <c r="G905" i="2"/>
  <c r="E905" i="2"/>
  <c r="F905" i="2" s="1"/>
  <c r="D906" i="2"/>
  <c r="M906" i="2" s="1"/>
  <c r="C907" i="2"/>
  <c r="A908" i="2" l="1"/>
  <c r="B907" i="2"/>
  <c r="H907" i="2" s="1"/>
  <c r="L907" i="2" s="1"/>
  <c r="K746" i="2"/>
  <c r="I746" i="2" s="1"/>
  <c r="G906" i="2"/>
  <c r="E906" i="2"/>
  <c r="F906" i="2" s="1"/>
  <c r="D907" i="2"/>
  <c r="M907" i="2" s="1"/>
  <c r="C908" i="2"/>
  <c r="A909" i="2" l="1"/>
  <c r="B908" i="2"/>
  <c r="H908" i="2" s="1"/>
  <c r="L908" i="2" s="1"/>
  <c r="J747" i="2"/>
  <c r="K747" i="2" s="1"/>
  <c r="I747" i="2" s="1"/>
  <c r="G907" i="2"/>
  <c r="E907" i="2"/>
  <c r="F907" i="2" s="1"/>
  <c r="D908" i="2"/>
  <c r="M908" i="2" s="1"/>
  <c r="C909" i="2"/>
  <c r="A910" i="2" l="1"/>
  <c r="B909" i="2"/>
  <c r="H909" i="2" s="1"/>
  <c r="L909" i="2" s="1"/>
  <c r="J748" i="2"/>
  <c r="G908" i="2"/>
  <c r="E908" i="2"/>
  <c r="F908" i="2" s="1"/>
  <c r="D909" i="2"/>
  <c r="M909" i="2" s="1"/>
  <c r="C910" i="2"/>
  <c r="A911" i="2" l="1"/>
  <c r="B910" i="2"/>
  <c r="H910" i="2" s="1"/>
  <c r="L910" i="2" s="1"/>
  <c r="K748" i="2"/>
  <c r="I748" i="2" s="1"/>
  <c r="G909" i="2"/>
  <c r="E909" i="2"/>
  <c r="F909" i="2" s="1"/>
  <c r="D910" i="2"/>
  <c r="M910" i="2" s="1"/>
  <c r="C911" i="2"/>
  <c r="A912" i="2" l="1"/>
  <c r="B911" i="2"/>
  <c r="H911" i="2" s="1"/>
  <c r="L911" i="2" s="1"/>
  <c r="J749" i="2"/>
  <c r="G910" i="2"/>
  <c r="E910" i="2"/>
  <c r="F910" i="2" s="1"/>
  <c r="D911" i="2"/>
  <c r="M911" i="2" s="1"/>
  <c r="C912" i="2"/>
  <c r="A913" i="2" l="1"/>
  <c r="B912" i="2"/>
  <c r="H912" i="2" s="1"/>
  <c r="L912" i="2" s="1"/>
  <c r="K749" i="2"/>
  <c r="I749" i="2" s="1"/>
  <c r="G911" i="2"/>
  <c r="E911" i="2"/>
  <c r="F911" i="2" s="1"/>
  <c r="D912" i="2"/>
  <c r="M912" i="2" s="1"/>
  <c r="C913" i="2"/>
  <c r="A914" i="2" l="1"/>
  <c r="B913" i="2"/>
  <c r="H913" i="2" s="1"/>
  <c r="L913" i="2" s="1"/>
  <c r="J750" i="2"/>
  <c r="G912" i="2"/>
  <c r="E912" i="2"/>
  <c r="F912" i="2" s="1"/>
  <c r="D913" i="2"/>
  <c r="M913" i="2" s="1"/>
  <c r="C914" i="2"/>
  <c r="A915" i="2" l="1"/>
  <c r="B914" i="2"/>
  <c r="H914" i="2" s="1"/>
  <c r="L914" i="2" s="1"/>
  <c r="K750" i="2"/>
  <c r="I750" i="2" s="1"/>
  <c r="G913" i="2"/>
  <c r="E913" i="2"/>
  <c r="F913" i="2" s="1"/>
  <c r="D914" i="2"/>
  <c r="M914" i="2" s="1"/>
  <c r="C915" i="2"/>
  <c r="A916" i="2" l="1"/>
  <c r="B915" i="2"/>
  <c r="H915" i="2" s="1"/>
  <c r="L915" i="2" s="1"/>
  <c r="J751" i="2"/>
  <c r="K751" i="2" s="1"/>
  <c r="I751" i="2" s="1"/>
  <c r="G914" i="2"/>
  <c r="E914" i="2"/>
  <c r="F914" i="2" s="1"/>
  <c r="D915" i="2"/>
  <c r="M915" i="2" s="1"/>
  <c r="C916" i="2"/>
  <c r="A917" i="2" l="1"/>
  <c r="B916" i="2"/>
  <c r="H916" i="2" s="1"/>
  <c r="L916" i="2" s="1"/>
  <c r="J752" i="2"/>
  <c r="K752" i="2" s="1"/>
  <c r="I752" i="2" s="1"/>
  <c r="G915" i="2"/>
  <c r="E915" i="2"/>
  <c r="F915" i="2" s="1"/>
  <c r="D916" i="2"/>
  <c r="M916" i="2" s="1"/>
  <c r="C917" i="2"/>
  <c r="A918" i="2" l="1"/>
  <c r="B917" i="2"/>
  <c r="H917" i="2" s="1"/>
  <c r="L917" i="2" s="1"/>
  <c r="J753" i="2"/>
  <c r="K753" i="2" s="1"/>
  <c r="I753" i="2" s="1"/>
  <c r="G916" i="2"/>
  <c r="E916" i="2"/>
  <c r="F916" i="2" s="1"/>
  <c r="D917" i="2"/>
  <c r="M917" i="2" s="1"/>
  <c r="C918" i="2"/>
  <c r="A919" i="2" l="1"/>
  <c r="B918" i="2"/>
  <c r="H918" i="2" s="1"/>
  <c r="L918" i="2" s="1"/>
  <c r="J754" i="2"/>
  <c r="K754" i="2" s="1"/>
  <c r="G917" i="2"/>
  <c r="E917" i="2"/>
  <c r="F917" i="2" s="1"/>
  <c r="D918" i="2"/>
  <c r="M918" i="2" s="1"/>
  <c r="C919" i="2"/>
  <c r="A920" i="2" l="1"/>
  <c r="B919" i="2"/>
  <c r="H919" i="2" s="1"/>
  <c r="L919" i="2" s="1"/>
  <c r="I754" i="2"/>
  <c r="G918" i="2"/>
  <c r="E918" i="2"/>
  <c r="F918" i="2" s="1"/>
  <c r="D919" i="2"/>
  <c r="M919" i="2" s="1"/>
  <c r="C920" i="2"/>
  <c r="A921" i="2" l="1"/>
  <c r="B920" i="2"/>
  <c r="H920" i="2" s="1"/>
  <c r="L920" i="2" s="1"/>
  <c r="J755" i="2"/>
  <c r="K755" i="2"/>
  <c r="G919" i="2"/>
  <c r="E919" i="2"/>
  <c r="F919" i="2" s="1"/>
  <c r="D920" i="2"/>
  <c r="M920" i="2" s="1"/>
  <c r="C921" i="2"/>
  <c r="A922" i="2" l="1"/>
  <c r="B921" i="2"/>
  <c r="H921" i="2" s="1"/>
  <c r="L921" i="2" s="1"/>
  <c r="I755" i="2"/>
  <c r="G920" i="2"/>
  <c r="E920" i="2"/>
  <c r="F920" i="2" s="1"/>
  <c r="D921" i="2"/>
  <c r="M921" i="2" s="1"/>
  <c r="C922" i="2"/>
  <c r="A923" i="2" l="1"/>
  <c r="B922" i="2"/>
  <c r="H922" i="2" s="1"/>
  <c r="L922" i="2" s="1"/>
  <c r="J756" i="2"/>
  <c r="K756" i="2" s="1"/>
  <c r="G921" i="2"/>
  <c r="E921" i="2"/>
  <c r="F921" i="2" s="1"/>
  <c r="D922" i="2"/>
  <c r="M922" i="2" s="1"/>
  <c r="C923" i="2"/>
  <c r="A924" i="2" l="1"/>
  <c r="B923" i="2"/>
  <c r="H923" i="2" s="1"/>
  <c r="L923" i="2" s="1"/>
  <c r="I756" i="2"/>
  <c r="G922" i="2"/>
  <c r="E922" i="2"/>
  <c r="F922" i="2" s="1"/>
  <c r="D923" i="2"/>
  <c r="M923" i="2" s="1"/>
  <c r="C924" i="2"/>
  <c r="A925" i="2" l="1"/>
  <c r="B924" i="2"/>
  <c r="H924" i="2" s="1"/>
  <c r="L924" i="2" s="1"/>
  <c r="J757" i="2"/>
  <c r="G923" i="2"/>
  <c r="E923" i="2"/>
  <c r="F923" i="2" s="1"/>
  <c r="D924" i="2"/>
  <c r="M924" i="2" s="1"/>
  <c r="C925" i="2"/>
  <c r="A926" i="2" l="1"/>
  <c r="B925" i="2"/>
  <c r="H925" i="2" s="1"/>
  <c r="L925" i="2" s="1"/>
  <c r="K757" i="2"/>
  <c r="I757" i="2" s="1"/>
  <c r="G924" i="2"/>
  <c r="E924" i="2"/>
  <c r="F924" i="2" s="1"/>
  <c r="D925" i="2"/>
  <c r="M925" i="2" s="1"/>
  <c r="C926" i="2"/>
  <c r="A927" i="2" l="1"/>
  <c r="B926" i="2"/>
  <c r="H926" i="2" s="1"/>
  <c r="L926" i="2" s="1"/>
  <c r="J758" i="2"/>
  <c r="K758" i="2" s="1"/>
  <c r="I758" i="2" s="1"/>
  <c r="G925" i="2"/>
  <c r="E925" i="2"/>
  <c r="F925" i="2" s="1"/>
  <c r="D926" i="2"/>
  <c r="M926" i="2" s="1"/>
  <c r="C927" i="2"/>
  <c r="A928" i="2" l="1"/>
  <c r="B927" i="2"/>
  <c r="H927" i="2" s="1"/>
  <c r="L927" i="2" s="1"/>
  <c r="J759" i="2"/>
  <c r="K759" i="2" s="1"/>
  <c r="I759" i="2" s="1"/>
  <c r="J760" i="2" s="1"/>
  <c r="K760" i="2" s="1"/>
  <c r="I760" i="2" s="1"/>
  <c r="G926" i="2"/>
  <c r="E926" i="2"/>
  <c r="F926" i="2" s="1"/>
  <c r="D927" i="2"/>
  <c r="M927" i="2" s="1"/>
  <c r="C928" i="2"/>
  <c r="A929" i="2" l="1"/>
  <c r="B928" i="2"/>
  <c r="H928" i="2" s="1"/>
  <c r="L928" i="2" s="1"/>
  <c r="J761" i="2"/>
  <c r="K761" i="2"/>
  <c r="G927" i="2"/>
  <c r="E927" i="2"/>
  <c r="F927" i="2" s="1"/>
  <c r="D928" i="2"/>
  <c r="M928" i="2" s="1"/>
  <c r="C929" i="2"/>
  <c r="A930" i="2" l="1"/>
  <c r="B929" i="2"/>
  <c r="H929" i="2" s="1"/>
  <c r="L929" i="2" s="1"/>
  <c r="I761" i="2"/>
  <c r="J762" i="2"/>
  <c r="G928" i="2"/>
  <c r="E928" i="2"/>
  <c r="F928" i="2" s="1"/>
  <c r="D929" i="2"/>
  <c r="M929" i="2" s="1"/>
  <c r="C930" i="2"/>
  <c r="A931" i="2" l="1"/>
  <c r="B930" i="2"/>
  <c r="H930" i="2" s="1"/>
  <c r="L930" i="2" s="1"/>
  <c r="K762" i="2"/>
  <c r="I762" i="2" s="1"/>
  <c r="G929" i="2"/>
  <c r="E929" i="2"/>
  <c r="F929" i="2" s="1"/>
  <c r="D930" i="2"/>
  <c r="M930" i="2" s="1"/>
  <c r="C931" i="2"/>
  <c r="A932" i="2" l="1"/>
  <c r="B931" i="2"/>
  <c r="H931" i="2" s="1"/>
  <c r="L931" i="2" s="1"/>
  <c r="J763" i="2"/>
  <c r="K763" i="2" s="1"/>
  <c r="I763" i="2" s="1"/>
  <c r="G930" i="2"/>
  <c r="E930" i="2"/>
  <c r="F930" i="2" s="1"/>
  <c r="D931" i="2"/>
  <c r="M931" i="2" s="1"/>
  <c r="C932" i="2"/>
  <c r="A933" i="2" l="1"/>
  <c r="B932" i="2"/>
  <c r="H932" i="2" s="1"/>
  <c r="L932" i="2" s="1"/>
  <c r="J764" i="2"/>
  <c r="K764" i="2"/>
  <c r="G931" i="2"/>
  <c r="E931" i="2"/>
  <c r="F931" i="2" s="1"/>
  <c r="D932" i="2"/>
  <c r="M932" i="2" s="1"/>
  <c r="C933" i="2"/>
  <c r="A934" i="2" l="1"/>
  <c r="B933" i="2"/>
  <c r="H933" i="2" s="1"/>
  <c r="L933" i="2" s="1"/>
  <c r="I764" i="2"/>
  <c r="J765" i="2" s="1"/>
  <c r="K765" i="2" s="1"/>
  <c r="G932" i="2"/>
  <c r="E932" i="2"/>
  <c r="F932" i="2" s="1"/>
  <c r="D933" i="2"/>
  <c r="M933" i="2" s="1"/>
  <c r="C934" i="2"/>
  <c r="A935" i="2" l="1"/>
  <c r="B934" i="2"/>
  <c r="H934" i="2" s="1"/>
  <c r="L934" i="2" s="1"/>
  <c r="I765" i="2"/>
  <c r="J766" i="2"/>
  <c r="G933" i="2"/>
  <c r="E933" i="2"/>
  <c r="F933" i="2" s="1"/>
  <c r="D934" i="2"/>
  <c r="M934" i="2" s="1"/>
  <c r="C935" i="2"/>
  <c r="A936" i="2" l="1"/>
  <c r="B935" i="2"/>
  <c r="H935" i="2" s="1"/>
  <c r="L935" i="2" s="1"/>
  <c r="K766" i="2"/>
  <c r="I766" i="2" s="1"/>
  <c r="G934" i="2"/>
  <c r="E934" i="2"/>
  <c r="F934" i="2" s="1"/>
  <c r="D935" i="2"/>
  <c r="M935" i="2" s="1"/>
  <c r="C936" i="2"/>
  <c r="A937" i="2" l="1"/>
  <c r="B936" i="2"/>
  <c r="H936" i="2" s="1"/>
  <c r="L936" i="2" s="1"/>
  <c r="J767" i="2"/>
  <c r="G935" i="2"/>
  <c r="E935" i="2"/>
  <c r="F935" i="2" s="1"/>
  <c r="D936" i="2"/>
  <c r="M936" i="2" s="1"/>
  <c r="C937" i="2"/>
  <c r="A938" i="2" l="1"/>
  <c r="B937" i="2"/>
  <c r="H937" i="2" s="1"/>
  <c r="L937" i="2" s="1"/>
  <c r="K767" i="2"/>
  <c r="I767" i="2" s="1"/>
  <c r="G936" i="2"/>
  <c r="E936" i="2"/>
  <c r="F936" i="2" s="1"/>
  <c r="D937" i="2"/>
  <c r="M937" i="2" s="1"/>
  <c r="C938" i="2"/>
  <c r="A939" i="2" l="1"/>
  <c r="B938" i="2"/>
  <c r="H938" i="2" s="1"/>
  <c r="L938" i="2" s="1"/>
  <c r="J768" i="2"/>
  <c r="K768" i="2" s="1"/>
  <c r="I768" i="2" s="1"/>
  <c r="G937" i="2"/>
  <c r="E937" i="2"/>
  <c r="F937" i="2" s="1"/>
  <c r="D938" i="2"/>
  <c r="M938" i="2" s="1"/>
  <c r="C939" i="2"/>
  <c r="A940" i="2" l="1"/>
  <c r="B939" i="2"/>
  <c r="H939" i="2" s="1"/>
  <c r="L939" i="2" s="1"/>
  <c r="J769" i="2"/>
  <c r="G938" i="2"/>
  <c r="E938" i="2"/>
  <c r="F938" i="2" s="1"/>
  <c r="D939" i="2"/>
  <c r="M939" i="2" s="1"/>
  <c r="C940" i="2"/>
  <c r="A941" i="2" l="1"/>
  <c r="B940" i="2"/>
  <c r="H940" i="2" s="1"/>
  <c r="L940" i="2" s="1"/>
  <c r="K769" i="2"/>
  <c r="I769" i="2" s="1"/>
  <c r="G939" i="2"/>
  <c r="E939" i="2"/>
  <c r="F939" i="2" s="1"/>
  <c r="D940" i="2"/>
  <c r="M940" i="2" s="1"/>
  <c r="C941" i="2"/>
  <c r="A942" i="2" l="1"/>
  <c r="B941" i="2"/>
  <c r="H941" i="2" s="1"/>
  <c r="L941" i="2" s="1"/>
  <c r="J770" i="2"/>
  <c r="G940" i="2"/>
  <c r="E940" i="2"/>
  <c r="F940" i="2" s="1"/>
  <c r="D941" i="2"/>
  <c r="M941" i="2" s="1"/>
  <c r="C942" i="2"/>
  <c r="A943" i="2" l="1"/>
  <c r="B942" i="2"/>
  <c r="H942" i="2" s="1"/>
  <c r="L942" i="2" s="1"/>
  <c r="K770" i="2"/>
  <c r="I770" i="2" s="1"/>
  <c r="G941" i="2"/>
  <c r="E941" i="2"/>
  <c r="F941" i="2" s="1"/>
  <c r="D942" i="2"/>
  <c r="M942" i="2" s="1"/>
  <c r="C943" i="2"/>
  <c r="A944" i="2" l="1"/>
  <c r="B943" i="2"/>
  <c r="H943" i="2" s="1"/>
  <c r="L943" i="2" s="1"/>
  <c r="J771" i="2"/>
  <c r="G942" i="2"/>
  <c r="E942" i="2"/>
  <c r="F942" i="2" s="1"/>
  <c r="D943" i="2"/>
  <c r="M943" i="2" s="1"/>
  <c r="C944" i="2"/>
  <c r="A945" i="2" l="1"/>
  <c r="B944" i="2"/>
  <c r="H944" i="2" s="1"/>
  <c r="L944" i="2" s="1"/>
  <c r="K771" i="2"/>
  <c r="I771" i="2" s="1"/>
  <c r="G943" i="2"/>
  <c r="E943" i="2"/>
  <c r="F943" i="2" s="1"/>
  <c r="D944" i="2"/>
  <c r="M944" i="2" s="1"/>
  <c r="C945" i="2"/>
  <c r="A946" i="2" l="1"/>
  <c r="B945" i="2"/>
  <c r="H945" i="2" s="1"/>
  <c r="L945" i="2" s="1"/>
  <c r="J772" i="2"/>
  <c r="K772" i="2" s="1"/>
  <c r="I772" i="2" s="1"/>
  <c r="G944" i="2"/>
  <c r="E944" i="2"/>
  <c r="F944" i="2" s="1"/>
  <c r="D945" i="2"/>
  <c r="M945" i="2" s="1"/>
  <c r="C946" i="2"/>
  <c r="A947" i="2" l="1"/>
  <c r="B946" i="2"/>
  <c r="H946" i="2" s="1"/>
  <c r="L946" i="2" s="1"/>
  <c r="J773" i="2"/>
  <c r="G945" i="2"/>
  <c r="E945" i="2"/>
  <c r="F945" i="2" s="1"/>
  <c r="D946" i="2"/>
  <c r="M946" i="2" s="1"/>
  <c r="C947" i="2"/>
  <c r="A948" i="2" l="1"/>
  <c r="B947" i="2"/>
  <c r="H947" i="2" s="1"/>
  <c r="L947" i="2" s="1"/>
  <c r="K773" i="2"/>
  <c r="I773" i="2" s="1"/>
  <c r="G946" i="2"/>
  <c r="E946" i="2"/>
  <c r="F946" i="2" s="1"/>
  <c r="D947" i="2"/>
  <c r="M947" i="2" s="1"/>
  <c r="C948" i="2"/>
  <c r="A949" i="2" l="1"/>
  <c r="B948" i="2"/>
  <c r="H948" i="2" s="1"/>
  <c r="L948" i="2" s="1"/>
  <c r="J774" i="2"/>
  <c r="K774" i="2" s="1"/>
  <c r="I774" i="2" s="1"/>
  <c r="G947" i="2"/>
  <c r="E947" i="2"/>
  <c r="F947" i="2" s="1"/>
  <c r="D948" i="2"/>
  <c r="M948" i="2" s="1"/>
  <c r="C949" i="2"/>
  <c r="A950" i="2" l="1"/>
  <c r="B949" i="2"/>
  <c r="H949" i="2" s="1"/>
  <c r="L949" i="2" s="1"/>
  <c r="J775" i="2"/>
  <c r="K775" i="2"/>
  <c r="G948" i="2"/>
  <c r="E948" i="2"/>
  <c r="F948" i="2" s="1"/>
  <c r="D949" i="2"/>
  <c r="M949" i="2" s="1"/>
  <c r="C950" i="2"/>
  <c r="A951" i="2" l="1"/>
  <c r="B950" i="2"/>
  <c r="H950" i="2" s="1"/>
  <c r="L950" i="2" s="1"/>
  <c r="I775" i="2"/>
  <c r="J776" i="2"/>
  <c r="G949" i="2"/>
  <c r="E949" i="2"/>
  <c r="F949" i="2" s="1"/>
  <c r="D950" i="2"/>
  <c r="M950" i="2" s="1"/>
  <c r="C951" i="2"/>
  <c r="A952" i="2" l="1"/>
  <c r="B951" i="2"/>
  <c r="H951" i="2" s="1"/>
  <c r="L951" i="2" s="1"/>
  <c r="K776" i="2"/>
  <c r="I776" i="2"/>
  <c r="J777" i="2"/>
  <c r="G950" i="2"/>
  <c r="E950" i="2"/>
  <c r="F950" i="2" s="1"/>
  <c r="D951" i="2"/>
  <c r="M951" i="2" s="1"/>
  <c r="C952" i="2"/>
  <c r="A953" i="2" l="1"/>
  <c r="B952" i="2"/>
  <c r="H952" i="2" s="1"/>
  <c r="L952" i="2" s="1"/>
  <c r="K777" i="2"/>
  <c r="I777" i="2" s="1"/>
  <c r="J778" i="2" s="1"/>
  <c r="G951" i="2"/>
  <c r="E951" i="2"/>
  <c r="F951" i="2" s="1"/>
  <c r="D952" i="2"/>
  <c r="M952" i="2" s="1"/>
  <c r="C953" i="2"/>
  <c r="A954" i="2" l="1"/>
  <c r="B953" i="2"/>
  <c r="H953" i="2" s="1"/>
  <c r="L953" i="2" s="1"/>
  <c r="K778" i="2"/>
  <c r="I778" i="2" s="1"/>
  <c r="G952" i="2"/>
  <c r="E952" i="2"/>
  <c r="F952" i="2" s="1"/>
  <c r="D953" i="2"/>
  <c r="M953" i="2" s="1"/>
  <c r="C954" i="2"/>
  <c r="A955" i="2" l="1"/>
  <c r="B954" i="2"/>
  <c r="H954" i="2" s="1"/>
  <c r="L954" i="2" s="1"/>
  <c r="J779" i="2"/>
  <c r="K779" i="2" s="1"/>
  <c r="I779" i="2" s="1"/>
  <c r="G953" i="2"/>
  <c r="E953" i="2"/>
  <c r="F953" i="2" s="1"/>
  <c r="D954" i="2"/>
  <c r="M954" i="2" s="1"/>
  <c r="C955" i="2"/>
  <c r="A956" i="2" l="1"/>
  <c r="B955" i="2"/>
  <c r="H955" i="2" s="1"/>
  <c r="L955" i="2" s="1"/>
  <c r="J780" i="2"/>
  <c r="K780" i="2" s="1"/>
  <c r="G954" i="2"/>
  <c r="E954" i="2"/>
  <c r="F954" i="2" s="1"/>
  <c r="D955" i="2"/>
  <c r="M955" i="2" s="1"/>
  <c r="C956" i="2"/>
  <c r="A957" i="2" l="1"/>
  <c r="B956" i="2"/>
  <c r="H956" i="2" s="1"/>
  <c r="L956" i="2" s="1"/>
  <c r="I780" i="2"/>
  <c r="G955" i="2"/>
  <c r="E955" i="2"/>
  <c r="F955" i="2" s="1"/>
  <c r="D956" i="2"/>
  <c r="M956" i="2" s="1"/>
  <c r="C957" i="2"/>
  <c r="A958" i="2" l="1"/>
  <c r="B957" i="2"/>
  <c r="H957" i="2" s="1"/>
  <c r="L957" i="2" s="1"/>
  <c r="J781" i="2"/>
  <c r="K781" i="2" s="1"/>
  <c r="I781" i="2" s="1"/>
  <c r="G956" i="2"/>
  <c r="E956" i="2"/>
  <c r="F956" i="2" s="1"/>
  <c r="D957" i="2"/>
  <c r="M957" i="2" s="1"/>
  <c r="C958" i="2"/>
  <c r="A959" i="2" l="1"/>
  <c r="B958" i="2"/>
  <c r="H958" i="2" s="1"/>
  <c r="L958" i="2" s="1"/>
  <c r="J782" i="2"/>
  <c r="K782" i="2" s="1"/>
  <c r="I782" i="2" s="1"/>
  <c r="J783" i="2" s="1"/>
  <c r="G957" i="2"/>
  <c r="E957" i="2"/>
  <c r="F957" i="2" s="1"/>
  <c r="D958" i="2"/>
  <c r="M958" i="2" s="1"/>
  <c r="C959" i="2"/>
  <c r="A960" i="2" l="1"/>
  <c r="B959" i="2"/>
  <c r="H959" i="2" s="1"/>
  <c r="L959" i="2" s="1"/>
  <c r="K783" i="2"/>
  <c r="I783" i="2" s="1"/>
  <c r="G958" i="2"/>
  <c r="E958" i="2"/>
  <c r="F958" i="2" s="1"/>
  <c r="D959" i="2"/>
  <c r="M959" i="2" s="1"/>
  <c r="C960" i="2"/>
  <c r="A961" i="2" l="1"/>
  <c r="B960" i="2"/>
  <c r="H960" i="2" s="1"/>
  <c r="L960" i="2" s="1"/>
  <c r="J784" i="2"/>
  <c r="K784" i="2" s="1"/>
  <c r="I784" i="2" s="1"/>
  <c r="G959" i="2"/>
  <c r="E959" i="2"/>
  <c r="F959" i="2" s="1"/>
  <c r="D960" i="2"/>
  <c r="M960" i="2" s="1"/>
  <c r="C961" i="2"/>
  <c r="A962" i="2" l="1"/>
  <c r="B961" i="2"/>
  <c r="H961" i="2" s="1"/>
  <c r="L961" i="2" s="1"/>
  <c r="J785" i="2"/>
  <c r="G960" i="2"/>
  <c r="E960" i="2"/>
  <c r="F960" i="2" s="1"/>
  <c r="D961" i="2"/>
  <c r="M961" i="2" s="1"/>
  <c r="C962" i="2"/>
  <c r="A963" i="2" l="1"/>
  <c r="B962" i="2"/>
  <c r="H962" i="2" s="1"/>
  <c r="L962" i="2" s="1"/>
  <c r="K785" i="2"/>
  <c r="I785" i="2"/>
  <c r="G961" i="2"/>
  <c r="E961" i="2"/>
  <c r="F961" i="2" s="1"/>
  <c r="D962" i="2"/>
  <c r="M962" i="2" s="1"/>
  <c r="C963" i="2"/>
  <c r="A964" i="2" l="1"/>
  <c r="B963" i="2"/>
  <c r="H963" i="2" s="1"/>
  <c r="L963" i="2" s="1"/>
  <c r="J786" i="2"/>
  <c r="G962" i="2"/>
  <c r="E962" i="2"/>
  <c r="F962" i="2" s="1"/>
  <c r="D963" i="2"/>
  <c r="M963" i="2" s="1"/>
  <c r="C964" i="2"/>
  <c r="A965" i="2" l="1"/>
  <c r="B964" i="2"/>
  <c r="H964" i="2" s="1"/>
  <c r="L964" i="2" s="1"/>
  <c r="K786" i="2"/>
  <c r="I786" i="2" s="1"/>
  <c r="G963" i="2"/>
  <c r="E963" i="2"/>
  <c r="F963" i="2" s="1"/>
  <c r="D964" i="2"/>
  <c r="M964" i="2" s="1"/>
  <c r="C965" i="2"/>
  <c r="A966" i="2" l="1"/>
  <c r="B965" i="2"/>
  <c r="H965" i="2" s="1"/>
  <c r="L965" i="2" s="1"/>
  <c r="J787" i="2"/>
  <c r="G964" i="2"/>
  <c r="E964" i="2"/>
  <c r="F964" i="2" s="1"/>
  <c r="D965" i="2"/>
  <c r="M965" i="2" s="1"/>
  <c r="C966" i="2"/>
  <c r="A967" i="2" l="1"/>
  <c r="B966" i="2"/>
  <c r="H966" i="2" s="1"/>
  <c r="L966" i="2" s="1"/>
  <c r="K787" i="2"/>
  <c r="I787" i="2" s="1"/>
  <c r="G965" i="2"/>
  <c r="E965" i="2"/>
  <c r="F965" i="2" s="1"/>
  <c r="D966" i="2"/>
  <c r="M966" i="2" s="1"/>
  <c r="C967" i="2"/>
  <c r="A968" i="2" l="1"/>
  <c r="B967" i="2"/>
  <c r="H967" i="2" s="1"/>
  <c r="L967" i="2" s="1"/>
  <c r="J788" i="2"/>
  <c r="K788" i="2" s="1"/>
  <c r="I788" i="2" s="1"/>
  <c r="G966" i="2"/>
  <c r="E966" i="2"/>
  <c r="F966" i="2" s="1"/>
  <c r="D967" i="2"/>
  <c r="M967" i="2" s="1"/>
  <c r="C968" i="2"/>
  <c r="A969" i="2" l="1"/>
  <c r="B968" i="2"/>
  <c r="H968" i="2" s="1"/>
  <c r="L968" i="2" s="1"/>
  <c r="J789" i="2"/>
  <c r="K789" i="2"/>
  <c r="G967" i="2"/>
  <c r="E967" i="2"/>
  <c r="F967" i="2" s="1"/>
  <c r="D968" i="2"/>
  <c r="M968" i="2" s="1"/>
  <c r="C969" i="2"/>
  <c r="A970" i="2" l="1"/>
  <c r="B969" i="2"/>
  <c r="H969" i="2" s="1"/>
  <c r="L969" i="2" s="1"/>
  <c r="I789" i="2"/>
  <c r="J790" i="2"/>
  <c r="G968" i="2"/>
  <c r="E968" i="2"/>
  <c r="F968" i="2" s="1"/>
  <c r="D969" i="2"/>
  <c r="M969" i="2" s="1"/>
  <c r="C970" i="2"/>
  <c r="A971" i="2" l="1"/>
  <c r="B970" i="2"/>
  <c r="H970" i="2" s="1"/>
  <c r="L970" i="2" s="1"/>
  <c r="K790" i="2"/>
  <c r="I790" i="2" s="1"/>
  <c r="G969" i="2"/>
  <c r="E969" i="2"/>
  <c r="F969" i="2" s="1"/>
  <c r="D970" i="2"/>
  <c r="M970" i="2" s="1"/>
  <c r="C971" i="2"/>
  <c r="A972" i="2" l="1"/>
  <c r="B971" i="2"/>
  <c r="H971" i="2" s="1"/>
  <c r="L971" i="2" s="1"/>
  <c r="J791" i="2"/>
  <c r="K791" i="2" s="1"/>
  <c r="I791" i="2" s="1"/>
  <c r="G970" i="2"/>
  <c r="E970" i="2"/>
  <c r="F970" i="2" s="1"/>
  <c r="D971" i="2"/>
  <c r="M971" i="2" s="1"/>
  <c r="C972" i="2"/>
  <c r="A973" i="2" l="1"/>
  <c r="B972" i="2"/>
  <c r="H972" i="2" s="1"/>
  <c r="L972" i="2" s="1"/>
  <c r="J792" i="2"/>
  <c r="G971" i="2"/>
  <c r="E971" i="2"/>
  <c r="F971" i="2" s="1"/>
  <c r="D972" i="2"/>
  <c r="M972" i="2" s="1"/>
  <c r="C973" i="2"/>
  <c r="A974" i="2" l="1"/>
  <c r="B973" i="2"/>
  <c r="H973" i="2" s="1"/>
  <c r="L973" i="2" s="1"/>
  <c r="K792" i="2"/>
  <c r="I792" i="2" s="1"/>
  <c r="G972" i="2"/>
  <c r="E972" i="2"/>
  <c r="F972" i="2" s="1"/>
  <c r="D973" i="2"/>
  <c r="M973" i="2" s="1"/>
  <c r="C974" i="2"/>
  <c r="A975" i="2" l="1"/>
  <c r="B974" i="2"/>
  <c r="H974" i="2" s="1"/>
  <c r="L974" i="2" s="1"/>
  <c r="J793" i="2"/>
  <c r="K793" i="2" s="1"/>
  <c r="I793" i="2" s="1"/>
  <c r="G973" i="2"/>
  <c r="E973" i="2"/>
  <c r="F973" i="2" s="1"/>
  <c r="D974" i="2"/>
  <c r="M974" i="2" s="1"/>
  <c r="C975" i="2"/>
  <c r="A976" i="2" l="1"/>
  <c r="B975" i="2"/>
  <c r="H975" i="2" s="1"/>
  <c r="L975" i="2" s="1"/>
  <c r="J794" i="2"/>
  <c r="K794" i="2"/>
  <c r="G974" i="2"/>
  <c r="E974" i="2"/>
  <c r="F974" i="2" s="1"/>
  <c r="D975" i="2"/>
  <c r="M975" i="2" s="1"/>
  <c r="C976" i="2"/>
  <c r="A977" i="2" l="1"/>
  <c r="B976" i="2"/>
  <c r="H976" i="2" s="1"/>
  <c r="L976" i="2" s="1"/>
  <c r="I794" i="2"/>
  <c r="J795" i="2"/>
  <c r="K795" i="2"/>
  <c r="G975" i="2"/>
  <c r="E975" i="2"/>
  <c r="F975" i="2" s="1"/>
  <c r="D976" i="2"/>
  <c r="M976" i="2" s="1"/>
  <c r="C977" i="2"/>
  <c r="A978" i="2" l="1"/>
  <c r="B977" i="2"/>
  <c r="H977" i="2" s="1"/>
  <c r="L977" i="2" s="1"/>
  <c r="I795" i="2"/>
  <c r="J796" i="2"/>
  <c r="G976" i="2"/>
  <c r="E976" i="2"/>
  <c r="F976" i="2" s="1"/>
  <c r="D977" i="2"/>
  <c r="M977" i="2" s="1"/>
  <c r="C978" i="2"/>
  <c r="A979" i="2" l="1"/>
  <c r="B978" i="2"/>
  <c r="H978" i="2" s="1"/>
  <c r="L978" i="2" s="1"/>
  <c r="K796" i="2"/>
  <c r="I796" i="2" s="1"/>
  <c r="G977" i="2"/>
  <c r="E977" i="2"/>
  <c r="F977" i="2" s="1"/>
  <c r="D978" i="2"/>
  <c r="M978" i="2" s="1"/>
  <c r="C979" i="2"/>
  <c r="A980" i="2" l="1"/>
  <c r="B979" i="2"/>
  <c r="H979" i="2" s="1"/>
  <c r="L979" i="2" s="1"/>
  <c r="J797" i="2"/>
  <c r="K797" i="2"/>
  <c r="I797" i="2"/>
  <c r="J798" i="2" s="1"/>
  <c r="G978" i="2"/>
  <c r="E978" i="2"/>
  <c r="F978" i="2" s="1"/>
  <c r="D979" i="2"/>
  <c r="M979" i="2" s="1"/>
  <c r="C980" i="2"/>
  <c r="A981" i="2" l="1"/>
  <c r="B980" i="2"/>
  <c r="H980" i="2" s="1"/>
  <c r="L980" i="2" s="1"/>
  <c r="K798" i="2"/>
  <c r="I798" i="2" s="1"/>
  <c r="G979" i="2"/>
  <c r="E979" i="2"/>
  <c r="F979" i="2" s="1"/>
  <c r="D980" i="2"/>
  <c r="M980" i="2" s="1"/>
  <c r="C981" i="2"/>
  <c r="A982" i="2" l="1"/>
  <c r="B981" i="2"/>
  <c r="H981" i="2" s="1"/>
  <c r="L981" i="2" s="1"/>
  <c r="J799" i="2"/>
  <c r="K799" i="2" s="1"/>
  <c r="I799" i="2" s="1"/>
  <c r="G980" i="2"/>
  <c r="E980" i="2"/>
  <c r="F980" i="2" s="1"/>
  <c r="D981" i="2"/>
  <c r="M981" i="2" s="1"/>
  <c r="C982" i="2"/>
  <c r="A983" i="2" l="1"/>
  <c r="B982" i="2"/>
  <c r="H982" i="2" s="1"/>
  <c r="L982" i="2" s="1"/>
  <c r="J800" i="2"/>
  <c r="K800" i="2" s="1"/>
  <c r="G981" i="2"/>
  <c r="E981" i="2"/>
  <c r="F981" i="2" s="1"/>
  <c r="D982" i="2"/>
  <c r="M982" i="2" s="1"/>
  <c r="C983" i="2"/>
  <c r="A984" i="2" l="1"/>
  <c r="B983" i="2"/>
  <c r="H983" i="2" s="1"/>
  <c r="L983" i="2" s="1"/>
  <c r="I800" i="2"/>
  <c r="G982" i="2"/>
  <c r="E982" i="2"/>
  <c r="F982" i="2" s="1"/>
  <c r="D983" i="2"/>
  <c r="M983" i="2" s="1"/>
  <c r="C984" i="2"/>
  <c r="A985" i="2" l="1"/>
  <c r="B984" i="2"/>
  <c r="H984" i="2" s="1"/>
  <c r="L984" i="2" s="1"/>
  <c r="J801" i="2"/>
  <c r="K801" i="2"/>
  <c r="I801" i="2"/>
  <c r="J802" i="2" s="1"/>
  <c r="G983" i="2"/>
  <c r="E983" i="2"/>
  <c r="F983" i="2" s="1"/>
  <c r="D984" i="2"/>
  <c r="M984" i="2" s="1"/>
  <c r="C985" i="2"/>
  <c r="A986" i="2" l="1"/>
  <c r="B985" i="2"/>
  <c r="H985" i="2" s="1"/>
  <c r="L985" i="2" s="1"/>
  <c r="K802" i="2"/>
  <c r="I802" i="2" s="1"/>
  <c r="G984" i="2"/>
  <c r="E984" i="2"/>
  <c r="F984" i="2" s="1"/>
  <c r="D985" i="2"/>
  <c r="M985" i="2" s="1"/>
  <c r="C986" i="2"/>
  <c r="A987" i="2" l="1"/>
  <c r="B986" i="2"/>
  <c r="H986" i="2" s="1"/>
  <c r="L986" i="2" s="1"/>
  <c r="J803" i="2"/>
  <c r="K803" i="2" s="1"/>
  <c r="I803" i="2" s="1"/>
  <c r="G985" i="2"/>
  <c r="E985" i="2"/>
  <c r="F985" i="2" s="1"/>
  <c r="D986" i="2"/>
  <c r="M986" i="2" s="1"/>
  <c r="C987" i="2"/>
  <c r="A988" i="2" l="1"/>
  <c r="B987" i="2"/>
  <c r="H987" i="2" s="1"/>
  <c r="L987" i="2" s="1"/>
  <c r="J804" i="2"/>
  <c r="G986" i="2"/>
  <c r="E986" i="2"/>
  <c r="F986" i="2" s="1"/>
  <c r="D987" i="2"/>
  <c r="M987" i="2" s="1"/>
  <c r="C988" i="2"/>
  <c r="A989" i="2" l="1"/>
  <c r="B988" i="2"/>
  <c r="H988" i="2" s="1"/>
  <c r="L988" i="2" s="1"/>
  <c r="K804" i="2"/>
  <c r="I804" i="2" s="1"/>
  <c r="G987" i="2"/>
  <c r="E987" i="2"/>
  <c r="F987" i="2" s="1"/>
  <c r="D988" i="2"/>
  <c r="M988" i="2" s="1"/>
  <c r="C989" i="2"/>
  <c r="A990" i="2" l="1"/>
  <c r="B989" i="2"/>
  <c r="H989" i="2" s="1"/>
  <c r="L989" i="2" s="1"/>
  <c r="J805" i="2"/>
  <c r="K805" i="2" s="1"/>
  <c r="I805" i="2" s="1"/>
  <c r="G988" i="2"/>
  <c r="E988" i="2"/>
  <c r="F988" i="2" s="1"/>
  <c r="D989" i="2"/>
  <c r="M989" i="2" s="1"/>
  <c r="C990" i="2"/>
  <c r="A991" i="2" l="1"/>
  <c r="B990" i="2"/>
  <c r="H990" i="2" s="1"/>
  <c r="L990" i="2" s="1"/>
  <c r="J806" i="2"/>
  <c r="K806" i="2" s="1"/>
  <c r="G989" i="2"/>
  <c r="E989" i="2"/>
  <c r="F989" i="2" s="1"/>
  <c r="D990" i="2"/>
  <c r="M990" i="2" s="1"/>
  <c r="C991" i="2"/>
  <c r="A992" i="2" l="1"/>
  <c r="B991" i="2"/>
  <c r="H991" i="2" s="1"/>
  <c r="L991" i="2" s="1"/>
  <c r="I806" i="2"/>
  <c r="J807" i="2"/>
  <c r="G990" i="2"/>
  <c r="E990" i="2"/>
  <c r="F990" i="2" s="1"/>
  <c r="D991" i="2"/>
  <c r="M991" i="2" s="1"/>
  <c r="C992" i="2"/>
  <c r="A993" i="2" l="1"/>
  <c r="B992" i="2"/>
  <c r="H992" i="2" s="1"/>
  <c r="L992" i="2" s="1"/>
  <c r="K807" i="2"/>
  <c r="I807" i="2" s="1"/>
  <c r="J808" i="2"/>
  <c r="G991" i="2"/>
  <c r="E991" i="2"/>
  <c r="F991" i="2" s="1"/>
  <c r="D992" i="2"/>
  <c r="M992" i="2" s="1"/>
  <c r="C993" i="2"/>
  <c r="A994" i="2" l="1"/>
  <c r="B993" i="2"/>
  <c r="H993" i="2" s="1"/>
  <c r="L993" i="2" s="1"/>
  <c r="K808" i="2"/>
  <c r="I808" i="2" s="1"/>
  <c r="G992" i="2"/>
  <c r="E992" i="2"/>
  <c r="F992" i="2" s="1"/>
  <c r="D993" i="2"/>
  <c r="M993" i="2" s="1"/>
  <c r="C994" i="2"/>
  <c r="A995" i="2" l="1"/>
  <c r="B994" i="2"/>
  <c r="H994" i="2" s="1"/>
  <c r="L994" i="2" s="1"/>
  <c r="J809" i="2"/>
  <c r="K809" i="2" s="1"/>
  <c r="I809" i="2" s="1"/>
  <c r="G993" i="2"/>
  <c r="E993" i="2"/>
  <c r="F993" i="2" s="1"/>
  <c r="D994" i="2"/>
  <c r="M994" i="2" s="1"/>
  <c r="C995" i="2"/>
  <c r="A996" i="2" l="1"/>
  <c r="B995" i="2"/>
  <c r="H995" i="2" s="1"/>
  <c r="L995" i="2" s="1"/>
  <c r="J810" i="2"/>
  <c r="G994" i="2"/>
  <c r="E994" i="2"/>
  <c r="F994" i="2" s="1"/>
  <c r="D995" i="2"/>
  <c r="M995" i="2" s="1"/>
  <c r="C996" i="2"/>
  <c r="A997" i="2" l="1"/>
  <c r="B996" i="2"/>
  <c r="H996" i="2" s="1"/>
  <c r="L996" i="2" s="1"/>
  <c r="K810" i="2"/>
  <c r="I810" i="2" s="1"/>
  <c r="G995" i="2"/>
  <c r="E995" i="2"/>
  <c r="F995" i="2" s="1"/>
  <c r="D996" i="2"/>
  <c r="M996" i="2" s="1"/>
  <c r="C997" i="2"/>
  <c r="A998" i="2" l="1"/>
  <c r="B997" i="2"/>
  <c r="H997" i="2" s="1"/>
  <c r="L997" i="2" s="1"/>
  <c r="J811" i="2"/>
  <c r="K811" i="2" s="1"/>
  <c r="I811" i="2" s="1"/>
  <c r="G996" i="2"/>
  <c r="E996" i="2"/>
  <c r="F996" i="2" s="1"/>
  <c r="D997" i="2"/>
  <c r="M997" i="2" s="1"/>
  <c r="C998" i="2"/>
  <c r="A999" i="2" l="1"/>
  <c r="B998" i="2"/>
  <c r="H998" i="2" s="1"/>
  <c r="L998" i="2" s="1"/>
  <c r="J812" i="2"/>
  <c r="G997" i="2"/>
  <c r="E997" i="2"/>
  <c r="F997" i="2" s="1"/>
  <c r="D998" i="2"/>
  <c r="M998" i="2" s="1"/>
  <c r="C999" i="2"/>
  <c r="A1000" i="2" l="1"/>
  <c r="B999" i="2"/>
  <c r="H999" i="2" s="1"/>
  <c r="L999" i="2" s="1"/>
  <c r="K812" i="2"/>
  <c r="I812" i="2" s="1"/>
  <c r="G998" i="2"/>
  <c r="E998" i="2"/>
  <c r="F998" i="2" s="1"/>
  <c r="D999" i="2"/>
  <c r="M999" i="2" s="1"/>
  <c r="C1000" i="2"/>
  <c r="A1001" i="2" l="1"/>
  <c r="B1000" i="2"/>
  <c r="H1000" i="2" s="1"/>
  <c r="L1000" i="2" s="1"/>
  <c r="J813" i="2"/>
  <c r="G999" i="2"/>
  <c r="E999" i="2"/>
  <c r="F999" i="2" s="1"/>
  <c r="D1000" i="2"/>
  <c r="M1000" i="2" s="1"/>
  <c r="C1001" i="2"/>
  <c r="A1002" i="2" l="1"/>
  <c r="B1001" i="2"/>
  <c r="H1001" i="2" s="1"/>
  <c r="L1001" i="2" s="1"/>
  <c r="K813" i="2"/>
  <c r="I813" i="2"/>
  <c r="G1000" i="2"/>
  <c r="E1000" i="2"/>
  <c r="F1000" i="2" s="1"/>
  <c r="D1001" i="2"/>
  <c r="M1001" i="2" s="1"/>
  <c r="C1002" i="2"/>
  <c r="A1003" i="2" l="1"/>
  <c r="B1002" i="2"/>
  <c r="H1002" i="2" s="1"/>
  <c r="L1002" i="2" s="1"/>
  <c r="J814" i="2"/>
  <c r="K814" i="2" s="1"/>
  <c r="I814" i="2" s="1"/>
  <c r="G1001" i="2"/>
  <c r="E1001" i="2"/>
  <c r="F1001" i="2" s="1"/>
  <c r="D1002" i="2"/>
  <c r="M1002" i="2" s="1"/>
  <c r="C1003" i="2"/>
  <c r="A1004" i="2" l="1"/>
  <c r="B1003" i="2"/>
  <c r="H1003" i="2" s="1"/>
  <c r="L1003" i="2" s="1"/>
  <c r="J815" i="2"/>
  <c r="K815" i="2" s="1"/>
  <c r="I815" i="2" s="1"/>
  <c r="G1002" i="2"/>
  <c r="E1002" i="2"/>
  <c r="F1002" i="2" s="1"/>
  <c r="D1003" i="2"/>
  <c r="M1003" i="2" s="1"/>
  <c r="C1004" i="2"/>
  <c r="A1005" i="2" l="1"/>
  <c r="B1004" i="2"/>
  <c r="H1004" i="2" s="1"/>
  <c r="L1004" i="2" s="1"/>
  <c r="J816" i="2"/>
  <c r="K816" i="2" s="1"/>
  <c r="G1003" i="2"/>
  <c r="E1003" i="2"/>
  <c r="F1003" i="2" s="1"/>
  <c r="D1004" i="2"/>
  <c r="M1004" i="2" s="1"/>
  <c r="C1005" i="2"/>
  <c r="A1006" i="2" l="1"/>
  <c r="B1005" i="2"/>
  <c r="H1005" i="2" s="1"/>
  <c r="L1005" i="2" s="1"/>
  <c r="I816" i="2"/>
  <c r="G1004" i="2"/>
  <c r="E1004" i="2"/>
  <c r="F1004" i="2" s="1"/>
  <c r="D1005" i="2"/>
  <c r="M1005" i="2" s="1"/>
  <c r="C1006" i="2"/>
  <c r="A1007" i="2" l="1"/>
  <c r="B1006" i="2"/>
  <c r="H1006" i="2" s="1"/>
  <c r="L1006" i="2" s="1"/>
  <c r="J817" i="2"/>
  <c r="K817" i="2"/>
  <c r="G1005" i="2"/>
  <c r="E1005" i="2"/>
  <c r="F1005" i="2" s="1"/>
  <c r="D1006" i="2"/>
  <c r="M1006" i="2" s="1"/>
  <c r="C1007" i="2"/>
  <c r="A1008" i="2" l="1"/>
  <c r="B1007" i="2"/>
  <c r="H1007" i="2" s="1"/>
  <c r="L1007" i="2" s="1"/>
  <c r="I817" i="2"/>
  <c r="G1006" i="2"/>
  <c r="E1006" i="2"/>
  <c r="F1006" i="2" s="1"/>
  <c r="D1007" i="2"/>
  <c r="M1007" i="2" s="1"/>
  <c r="C1008" i="2"/>
  <c r="A1009" i="2" l="1"/>
  <c r="B1008" i="2"/>
  <c r="H1008" i="2" s="1"/>
  <c r="L1008" i="2" s="1"/>
  <c r="J818" i="2"/>
  <c r="K818" i="2" s="1"/>
  <c r="I818" i="2" s="1"/>
  <c r="G1007" i="2"/>
  <c r="E1007" i="2"/>
  <c r="F1007" i="2" s="1"/>
  <c r="D1008" i="2"/>
  <c r="M1008" i="2" s="1"/>
  <c r="C1009" i="2"/>
  <c r="A1010" i="2" l="1"/>
  <c r="B1009" i="2"/>
  <c r="H1009" i="2" s="1"/>
  <c r="L1009" i="2" s="1"/>
  <c r="J819" i="2"/>
  <c r="K819" i="2" s="1"/>
  <c r="I819" i="2" s="1"/>
  <c r="J820" i="2" s="1"/>
  <c r="K820" i="2" s="1"/>
  <c r="I820" i="2" s="1"/>
  <c r="G1008" i="2"/>
  <c r="E1008" i="2"/>
  <c r="F1008" i="2" s="1"/>
  <c r="D1009" i="2"/>
  <c r="M1009" i="2" s="1"/>
  <c r="C1010" i="2"/>
  <c r="A1011" i="2" l="1"/>
  <c r="B1010" i="2"/>
  <c r="H1010" i="2" s="1"/>
  <c r="L1010" i="2" s="1"/>
  <c r="J821" i="2"/>
  <c r="G1009" i="2"/>
  <c r="E1009" i="2"/>
  <c r="F1009" i="2" s="1"/>
  <c r="D1010" i="2"/>
  <c r="M1010" i="2" s="1"/>
  <c r="C1011" i="2"/>
  <c r="A1012" i="2" l="1"/>
  <c r="B1011" i="2"/>
  <c r="H1011" i="2" s="1"/>
  <c r="L1011" i="2" s="1"/>
  <c r="K821" i="2"/>
  <c r="I821" i="2" s="1"/>
  <c r="G1010" i="2"/>
  <c r="E1010" i="2"/>
  <c r="F1010" i="2" s="1"/>
  <c r="D1011" i="2"/>
  <c r="M1011" i="2" s="1"/>
  <c r="C1012" i="2"/>
  <c r="A1013" i="2" l="1"/>
  <c r="B1012" i="2"/>
  <c r="H1012" i="2" s="1"/>
  <c r="L1012" i="2" s="1"/>
  <c r="J822" i="2"/>
  <c r="K822" i="2" s="1"/>
  <c r="I822" i="2" s="1"/>
  <c r="G1011" i="2"/>
  <c r="E1011" i="2"/>
  <c r="F1011" i="2" s="1"/>
  <c r="D1012" i="2"/>
  <c r="M1012" i="2" s="1"/>
  <c r="C1013" i="2"/>
  <c r="A1014" i="2" l="1"/>
  <c r="B1013" i="2"/>
  <c r="H1013" i="2" s="1"/>
  <c r="L1013" i="2" s="1"/>
  <c r="J823" i="2"/>
  <c r="K823" i="2" s="1"/>
  <c r="G1012" i="2"/>
  <c r="E1012" i="2"/>
  <c r="F1012" i="2" s="1"/>
  <c r="D1013" i="2"/>
  <c r="M1013" i="2" s="1"/>
  <c r="C1014" i="2"/>
  <c r="A1015" i="2" l="1"/>
  <c r="B1014" i="2"/>
  <c r="H1014" i="2" s="1"/>
  <c r="L1014" i="2" s="1"/>
  <c r="I823" i="2"/>
  <c r="J824" i="2"/>
  <c r="G1013" i="2"/>
  <c r="E1013" i="2"/>
  <c r="F1013" i="2" s="1"/>
  <c r="D1014" i="2"/>
  <c r="M1014" i="2" s="1"/>
  <c r="C1015" i="2"/>
  <c r="A1016" i="2" l="1"/>
  <c r="B1015" i="2"/>
  <c r="H1015" i="2" s="1"/>
  <c r="L1015" i="2" s="1"/>
  <c r="K824" i="2"/>
  <c r="I824" i="2" s="1"/>
  <c r="G1014" i="2"/>
  <c r="E1014" i="2"/>
  <c r="F1014" i="2" s="1"/>
  <c r="D1015" i="2"/>
  <c r="M1015" i="2" s="1"/>
  <c r="C1016" i="2"/>
  <c r="A1017" i="2" l="1"/>
  <c r="B1016" i="2"/>
  <c r="H1016" i="2" s="1"/>
  <c r="L1016" i="2" s="1"/>
  <c r="J825" i="2"/>
  <c r="G1015" i="2"/>
  <c r="E1015" i="2"/>
  <c r="F1015" i="2" s="1"/>
  <c r="D1016" i="2"/>
  <c r="M1016" i="2" s="1"/>
  <c r="C1017" i="2"/>
  <c r="A1018" i="2" l="1"/>
  <c r="B1017" i="2"/>
  <c r="H1017" i="2" s="1"/>
  <c r="L1017" i="2" s="1"/>
  <c r="K825" i="2"/>
  <c r="I825" i="2" s="1"/>
  <c r="G1016" i="2"/>
  <c r="E1016" i="2"/>
  <c r="F1016" i="2" s="1"/>
  <c r="D1017" i="2"/>
  <c r="M1017" i="2" s="1"/>
  <c r="C1018" i="2"/>
  <c r="A1019" i="2" l="1"/>
  <c r="B1018" i="2"/>
  <c r="H1018" i="2" s="1"/>
  <c r="L1018" i="2" s="1"/>
  <c r="J826" i="2"/>
  <c r="K826" i="2" s="1"/>
  <c r="I826" i="2" s="1"/>
  <c r="G1017" i="2"/>
  <c r="E1017" i="2"/>
  <c r="F1017" i="2" s="1"/>
  <c r="D1018" i="2"/>
  <c r="M1018" i="2" s="1"/>
  <c r="C1019" i="2"/>
  <c r="A1020" i="2" l="1"/>
  <c r="B1019" i="2"/>
  <c r="H1019" i="2" s="1"/>
  <c r="L1019" i="2" s="1"/>
  <c r="J827" i="2"/>
  <c r="K827" i="2" s="1"/>
  <c r="I827" i="2" s="1"/>
  <c r="G1018" i="2"/>
  <c r="E1018" i="2"/>
  <c r="F1018" i="2" s="1"/>
  <c r="D1019" i="2"/>
  <c r="M1019" i="2" s="1"/>
  <c r="C1020" i="2"/>
  <c r="A1021" i="2" l="1"/>
  <c r="B1020" i="2"/>
  <c r="H1020" i="2" s="1"/>
  <c r="L1020" i="2" s="1"/>
  <c r="J828" i="2"/>
  <c r="K828" i="2" s="1"/>
  <c r="G1019" i="2"/>
  <c r="E1019" i="2"/>
  <c r="F1019" i="2" s="1"/>
  <c r="D1020" i="2"/>
  <c r="M1020" i="2" s="1"/>
  <c r="C1021" i="2"/>
  <c r="A1022" i="2" l="1"/>
  <c r="B1021" i="2"/>
  <c r="H1021" i="2" s="1"/>
  <c r="L1021" i="2" s="1"/>
  <c r="I828" i="2"/>
  <c r="J829" i="2" s="1"/>
  <c r="G1020" i="2"/>
  <c r="E1020" i="2"/>
  <c r="F1020" i="2" s="1"/>
  <c r="D1021" i="2"/>
  <c r="M1021" i="2" s="1"/>
  <c r="C1022" i="2"/>
  <c r="A1023" i="2" l="1"/>
  <c r="B1022" i="2"/>
  <c r="H1022" i="2" s="1"/>
  <c r="L1022" i="2" s="1"/>
  <c r="K829" i="2"/>
  <c r="I829" i="2" s="1"/>
  <c r="J830" i="2" s="1"/>
  <c r="G1021" i="2"/>
  <c r="E1021" i="2"/>
  <c r="F1021" i="2" s="1"/>
  <c r="D1022" i="2"/>
  <c r="M1022" i="2" s="1"/>
  <c r="C1023" i="2"/>
  <c r="A1024" i="2" l="1"/>
  <c r="B1023" i="2"/>
  <c r="H1023" i="2" s="1"/>
  <c r="L1023" i="2" s="1"/>
  <c r="K830" i="2"/>
  <c r="I830" i="2" s="1"/>
  <c r="G1022" i="2"/>
  <c r="E1022" i="2"/>
  <c r="F1022" i="2" s="1"/>
  <c r="D1023" i="2"/>
  <c r="M1023" i="2" s="1"/>
  <c r="C1024" i="2"/>
  <c r="A1025" i="2" l="1"/>
  <c r="B1024" i="2"/>
  <c r="H1024" i="2" s="1"/>
  <c r="L1024" i="2" s="1"/>
  <c r="J831" i="2"/>
  <c r="K831" i="2" s="1"/>
  <c r="I831" i="2" s="1"/>
  <c r="G1023" i="2"/>
  <c r="E1023" i="2"/>
  <c r="F1023" i="2" s="1"/>
  <c r="D1024" i="2"/>
  <c r="M1024" i="2" s="1"/>
  <c r="C1025" i="2"/>
  <c r="A1026" i="2" l="1"/>
  <c r="B1025" i="2"/>
  <c r="H1025" i="2" s="1"/>
  <c r="L1025" i="2" s="1"/>
  <c r="J832" i="2"/>
  <c r="K832" i="2"/>
  <c r="G1024" i="2"/>
  <c r="E1024" i="2"/>
  <c r="F1024" i="2" s="1"/>
  <c r="D1025" i="2"/>
  <c r="M1025" i="2" s="1"/>
  <c r="C1026" i="2"/>
  <c r="A1027" i="2" l="1"/>
  <c r="B1026" i="2"/>
  <c r="H1026" i="2" s="1"/>
  <c r="L1026" i="2" s="1"/>
  <c r="I832" i="2"/>
  <c r="G1025" i="2"/>
  <c r="E1025" i="2"/>
  <c r="F1025" i="2" s="1"/>
  <c r="D1026" i="2"/>
  <c r="M1026" i="2" s="1"/>
  <c r="C1027" i="2"/>
  <c r="A1028" i="2" l="1"/>
  <c r="B1027" i="2"/>
  <c r="H1027" i="2" s="1"/>
  <c r="L1027" i="2" s="1"/>
  <c r="J833" i="2"/>
  <c r="K833" i="2" s="1"/>
  <c r="G1026" i="2"/>
  <c r="E1026" i="2"/>
  <c r="F1026" i="2" s="1"/>
  <c r="D1027" i="2"/>
  <c r="M1027" i="2" s="1"/>
  <c r="C1028" i="2"/>
  <c r="A1029" i="2" l="1"/>
  <c r="B1028" i="2"/>
  <c r="H1028" i="2" s="1"/>
  <c r="L1028" i="2" s="1"/>
  <c r="I833" i="2"/>
  <c r="G1027" i="2"/>
  <c r="E1027" i="2"/>
  <c r="F1027" i="2" s="1"/>
  <c r="D1028" i="2"/>
  <c r="M1028" i="2" s="1"/>
  <c r="C1029" i="2"/>
  <c r="A1030" i="2" l="1"/>
  <c r="B1029" i="2"/>
  <c r="H1029" i="2" s="1"/>
  <c r="L1029" i="2" s="1"/>
  <c r="J834" i="2"/>
  <c r="K834" i="2"/>
  <c r="G1028" i="2"/>
  <c r="E1028" i="2"/>
  <c r="F1028" i="2" s="1"/>
  <c r="D1029" i="2"/>
  <c r="M1029" i="2" s="1"/>
  <c r="C1030" i="2"/>
  <c r="A1031" i="2" l="1"/>
  <c r="B1030" i="2"/>
  <c r="H1030" i="2" s="1"/>
  <c r="L1030" i="2" s="1"/>
  <c r="I834" i="2"/>
  <c r="G1029" i="2"/>
  <c r="E1029" i="2"/>
  <c r="F1029" i="2" s="1"/>
  <c r="D1030" i="2"/>
  <c r="M1030" i="2" s="1"/>
  <c r="C1031" i="2"/>
  <c r="A1032" i="2" l="1"/>
  <c r="B1031" i="2"/>
  <c r="H1031" i="2" s="1"/>
  <c r="L1031" i="2" s="1"/>
  <c r="J835" i="2"/>
  <c r="K835" i="2" s="1"/>
  <c r="I835" i="2" s="1"/>
  <c r="G1030" i="2"/>
  <c r="E1030" i="2"/>
  <c r="F1030" i="2" s="1"/>
  <c r="D1031" i="2"/>
  <c r="M1031" i="2" s="1"/>
  <c r="C1032" i="2"/>
  <c r="A1033" i="2" l="1"/>
  <c r="B1032" i="2"/>
  <c r="H1032" i="2" s="1"/>
  <c r="L1032" i="2" s="1"/>
  <c r="J836" i="2"/>
  <c r="G1031" i="2"/>
  <c r="E1031" i="2"/>
  <c r="F1031" i="2" s="1"/>
  <c r="D1032" i="2"/>
  <c r="M1032" i="2" s="1"/>
  <c r="C1033" i="2"/>
  <c r="A1034" i="2" l="1"/>
  <c r="B1033" i="2"/>
  <c r="H1033" i="2" s="1"/>
  <c r="L1033" i="2" s="1"/>
  <c r="K836" i="2"/>
  <c r="I836" i="2"/>
  <c r="J837" i="2" s="1"/>
  <c r="K837" i="2" s="1"/>
  <c r="I837" i="2" s="1"/>
  <c r="G1032" i="2"/>
  <c r="E1032" i="2"/>
  <c r="F1032" i="2" s="1"/>
  <c r="D1033" i="2"/>
  <c r="M1033" i="2" s="1"/>
  <c r="C1034" i="2"/>
  <c r="A1035" i="2" l="1"/>
  <c r="B1034" i="2"/>
  <c r="H1034" i="2" s="1"/>
  <c r="L1034" i="2" s="1"/>
  <c r="J838" i="2"/>
  <c r="K838" i="2" s="1"/>
  <c r="I838" i="2" s="1"/>
  <c r="G1033" i="2"/>
  <c r="E1033" i="2"/>
  <c r="F1033" i="2" s="1"/>
  <c r="D1034" i="2"/>
  <c r="M1034" i="2" s="1"/>
  <c r="C1035" i="2"/>
  <c r="A1036" i="2" l="1"/>
  <c r="B1035" i="2"/>
  <c r="H1035" i="2" s="1"/>
  <c r="L1035" i="2" s="1"/>
  <c r="J839" i="2"/>
  <c r="K839" i="2" s="1"/>
  <c r="G1034" i="2"/>
  <c r="E1034" i="2"/>
  <c r="F1034" i="2" s="1"/>
  <c r="D1035" i="2"/>
  <c r="M1035" i="2" s="1"/>
  <c r="C1036" i="2"/>
  <c r="A1037" i="2" l="1"/>
  <c r="B1036" i="2"/>
  <c r="H1036" i="2" s="1"/>
  <c r="L1036" i="2" s="1"/>
  <c r="I839" i="2"/>
  <c r="G1035" i="2"/>
  <c r="E1035" i="2"/>
  <c r="F1035" i="2" s="1"/>
  <c r="D1036" i="2"/>
  <c r="M1036" i="2" s="1"/>
  <c r="C1037" i="2"/>
  <c r="A1038" i="2" l="1"/>
  <c r="B1037" i="2"/>
  <c r="H1037" i="2" s="1"/>
  <c r="L1037" i="2" s="1"/>
  <c r="J840" i="2"/>
  <c r="K840" i="2" s="1"/>
  <c r="I840" i="2" s="1"/>
  <c r="G1036" i="2"/>
  <c r="E1036" i="2"/>
  <c r="F1036" i="2" s="1"/>
  <c r="D1037" i="2"/>
  <c r="M1037" i="2" s="1"/>
  <c r="C1038" i="2"/>
  <c r="A1039" i="2" l="1"/>
  <c r="B1038" i="2"/>
  <c r="H1038" i="2" s="1"/>
  <c r="L1038" i="2" s="1"/>
  <c r="J841" i="2"/>
  <c r="K841" i="2" s="1"/>
  <c r="I841" i="2" s="1"/>
  <c r="J842" i="2" s="1"/>
  <c r="K842" i="2" s="1"/>
  <c r="I842" i="2" s="1"/>
  <c r="G1037" i="2"/>
  <c r="E1037" i="2"/>
  <c r="F1037" i="2" s="1"/>
  <c r="D1038" i="2"/>
  <c r="M1038" i="2" s="1"/>
  <c r="C1039" i="2"/>
  <c r="A1040" i="2" l="1"/>
  <c r="B1039" i="2"/>
  <c r="H1039" i="2" s="1"/>
  <c r="L1039" i="2" s="1"/>
  <c r="J843" i="2"/>
  <c r="K843" i="2" s="1"/>
  <c r="I843" i="2" s="1"/>
  <c r="G1038" i="2"/>
  <c r="E1038" i="2"/>
  <c r="F1038" i="2" s="1"/>
  <c r="D1039" i="2"/>
  <c r="M1039" i="2" s="1"/>
  <c r="C1040" i="2"/>
  <c r="A1041" i="2" l="1"/>
  <c r="B1040" i="2"/>
  <c r="H1040" i="2" s="1"/>
  <c r="L1040" i="2" s="1"/>
  <c r="J844" i="2"/>
  <c r="K844" i="2" s="1"/>
  <c r="I844" i="2" s="1"/>
  <c r="J845" i="2" s="1"/>
  <c r="G1039" i="2"/>
  <c r="E1039" i="2"/>
  <c r="F1039" i="2" s="1"/>
  <c r="D1040" i="2"/>
  <c r="M1040" i="2" s="1"/>
  <c r="C1041" i="2"/>
  <c r="A1042" i="2" l="1"/>
  <c r="B1041" i="2"/>
  <c r="H1041" i="2" s="1"/>
  <c r="L1041" i="2" s="1"/>
  <c r="K845" i="2"/>
  <c r="I845" i="2" s="1"/>
  <c r="G1040" i="2"/>
  <c r="E1040" i="2"/>
  <c r="F1040" i="2" s="1"/>
  <c r="D1041" i="2"/>
  <c r="M1041" i="2" s="1"/>
  <c r="C1042" i="2"/>
  <c r="A1043" i="2" l="1"/>
  <c r="B1042" i="2"/>
  <c r="H1042" i="2" s="1"/>
  <c r="L1042" i="2" s="1"/>
  <c r="J846" i="2"/>
  <c r="K846" i="2" s="1"/>
  <c r="I846" i="2" s="1"/>
  <c r="G1041" i="2"/>
  <c r="E1041" i="2"/>
  <c r="F1041" i="2" s="1"/>
  <c r="D1042" i="2"/>
  <c r="M1042" i="2" s="1"/>
  <c r="C1043" i="2"/>
  <c r="A1044" i="2" l="1"/>
  <c r="B1043" i="2"/>
  <c r="H1043" i="2" s="1"/>
  <c r="L1043" i="2" s="1"/>
  <c r="J847" i="2"/>
  <c r="G1042" i="2"/>
  <c r="E1042" i="2"/>
  <c r="F1042" i="2" s="1"/>
  <c r="D1043" i="2"/>
  <c r="M1043" i="2" s="1"/>
  <c r="C1044" i="2"/>
  <c r="A1045" i="2" l="1"/>
  <c r="B1044" i="2"/>
  <c r="H1044" i="2" s="1"/>
  <c r="L1044" i="2" s="1"/>
  <c r="K847" i="2"/>
  <c r="I847" i="2" s="1"/>
  <c r="G1043" i="2"/>
  <c r="E1043" i="2"/>
  <c r="F1043" i="2" s="1"/>
  <c r="D1044" i="2"/>
  <c r="M1044" i="2" s="1"/>
  <c r="C1045" i="2"/>
  <c r="A1046" i="2" l="1"/>
  <c r="B1045" i="2"/>
  <c r="H1045" i="2" s="1"/>
  <c r="L1045" i="2" s="1"/>
  <c r="J848" i="2"/>
  <c r="K848" i="2" s="1"/>
  <c r="I848" i="2" s="1"/>
  <c r="G1044" i="2"/>
  <c r="E1044" i="2"/>
  <c r="F1044" i="2" s="1"/>
  <c r="D1045" i="2"/>
  <c r="M1045" i="2" s="1"/>
  <c r="C1046" i="2"/>
  <c r="A1047" i="2" l="1"/>
  <c r="B1046" i="2"/>
  <c r="H1046" i="2" s="1"/>
  <c r="L1046" i="2" s="1"/>
  <c r="J849" i="2"/>
  <c r="G1045" i="2"/>
  <c r="E1045" i="2"/>
  <c r="F1045" i="2" s="1"/>
  <c r="D1046" i="2"/>
  <c r="M1046" i="2" s="1"/>
  <c r="C1047" i="2"/>
  <c r="A1048" i="2" l="1"/>
  <c r="B1047" i="2"/>
  <c r="H1047" i="2" s="1"/>
  <c r="L1047" i="2" s="1"/>
  <c r="K849" i="2"/>
  <c r="I849" i="2" s="1"/>
  <c r="G1046" i="2"/>
  <c r="E1046" i="2"/>
  <c r="F1046" i="2" s="1"/>
  <c r="D1047" i="2"/>
  <c r="M1047" i="2" s="1"/>
  <c r="C1048" i="2"/>
  <c r="A1049" i="2" l="1"/>
  <c r="B1048" i="2"/>
  <c r="H1048" i="2" s="1"/>
  <c r="L1048" i="2" s="1"/>
  <c r="J850" i="2"/>
  <c r="G1047" i="2"/>
  <c r="E1047" i="2"/>
  <c r="F1047" i="2" s="1"/>
  <c r="D1048" i="2"/>
  <c r="M1048" i="2" s="1"/>
  <c r="C1049" i="2"/>
  <c r="A1050" i="2" l="1"/>
  <c r="B1049" i="2"/>
  <c r="H1049" i="2" s="1"/>
  <c r="L1049" i="2" s="1"/>
  <c r="K850" i="2"/>
  <c r="I850" i="2" s="1"/>
  <c r="G1048" i="2"/>
  <c r="E1048" i="2"/>
  <c r="F1048" i="2" s="1"/>
  <c r="D1049" i="2"/>
  <c r="M1049" i="2" s="1"/>
  <c r="C1050" i="2"/>
  <c r="A1051" i="2" l="1"/>
  <c r="B1050" i="2"/>
  <c r="H1050" i="2" s="1"/>
  <c r="L1050" i="2" s="1"/>
  <c r="J851" i="2"/>
  <c r="G1049" i="2"/>
  <c r="E1049" i="2"/>
  <c r="F1049" i="2" s="1"/>
  <c r="D1050" i="2"/>
  <c r="M1050" i="2" s="1"/>
  <c r="C1051" i="2"/>
  <c r="A1052" i="2" l="1"/>
  <c r="B1051" i="2"/>
  <c r="H1051" i="2" s="1"/>
  <c r="L1051" i="2" s="1"/>
  <c r="K851" i="2"/>
  <c r="I851" i="2"/>
  <c r="G1050" i="2"/>
  <c r="E1050" i="2"/>
  <c r="F1050" i="2" s="1"/>
  <c r="D1051" i="2"/>
  <c r="M1051" i="2" s="1"/>
  <c r="C1052" i="2"/>
  <c r="A1053" i="2" l="1"/>
  <c r="B1052" i="2"/>
  <c r="H1052" i="2" s="1"/>
  <c r="L1052" i="2" s="1"/>
  <c r="J852" i="2"/>
  <c r="G1051" i="2"/>
  <c r="E1051" i="2"/>
  <c r="F1051" i="2" s="1"/>
  <c r="D1052" i="2"/>
  <c r="M1052" i="2" s="1"/>
  <c r="C1053" i="2"/>
  <c r="A1054" i="2" l="1"/>
  <c r="B1053" i="2"/>
  <c r="H1053" i="2" s="1"/>
  <c r="L1053" i="2" s="1"/>
  <c r="K852" i="2"/>
  <c r="I852" i="2" s="1"/>
  <c r="G1052" i="2"/>
  <c r="E1052" i="2"/>
  <c r="F1052" i="2" s="1"/>
  <c r="D1053" i="2"/>
  <c r="M1053" i="2" s="1"/>
  <c r="C1054" i="2"/>
  <c r="A1055" i="2" l="1"/>
  <c r="B1054" i="2"/>
  <c r="H1054" i="2" s="1"/>
  <c r="L1054" i="2" s="1"/>
  <c r="J853" i="2"/>
  <c r="G1053" i="2"/>
  <c r="E1053" i="2"/>
  <c r="F1053" i="2" s="1"/>
  <c r="D1054" i="2"/>
  <c r="M1054" i="2" s="1"/>
  <c r="C1055" i="2"/>
  <c r="A1056" i="2" l="1"/>
  <c r="B1055" i="2"/>
  <c r="H1055" i="2" s="1"/>
  <c r="L1055" i="2" s="1"/>
  <c r="K853" i="2"/>
  <c r="I853" i="2" s="1"/>
  <c r="G1054" i="2"/>
  <c r="E1054" i="2"/>
  <c r="F1054" i="2" s="1"/>
  <c r="D1055" i="2"/>
  <c r="M1055" i="2" s="1"/>
  <c r="C1056" i="2"/>
  <c r="A1057" i="2" l="1"/>
  <c r="B1056" i="2"/>
  <c r="H1056" i="2" s="1"/>
  <c r="L1056" i="2" s="1"/>
  <c r="J854" i="2"/>
  <c r="G1055" i="2"/>
  <c r="E1055" i="2"/>
  <c r="F1055" i="2" s="1"/>
  <c r="D1056" i="2"/>
  <c r="M1056" i="2" s="1"/>
  <c r="C1057" i="2"/>
  <c r="A1058" i="2" l="1"/>
  <c r="B1057" i="2"/>
  <c r="H1057" i="2" s="1"/>
  <c r="L1057" i="2" s="1"/>
  <c r="K854" i="2"/>
  <c r="I854" i="2" s="1"/>
  <c r="G1056" i="2"/>
  <c r="E1056" i="2"/>
  <c r="F1056" i="2" s="1"/>
  <c r="D1057" i="2"/>
  <c r="M1057" i="2" s="1"/>
  <c r="C1058" i="2"/>
  <c r="A1059" i="2" l="1"/>
  <c r="B1058" i="2"/>
  <c r="H1058" i="2" s="1"/>
  <c r="L1058" i="2" s="1"/>
  <c r="J855" i="2"/>
  <c r="G1057" i="2"/>
  <c r="E1057" i="2"/>
  <c r="F1057" i="2" s="1"/>
  <c r="D1058" i="2"/>
  <c r="M1058" i="2" s="1"/>
  <c r="C1059" i="2"/>
  <c r="A1060" i="2" l="1"/>
  <c r="B1059" i="2"/>
  <c r="H1059" i="2" s="1"/>
  <c r="L1059" i="2" s="1"/>
  <c r="K855" i="2"/>
  <c r="I855" i="2" s="1"/>
  <c r="G1058" i="2"/>
  <c r="E1058" i="2"/>
  <c r="F1058" i="2" s="1"/>
  <c r="D1059" i="2"/>
  <c r="M1059" i="2" s="1"/>
  <c r="C1060" i="2"/>
  <c r="A1061" i="2" l="1"/>
  <c r="B1060" i="2"/>
  <c r="H1060" i="2" s="1"/>
  <c r="L1060" i="2" s="1"/>
  <c r="J856" i="2"/>
  <c r="G1059" i="2"/>
  <c r="E1059" i="2"/>
  <c r="F1059" i="2" s="1"/>
  <c r="D1060" i="2"/>
  <c r="M1060" i="2" s="1"/>
  <c r="C1061" i="2"/>
  <c r="A1062" i="2" l="1"/>
  <c r="B1061" i="2"/>
  <c r="H1061" i="2" s="1"/>
  <c r="L1061" i="2" s="1"/>
  <c r="K856" i="2"/>
  <c r="I856" i="2" s="1"/>
  <c r="G1060" i="2"/>
  <c r="E1060" i="2"/>
  <c r="F1060" i="2" s="1"/>
  <c r="D1061" i="2"/>
  <c r="M1061" i="2" s="1"/>
  <c r="C1062" i="2"/>
  <c r="A1063" i="2" l="1"/>
  <c r="B1062" i="2"/>
  <c r="H1062" i="2" s="1"/>
  <c r="L1062" i="2" s="1"/>
  <c r="J857" i="2"/>
  <c r="G1061" i="2"/>
  <c r="E1061" i="2"/>
  <c r="F1061" i="2" s="1"/>
  <c r="D1062" i="2"/>
  <c r="M1062" i="2" s="1"/>
  <c r="C1063" i="2"/>
  <c r="A1064" i="2" l="1"/>
  <c r="B1063" i="2"/>
  <c r="H1063" i="2" s="1"/>
  <c r="L1063" i="2" s="1"/>
  <c r="K857" i="2"/>
  <c r="I857" i="2" s="1"/>
  <c r="G1062" i="2"/>
  <c r="E1062" i="2"/>
  <c r="F1062" i="2" s="1"/>
  <c r="D1063" i="2"/>
  <c r="M1063" i="2" s="1"/>
  <c r="C1064" i="2"/>
  <c r="A1065" i="2" l="1"/>
  <c r="B1064" i="2"/>
  <c r="H1064" i="2" s="1"/>
  <c r="L1064" i="2" s="1"/>
  <c r="J858" i="2"/>
  <c r="G1063" i="2"/>
  <c r="E1063" i="2"/>
  <c r="F1063" i="2" s="1"/>
  <c r="D1064" i="2"/>
  <c r="M1064" i="2" s="1"/>
  <c r="C1065" i="2"/>
  <c r="A1066" i="2" l="1"/>
  <c r="B1065" i="2"/>
  <c r="H1065" i="2" s="1"/>
  <c r="L1065" i="2" s="1"/>
  <c r="K858" i="2"/>
  <c r="I858" i="2" s="1"/>
  <c r="G1064" i="2"/>
  <c r="E1064" i="2"/>
  <c r="F1064" i="2" s="1"/>
  <c r="D1065" i="2"/>
  <c r="M1065" i="2" s="1"/>
  <c r="C1066" i="2"/>
  <c r="A1067" i="2" l="1"/>
  <c r="B1066" i="2"/>
  <c r="H1066" i="2" s="1"/>
  <c r="L1066" i="2" s="1"/>
  <c r="J859" i="2"/>
  <c r="K859" i="2" s="1"/>
  <c r="I859" i="2" s="1"/>
  <c r="G1065" i="2"/>
  <c r="E1065" i="2"/>
  <c r="F1065" i="2" s="1"/>
  <c r="D1066" i="2"/>
  <c r="M1066" i="2" s="1"/>
  <c r="C1067" i="2"/>
  <c r="A1068" i="2" l="1"/>
  <c r="B1067" i="2"/>
  <c r="H1067" i="2" s="1"/>
  <c r="L1067" i="2" s="1"/>
  <c r="J860" i="2"/>
  <c r="G1066" i="2"/>
  <c r="E1066" i="2"/>
  <c r="F1066" i="2" s="1"/>
  <c r="D1067" i="2"/>
  <c r="M1067" i="2" s="1"/>
  <c r="C1068" i="2"/>
  <c r="A1069" i="2" l="1"/>
  <c r="B1068" i="2"/>
  <c r="H1068" i="2" s="1"/>
  <c r="L1068" i="2" s="1"/>
  <c r="K860" i="2"/>
  <c r="I860" i="2" s="1"/>
  <c r="G1067" i="2"/>
  <c r="E1067" i="2"/>
  <c r="F1067" i="2" s="1"/>
  <c r="D1068" i="2"/>
  <c r="M1068" i="2" s="1"/>
  <c r="C1069" i="2"/>
  <c r="A1070" i="2" l="1"/>
  <c r="B1069" i="2"/>
  <c r="H1069" i="2" s="1"/>
  <c r="L1069" i="2" s="1"/>
  <c r="J861" i="2"/>
  <c r="K861" i="2" s="1"/>
  <c r="I861" i="2" s="1"/>
  <c r="G1068" i="2"/>
  <c r="E1068" i="2"/>
  <c r="F1068" i="2" s="1"/>
  <c r="D1069" i="2"/>
  <c r="M1069" i="2" s="1"/>
  <c r="C1070" i="2"/>
  <c r="A1071" i="2" l="1"/>
  <c r="B1070" i="2"/>
  <c r="H1070" i="2" s="1"/>
  <c r="L1070" i="2" s="1"/>
  <c r="J862" i="2"/>
  <c r="G1069" i="2"/>
  <c r="E1069" i="2"/>
  <c r="F1069" i="2" s="1"/>
  <c r="D1070" i="2"/>
  <c r="M1070" i="2" s="1"/>
  <c r="C1071" i="2"/>
  <c r="A1072" i="2" l="1"/>
  <c r="B1071" i="2"/>
  <c r="H1071" i="2" s="1"/>
  <c r="L1071" i="2" s="1"/>
  <c r="K862" i="2"/>
  <c r="I862" i="2" s="1"/>
  <c r="G1070" i="2"/>
  <c r="E1070" i="2"/>
  <c r="F1070" i="2" s="1"/>
  <c r="D1071" i="2"/>
  <c r="M1071" i="2" s="1"/>
  <c r="C1072" i="2"/>
  <c r="A1073" i="2" l="1"/>
  <c r="B1072" i="2"/>
  <c r="H1072" i="2" s="1"/>
  <c r="L1072" i="2" s="1"/>
  <c r="J863" i="2"/>
  <c r="K863" i="2"/>
  <c r="I863" i="2" s="1"/>
  <c r="G1071" i="2"/>
  <c r="E1071" i="2"/>
  <c r="F1071" i="2" s="1"/>
  <c r="D1072" i="2"/>
  <c r="M1072" i="2" s="1"/>
  <c r="C1073" i="2"/>
  <c r="A1074" i="2" l="1"/>
  <c r="B1073" i="2"/>
  <c r="H1073" i="2" s="1"/>
  <c r="L1073" i="2" s="1"/>
  <c r="J864" i="2"/>
  <c r="K864" i="2" s="1"/>
  <c r="I864" i="2" s="1"/>
  <c r="G1072" i="2"/>
  <c r="E1072" i="2"/>
  <c r="F1072" i="2" s="1"/>
  <c r="D1073" i="2"/>
  <c r="M1073" i="2" s="1"/>
  <c r="C1074" i="2"/>
  <c r="A1075" i="2" l="1"/>
  <c r="B1074" i="2"/>
  <c r="H1074" i="2" s="1"/>
  <c r="L1074" i="2" s="1"/>
  <c r="J865" i="2"/>
  <c r="G1073" i="2"/>
  <c r="E1073" i="2"/>
  <c r="F1073" i="2" s="1"/>
  <c r="D1074" i="2"/>
  <c r="M1074" i="2" s="1"/>
  <c r="C1075" i="2"/>
  <c r="A1076" i="2" l="1"/>
  <c r="B1075" i="2"/>
  <c r="H1075" i="2" s="1"/>
  <c r="L1075" i="2" s="1"/>
  <c r="K865" i="2"/>
  <c r="I865" i="2"/>
  <c r="J866" i="2" s="1"/>
  <c r="G1074" i="2"/>
  <c r="E1074" i="2"/>
  <c r="F1074" i="2" s="1"/>
  <c r="D1075" i="2"/>
  <c r="M1075" i="2" s="1"/>
  <c r="C1076" i="2"/>
  <c r="A1077" i="2" l="1"/>
  <c r="B1076" i="2"/>
  <c r="H1076" i="2" s="1"/>
  <c r="L1076" i="2" s="1"/>
  <c r="K866" i="2"/>
  <c r="I866" i="2"/>
  <c r="J867" i="2"/>
  <c r="K867" i="2" s="1"/>
  <c r="G1075" i="2"/>
  <c r="E1075" i="2"/>
  <c r="F1075" i="2" s="1"/>
  <c r="D1076" i="2"/>
  <c r="M1076" i="2" s="1"/>
  <c r="C1077" i="2"/>
  <c r="A1078" i="2" l="1"/>
  <c r="B1077" i="2"/>
  <c r="H1077" i="2" s="1"/>
  <c r="L1077" i="2" s="1"/>
  <c r="I867" i="2"/>
  <c r="J868" i="2" s="1"/>
  <c r="G1076" i="2"/>
  <c r="E1076" i="2"/>
  <c r="F1076" i="2" s="1"/>
  <c r="D1077" i="2"/>
  <c r="M1077" i="2" s="1"/>
  <c r="C1078" i="2"/>
  <c r="A1079" i="2" l="1"/>
  <c r="B1078" i="2"/>
  <c r="H1078" i="2" s="1"/>
  <c r="L1078" i="2" s="1"/>
  <c r="K868" i="2"/>
  <c r="I868" i="2" s="1"/>
  <c r="G1077" i="2"/>
  <c r="E1077" i="2"/>
  <c r="F1077" i="2" s="1"/>
  <c r="D1078" i="2"/>
  <c r="M1078" i="2" s="1"/>
  <c r="C1079" i="2"/>
  <c r="A1080" i="2" l="1"/>
  <c r="B1079" i="2"/>
  <c r="H1079" i="2" s="1"/>
  <c r="L1079" i="2" s="1"/>
  <c r="J869" i="2"/>
  <c r="G1078" i="2"/>
  <c r="E1078" i="2"/>
  <c r="F1078" i="2" s="1"/>
  <c r="D1079" i="2"/>
  <c r="M1079" i="2" s="1"/>
  <c r="C1080" i="2"/>
  <c r="A1081" i="2" l="1"/>
  <c r="B1080" i="2"/>
  <c r="H1080" i="2" s="1"/>
  <c r="L1080" i="2" s="1"/>
  <c r="K869" i="2"/>
  <c r="I869" i="2" s="1"/>
  <c r="G1079" i="2"/>
  <c r="E1079" i="2"/>
  <c r="F1079" i="2" s="1"/>
  <c r="D1080" i="2"/>
  <c r="M1080" i="2" s="1"/>
  <c r="C1081" i="2"/>
  <c r="A1082" i="2" l="1"/>
  <c r="B1081" i="2"/>
  <c r="H1081" i="2" s="1"/>
  <c r="L1081" i="2" s="1"/>
  <c r="J870" i="2"/>
  <c r="K870" i="2" s="1"/>
  <c r="I870" i="2" s="1"/>
  <c r="G1080" i="2"/>
  <c r="E1080" i="2"/>
  <c r="F1080" i="2" s="1"/>
  <c r="D1081" i="2"/>
  <c r="M1081" i="2" s="1"/>
  <c r="C1082" i="2"/>
  <c r="A1083" i="2" l="1"/>
  <c r="B1082" i="2"/>
  <c r="H1082" i="2" s="1"/>
  <c r="L1082" i="2" s="1"/>
  <c r="J871" i="2"/>
  <c r="K871" i="2" s="1"/>
  <c r="I871" i="2" s="1"/>
  <c r="G1081" i="2"/>
  <c r="E1081" i="2"/>
  <c r="F1081" i="2" s="1"/>
  <c r="D1082" i="2"/>
  <c r="M1082" i="2" s="1"/>
  <c r="C1083" i="2"/>
  <c r="A1084" i="2" l="1"/>
  <c r="B1083" i="2"/>
  <c r="H1083" i="2" s="1"/>
  <c r="L1083" i="2" s="1"/>
  <c r="J872" i="2"/>
  <c r="K872" i="2"/>
  <c r="G1082" i="2"/>
  <c r="E1082" i="2"/>
  <c r="F1082" i="2" s="1"/>
  <c r="D1083" i="2"/>
  <c r="M1083" i="2" s="1"/>
  <c r="C1084" i="2"/>
  <c r="A1085" i="2" l="1"/>
  <c r="B1084" i="2"/>
  <c r="H1084" i="2" s="1"/>
  <c r="L1084" i="2" s="1"/>
  <c r="I872" i="2"/>
  <c r="J873" i="2" s="1"/>
  <c r="K873" i="2" s="1"/>
  <c r="I873" i="2" s="1"/>
  <c r="G1083" i="2"/>
  <c r="E1083" i="2"/>
  <c r="F1083" i="2" s="1"/>
  <c r="D1084" i="2"/>
  <c r="M1084" i="2" s="1"/>
  <c r="C1085" i="2"/>
  <c r="A1086" i="2" l="1"/>
  <c r="B1085" i="2"/>
  <c r="H1085" i="2" s="1"/>
  <c r="L1085" i="2" s="1"/>
  <c r="J874" i="2"/>
  <c r="K874" i="2" s="1"/>
  <c r="I874" i="2" s="1"/>
  <c r="G1084" i="2"/>
  <c r="E1084" i="2"/>
  <c r="F1084" i="2" s="1"/>
  <c r="D1085" i="2"/>
  <c r="M1085" i="2" s="1"/>
  <c r="C1086" i="2"/>
  <c r="A1087" i="2" l="1"/>
  <c r="B1086" i="2"/>
  <c r="H1086" i="2" s="1"/>
  <c r="L1086" i="2" s="1"/>
  <c r="J875" i="2"/>
  <c r="G1085" i="2"/>
  <c r="E1085" i="2"/>
  <c r="F1085" i="2" s="1"/>
  <c r="D1086" i="2"/>
  <c r="M1086" i="2" s="1"/>
  <c r="C1087" i="2"/>
  <c r="A1088" i="2" l="1"/>
  <c r="B1087" i="2"/>
  <c r="H1087" i="2" s="1"/>
  <c r="L1087" i="2" s="1"/>
  <c r="K875" i="2"/>
  <c r="I875" i="2" s="1"/>
  <c r="G1086" i="2"/>
  <c r="E1086" i="2"/>
  <c r="F1086" i="2" s="1"/>
  <c r="D1087" i="2"/>
  <c r="M1087" i="2" s="1"/>
  <c r="C1088" i="2"/>
  <c r="A1089" i="2" l="1"/>
  <c r="B1088" i="2"/>
  <c r="H1088" i="2" s="1"/>
  <c r="L1088" i="2" s="1"/>
  <c r="J876" i="2"/>
  <c r="K876" i="2"/>
  <c r="G1087" i="2"/>
  <c r="E1087" i="2"/>
  <c r="F1087" i="2" s="1"/>
  <c r="D1088" i="2"/>
  <c r="M1088" i="2" s="1"/>
  <c r="C1089" i="2"/>
  <c r="A1090" i="2" l="1"/>
  <c r="B1089" i="2"/>
  <c r="H1089" i="2" s="1"/>
  <c r="L1089" i="2" s="1"/>
  <c r="I876" i="2"/>
  <c r="J877" i="2"/>
  <c r="G1088" i="2"/>
  <c r="E1088" i="2"/>
  <c r="F1088" i="2" s="1"/>
  <c r="D1089" i="2"/>
  <c r="M1089" i="2" s="1"/>
  <c r="C1090" i="2"/>
  <c r="A1091" i="2" l="1"/>
  <c r="B1090" i="2"/>
  <c r="H1090" i="2" s="1"/>
  <c r="L1090" i="2" s="1"/>
  <c r="K877" i="2"/>
  <c r="I877" i="2" s="1"/>
  <c r="G1089" i="2"/>
  <c r="E1089" i="2"/>
  <c r="F1089" i="2" s="1"/>
  <c r="D1090" i="2"/>
  <c r="M1090" i="2" s="1"/>
  <c r="C1091" i="2"/>
  <c r="A1092" i="2" l="1"/>
  <c r="B1091" i="2"/>
  <c r="H1091" i="2" s="1"/>
  <c r="L1091" i="2" s="1"/>
  <c r="J878" i="2"/>
  <c r="G1090" i="2"/>
  <c r="E1090" i="2"/>
  <c r="F1090" i="2" s="1"/>
  <c r="D1091" i="2"/>
  <c r="M1091" i="2" s="1"/>
  <c r="C1092" i="2"/>
  <c r="A1093" i="2" l="1"/>
  <c r="B1092" i="2"/>
  <c r="H1092" i="2" s="1"/>
  <c r="L1092" i="2" s="1"/>
  <c r="K878" i="2"/>
  <c r="I878" i="2" s="1"/>
  <c r="G1091" i="2"/>
  <c r="E1091" i="2"/>
  <c r="F1091" i="2" s="1"/>
  <c r="D1092" i="2"/>
  <c r="M1092" i="2" s="1"/>
  <c r="C1093" i="2"/>
  <c r="A1094" i="2" l="1"/>
  <c r="B1093" i="2"/>
  <c r="H1093" i="2" s="1"/>
  <c r="L1093" i="2" s="1"/>
  <c r="J879" i="2"/>
  <c r="G1092" i="2"/>
  <c r="E1092" i="2"/>
  <c r="F1092" i="2" s="1"/>
  <c r="D1093" i="2"/>
  <c r="M1093" i="2" s="1"/>
  <c r="C1094" i="2"/>
  <c r="A1095" i="2" l="1"/>
  <c r="B1094" i="2"/>
  <c r="H1094" i="2" s="1"/>
  <c r="L1094" i="2" s="1"/>
  <c r="K879" i="2"/>
  <c r="I879" i="2" s="1"/>
  <c r="G1093" i="2"/>
  <c r="E1093" i="2"/>
  <c r="F1093" i="2" s="1"/>
  <c r="D1094" i="2"/>
  <c r="M1094" i="2" s="1"/>
  <c r="C1095" i="2"/>
  <c r="A1096" i="2" l="1"/>
  <c r="B1095" i="2"/>
  <c r="H1095" i="2" s="1"/>
  <c r="L1095" i="2" s="1"/>
  <c r="J880" i="2"/>
  <c r="G1094" i="2"/>
  <c r="E1094" i="2"/>
  <c r="F1094" i="2" s="1"/>
  <c r="D1095" i="2"/>
  <c r="M1095" i="2" s="1"/>
  <c r="C1096" i="2"/>
  <c r="A1097" i="2" l="1"/>
  <c r="B1096" i="2"/>
  <c r="H1096" i="2" s="1"/>
  <c r="L1096" i="2" s="1"/>
  <c r="K880" i="2"/>
  <c r="I880" i="2" s="1"/>
  <c r="G1095" i="2"/>
  <c r="E1095" i="2"/>
  <c r="F1095" i="2" s="1"/>
  <c r="D1096" i="2"/>
  <c r="M1096" i="2" s="1"/>
  <c r="C1097" i="2"/>
  <c r="A1098" i="2" l="1"/>
  <c r="B1097" i="2"/>
  <c r="H1097" i="2" s="1"/>
  <c r="L1097" i="2" s="1"/>
  <c r="J881" i="2"/>
  <c r="K881" i="2" s="1"/>
  <c r="I881" i="2" s="1"/>
  <c r="G1096" i="2"/>
  <c r="E1096" i="2"/>
  <c r="F1096" i="2" s="1"/>
  <c r="D1097" i="2"/>
  <c r="M1097" i="2" s="1"/>
  <c r="C1098" i="2"/>
  <c r="A1099" i="2" l="1"/>
  <c r="B1098" i="2"/>
  <c r="H1098" i="2" s="1"/>
  <c r="L1098" i="2" s="1"/>
  <c r="J882" i="2"/>
  <c r="K882" i="2" s="1"/>
  <c r="I882" i="2" s="1"/>
  <c r="G1097" i="2"/>
  <c r="E1097" i="2"/>
  <c r="F1097" i="2" s="1"/>
  <c r="D1098" i="2"/>
  <c r="M1098" i="2" s="1"/>
  <c r="C1099" i="2"/>
  <c r="A1100" i="2" l="1"/>
  <c r="B1099" i="2"/>
  <c r="H1099" i="2" s="1"/>
  <c r="L1099" i="2" s="1"/>
  <c r="J883" i="2"/>
  <c r="G1098" i="2"/>
  <c r="E1098" i="2"/>
  <c r="F1098" i="2" s="1"/>
  <c r="D1099" i="2"/>
  <c r="M1099" i="2" s="1"/>
  <c r="C1100" i="2"/>
  <c r="A1101" i="2" l="1"/>
  <c r="B1100" i="2"/>
  <c r="H1100" i="2" s="1"/>
  <c r="L1100" i="2" s="1"/>
  <c r="K883" i="2"/>
  <c r="I883" i="2" s="1"/>
  <c r="G1099" i="2"/>
  <c r="E1099" i="2"/>
  <c r="F1099" i="2" s="1"/>
  <c r="D1100" i="2"/>
  <c r="M1100" i="2" s="1"/>
  <c r="C1101" i="2"/>
  <c r="A1102" i="2" l="1"/>
  <c r="B1101" i="2"/>
  <c r="H1101" i="2" s="1"/>
  <c r="L1101" i="2" s="1"/>
  <c r="J884" i="2"/>
  <c r="G1100" i="2"/>
  <c r="E1100" i="2"/>
  <c r="F1100" i="2" s="1"/>
  <c r="D1101" i="2"/>
  <c r="M1101" i="2" s="1"/>
  <c r="C1102" i="2"/>
  <c r="A1103" i="2" l="1"/>
  <c r="B1102" i="2"/>
  <c r="H1102" i="2" s="1"/>
  <c r="L1102" i="2" s="1"/>
  <c r="K884" i="2"/>
  <c r="I884" i="2" s="1"/>
  <c r="G1101" i="2"/>
  <c r="E1101" i="2"/>
  <c r="F1101" i="2" s="1"/>
  <c r="D1102" i="2"/>
  <c r="M1102" i="2" s="1"/>
  <c r="C1103" i="2"/>
  <c r="A1104" i="2" l="1"/>
  <c r="B1103" i="2"/>
  <c r="H1103" i="2" s="1"/>
  <c r="L1103" i="2" s="1"/>
  <c r="J885" i="2"/>
  <c r="G1102" i="2"/>
  <c r="E1102" i="2"/>
  <c r="F1102" i="2" s="1"/>
  <c r="D1103" i="2"/>
  <c r="M1103" i="2" s="1"/>
  <c r="C1104" i="2"/>
  <c r="A1105" i="2" l="1"/>
  <c r="B1104" i="2"/>
  <c r="H1104" i="2" s="1"/>
  <c r="L1104" i="2" s="1"/>
  <c r="K885" i="2"/>
  <c r="I885" i="2" s="1"/>
  <c r="G1103" i="2"/>
  <c r="E1103" i="2"/>
  <c r="F1103" i="2" s="1"/>
  <c r="D1104" i="2"/>
  <c r="M1104" i="2" s="1"/>
  <c r="C1105" i="2"/>
  <c r="A1106" i="2" l="1"/>
  <c r="B1105" i="2"/>
  <c r="H1105" i="2" s="1"/>
  <c r="L1105" i="2" s="1"/>
  <c r="J886" i="2"/>
  <c r="G1104" i="2"/>
  <c r="E1104" i="2"/>
  <c r="F1104" i="2" s="1"/>
  <c r="D1105" i="2"/>
  <c r="M1105" i="2" s="1"/>
  <c r="C1106" i="2"/>
  <c r="A1107" i="2" l="1"/>
  <c r="B1106" i="2"/>
  <c r="H1106" i="2" s="1"/>
  <c r="L1106" i="2" s="1"/>
  <c r="K886" i="2"/>
  <c r="I886" i="2" s="1"/>
  <c r="G1105" i="2"/>
  <c r="E1105" i="2"/>
  <c r="F1105" i="2" s="1"/>
  <c r="D1106" i="2"/>
  <c r="M1106" i="2" s="1"/>
  <c r="C1107" i="2"/>
  <c r="A1108" i="2" l="1"/>
  <c r="B1107" i="2"/>
  <c r="H1107" i="2" s="1"/>
  <c r="L1107" i="2" s="1"/>
  <c r="J887" i="2"/>
  <c r="G1106" i="2"/>
  <c r="E1106" i="2"/>
  <c r="F1106" i="2" s="1"/>
  <c r="D1107" i="2"/>
  <c r="M1107" i="2" s="1"/>
  <c r="C1108" i="2"/>
  <c r="A1109" i="2" l="1"/>
  <c r="B1108" i="2"/>
  <c r="H1108" i="2" s="1"/>
  <c r="L1108" i="2" s="1"/>
  <c r="K887" i="2"/>
  <c r="I887" i="2" s="1"/>
  <c r="G1107" i="2"/>
  <c r="E1107" i="2"/>
  <c r="F1107" i="2" s="1"/>
  <c r="D1108" i="2"/>
  <c r="M1108" i="2" s="1"/>
  <c r="C1109" i="2"/>
  <c r="A1110" i="2" l="1"/>
  <c r="B1109" i="2"/>
  <c r="H1109" i="2" s="1"/>
  <c r="L1109" i="2" s="1"/>
  <c r="J888" i="2"/>
  <c r="K888" i="2" s="1"/>
  <c r="I888" i="2" s="1"/>
  <c r="G1108" i="2"/>
  <c r="E1108" i="2"/>
  <c r="F1108" i="2" s="1"/>
  <c r="D1109" i="2"/>
  <c r="M1109" i="2" s="1"/>
  <c r="C1110" i="2"/>
  <c r="A1111" i="2" l="1"/>
  <c r="B1110" i="2"/>
  <c r="H1110" i="2" s="1"/>
  <c r="L1110" i="2" s="1"/>
  <c r="J889" i="2"/>
  <c r="K889" i="2"/>
  <c r="G1109" i="2"/>
  <c r="E1109" i="2"/>
  <c r="F1109" i="2" s="1"/>
  <c r="D1110" i="2"/>
  <c r="M1110" i="2" s="1"/>
  <c r="C1111" i="2"/>
  <c r="A1112" i="2" l="1"/>
  <c r="B1111" i="2"/>
  <c r="H1111" i="2" s="1"/>
  <c r="L1111" i="2" s="1"/>
  <c r="I889" i="2"/>
  <c r="J890" i="2" s="1"/>
  <c r="G1110" i="2"/>
  <c r="E1110" i="2"/>
  <c r="F1110" i="2" s="1"/>
  <c r="D1111" i="2"/>
  <c r="M1111" i="2" s="1"/>
  <c r="C1112" i="2"/>
  <c r="A1113" i="2" l="1"/>
  <c r="B1112" i="2"/>
  <c r="H1112" i="2" s="1"/>
  <c r="L1112" i="2" s="1"/>
  <c r="K890" i="2"/>
  <c r="I890" i="2" s="1"/>
  <c r="G1111" i="2"/>
  <c r="E1111" i="2"/>
  <c r="F1111" i="2" s="1"/>
  <c r="D1112" i="2"/>
  <c r="M1112" i="2" s="1"/>
  <c r="C1113" i="2"/>
  <c r="A1114" i="2" l="1"/>
  <c r="B1113" i="2"/>
  <c r="H1113" i="2" s="1"/>
  <c r="L1113" i="2" s="1"/>
  <c r="J891" i="2"/>
  <c r="K891" i="2"/>
  <c r="G1112" i="2"/>
  <c r="E1112" i="2"/>
  <c r="F1112" i="2" s="1"/>
  <c r="D1113" i="2"/>
  <c r="M1113" i="2" s="1"/>
  <c r="C1114" i="2"/>
  <c r="A1115" i="2" l="1"/>
  <c r="B1114" i="2"/>
  <c r="H1114" i="2" s="1"/>
  <c r="L1114" i="2" s="1"/>
  <c r="I891" i="2"/>
  <c r="J892" i="2"/>
  <c r="K892" i="2"/>
  <c r="I892" i="2" s="1"/>
  <c r="G1113" i="2"/>
  <c r="E1113" i="2"/>
  <c r="F1113" i="2" s="1"/>
  <c r="D1114" i="2"/>
  <c r="M1114" i="2" s="1"/>
  <c r="C1115" i="2"/>
  <c r="A1116" i="2" l="1"/>
  <c r="B1115" i="2"/>
  <c r="H1115" i="2" s="1"/>
  <c r="L1115" i="2" s="1"/>
  <c r="J893" i="2"/>
  <c r="G1114" i="2"/>
  <c r="E1114" i="2"/>
  <c r="F1114" i="2" s="1"/>
  <c r="D1115" i="2"/>
  <c r="M1115" i="2" s="1"/>
  <c r="C1116" i="2"/>
  <c r="A1117" i="2" l="1"/>
  <c r="B1116" i="2"/>
  <c r="H1116" i="2" s="1"/>
  <c r="L1116" i="2" s="1"/>
  <c r="K893" i="2"/>
  <c r="I893" i="2" s="1"/>
  <c r="G1115" i="2"/>
  <c r="E1115" i="2"/>
  <c r="F1115" i="2" s="1"/>
  <c r="D1116" i="2"/>
  <c r="M1116" i="2" s="1"/>
  <c r="C1117" i="2"/>
  <c r="A1118" i="2" l="1"/>
  <c r="B1117" i="2"/>
  <c r="H1117" i="2" s="1"/>
  <c r="L1117" i="2" s="1"/>
  <c r="J894" i="2"/>
  <c r="K894" i="2" s="1"/>
  <c r="I894" i="2" s="1"/>
  <c r="G1116" i="2"/>
  <c r="E1116" i="2"/>
  <c r="F1116" i="2" s="1"/>
  <c r="D1117" i="2"/>
  <c r="M1117" i="2" s="1"/>
  <c r="C1118" i="2"/>
  <c r="A1119" i="2" l="1"/>
  <c r="B1118" i="2"/>
  <c r="H1118" i="2" s="1"/>
  <c r="L1118" i="2" s="1"/>
  <c r="J895" i="2"/>
  <c r="G1117" i="2"/>
  <c r="E1117" i="2"/>
  <c r="F1117" i="2" s="1"/>
  <c r="D1118" i="2"/>
  <c r="M1118" i="2" s="1"/>
  <c r="C1119" i="2"/>
  <c r="A1120" i="2" l="1"/>
  <c r="B1119" i="2"/>
  <c r="H1119" i="2" s="1"/>
  <c r="L1119" i="2" s="1"/>
  <c r="K895" i="2"/>
  <c r="I895" i="2" s="1"/>
  <c r="G1118" i="2"/>
  <c r="E1118" i="2"/>
  <c r="F1118" i="2" s="1"/>
  <c r="D1119" i="2"/>
  <c r="M1119" i="2" s="1"/>
  <c r="C1120" i="2"/>
  <c r="A1121" i="2" l="1"/>
  <c r="B1120" i="2"/>
  <c r="H1120" i="2" s="1"/>
  <c r="L1120" i="2" s="1"/>
  <c r="J896" i="2"/>
  <c r="G1119" i="2"/>
  <c r="E1119" i="2"/>
  <c r="F1119" i="2" s="1"/>
  <c r="D1120" i="2"/>
  <c r="M1120" i="2" s="1"/>
  <c r="C1121" i="2"/>
  <c r="A1122" i="2" l="1"/>
  <c r="B1121" i="2"/>
  <c r="H1121" i="2" s="1"/>
  <c r="L1121" i="2" s="1"/>
  <c r="K896" i="2"/>
  <c r="I896" i="2" s="1"/>
  <c r="G1120" i="2"/>
  <c r="E1120" i="2"/>
  <c r="F1120" i="2" s="1"/>
  <c r="D1121" i="2"/>
  <c r="M1121" i="2" s="1"/>
  <c r="C1122" i="2"/>
  <c r="A1123" i="2" l="1"/>
  <c r="B1122" i="2"/>
  <c r="H1122" i="2" s="1"/>
  <c r="L1122" i="2" s="1"/>
  <c r="J897" i="2"/>
  <c r="K897" i="2" s="1"/>
  <c r="I897" i="2" s="1"/>
  <c r="G1121" i="2"/>
  <c r="E1121" i="2"/>
  <c r="F1121" i="2" s="1"/>
  <c r="D1122" i="2"/>
  <c r="M1122" i="2" s="1"/>
  <c r="C1123" i="2"/>
  <c r="A1124" i="2" l="1"/>
  <c r="B1123" i="2"/>
  <c r="H1123" i="2" s="1"/>
  <c r="L1123" i="2" s="1"/>
  <c r="J898" i="2"/>
  <c r="K898" i="2" s="1"/>
  <c r="I898" i="2" s="1"/>
  <c r="G1122" i="2"/>
  <c r="E1122" i="2"/>
  <c r="F1122" i="2" s="1"/>
  <c r="D1123" i="2"/>
  <c r="M1123" i="2" s="1"/>
  <c r="C1124" i="2"/>
  <c r="A1125" i="2" l="1"/>
  <c r="B1124" i="2"/>
  <c r="H1124" i="2" s="1"/>
  <c r="L1124" i="2" s="1"/>
  <c r="J899" i="2"/>
  <c r="K899" i="2"/>
  <c r="I899" i="2" s="1"/>
  <c r="G1123" i="2"/>
  <c r="E1123" i="2"/>
  <c r="F1123" i="2" s="1"/>
  <c r="D1124" i="2"/>
  <c r="M1124" i="2" s="1"/>
  <c r="C1125" i="2"/>
  <c r="A1126" i="2" l="1"/>
  <c r="B1125" i="2"/>
  <c r="H1125" i="2" s="1"/>
  <c r="L1125" i="2" s="1"/>
  <c r="J900" i="2"/>
  <c r="G1124" i="2"/>
  <c r="E1124" i="2"/>
  <c r="F1124" i="2" s="1"/>
  <c r="D1125" i="2"/>
  <c r="M1125" i="2" s="1"/>
  <c r="C1126" i="2"/>
  <c r="A1127" i="2" l="1"/>
  <c r="B1126" i="2"/>
  <c r="H1126" i="2" s="1"/>
  <c r="L1126" i="2" s="1"/>
  <c r="K900" i="2"/>
  <c r="I900" i="2" s="1"/>
  <c r="G1125" i="2"/>
  <c r="E1125" i="2"/>
  <c r="F1125" i="2" s="1"/>
  <c r="D1126" i="2"/>
  <c r="M1126" i="2" s="1"/>
  <c r="C1127" i="2"/>
  <c r="A1128" i="2" l="1"/>
  <c r="B1127" i="2"/>
  <c r="H1127" i="2" s="1"/>
  <c r="L1127" i="2" s="1"/>
  <c r="J901" i="2"/>
  <c r="K901" i="2" s="1"/>
  <c r="I901" i="2" s="1"/>
  <c r="G1126" i="2"/>
  <c r="E1126" i="2"/>
  <c r="F1126" i="2" s="1"/>
  <c r="D1127" i="2"/>
  <c r="M1127" i="2" s="1"/>
  <c r="C1128" i="2"/>
  <c r="A1129" i="2" l="1"/>
  <c r="B1128" i="2"/>
  <c r="H1128" i="2" s="1"/>
  <c r="L1128" i="2" s="1"/>
  <c r="J902" i="2"/>
  <c r="K902" i="2" s="1"/>
  <c r="G1127" i="2"/>
  <c r="E1127" i="2"/>
  <c r="F1127" i="2" s="1"/>
  <c r="D1128" i="2"/>
  <c r="M1128" i="2" s="1"/>
  <c r="C1129" i="2"/>
  <c r="A1130" i="2" l="1"/>
  <c r="B1129" i="2"/>
  <c r="H1129" i="2" s="1"/>
  <c r="L1129" i="2" s="1"/>
  <c r="I902" i="2"/>
  <c r="J903" i="2"/>
  <c r="K903" i="2" s="1"/>
  <c r="I903" i="2" s="1"/>
  <c r="G1128" i="2"/>
  <c r="E1128" i="2"/>
  <c r="F1128" i="2" s="1"/>
  <c r="D1129" i="2"/>
  <c r="M1129" i="2" s="1"/>
  <c r="C1130" i="2"/>
  <c r="A1131" i="2" l="1"/>
  <c r="B1130" i="2"/>
  <c r="H1130" i="2" s="1"/>
  <c r="L1130" i="2" s="1"/>
  <c r="J904" i="2"/>
  <c r="K904" i="2"/>
  <c r="G1129" i="2"/>
  <c r="E1129" i="2"/>
  <c r="F1129" i="2" s="1"/>
  <c r="D1130" i="2"/>
  <c r="M1130" i="2" s="1"/>
  <c r="C1131" i="2"/>
  <c r="A1132" i="2" l="1"/>
  <c r="B1131" i="2"/>
  <c r="H1131" i="2" s="1"/>
  <c r="L1131" i="2" s="1"/>
  <c r="I904" i="2"/>
  <c r="J905" i="2" s="1"/>
  <c r="G1130" i="2"/>
  <c r="E1130" i="2"/>
  <c r="F1130" i="2" s="1"/>
  <c r="D1131" i="2"/>
  <c r="M1131" i="2" s="1"/>
  <c r="C1132" i="2"/>
  <c r="A1133" i="2" l="1"/>
  <c r="B1132" i="2"/>
  <c r="H1132" i="2" s="1"/>
  <c r="L1132" i="2" s="1"/>
  <c r="K905" i="2"/>
  <c r="I905" i="2" s="1"/>
  <c r="G1131" i="2"/>
  <c r="E1131" i="2"/>
  <c r="F1131" i="2" s="1"/>
  <c r="D1132" i="2"/>
  <c r="M1132" i="2" s="1"/>
  <c r="C1133" i="2"/>
  <c r="A1134" i="2" l="1"/>
  <c r="B1133" i="2"/>
  <c r="H1133" i="2" s="1"/>
  <c r="L1133" i="2" s="1"/>
  <c r="J906" i="2"/>
  <c r="G1132" i="2"/>
  <c r="E1132" i="2"/>
  <c r="F1132" i="2" s="1"/>
  <c r="D1133" i="2"/>
  <c r="M1133" i="2" s="1"/>
  <c r="C1134" i="2"/>
  <c r="A1135" i="2" l="1"/>
  <c r="B1134" i="2"/>
  <c r="H1134" i="2" s="1"/>
  <c r="L1134" i="2" s="1"/>
  <c r="K906" i="2"/>
  <c r="I906" i="2" s="1"/>
  <c r="J907" i="2" s="1"/>
  <c r="G1133" i="2"/>
  <c r="E1133" i="2"/>
  <c r="F1133" i="2" s="1"/>
  <c r="D1134" i="2"/>
  <c r="M1134" i="2" s="1"/>
  <c r="C1135" i="2"/>
  <c r="A1136" i="2" l="1"/>
  <c r="B1135" i="2"/>
  <c r="H1135" i="2" s="1"/>
  <c r="L1135" i="2" s="1"/>
  <c r="K907" i="2"/>
  <c r="I907" i="2" s="1"/>
  <c r="G1134" i="2"/>
  <c r="E1134" i="2"/>
  <c r="F1134" i="2" s="1"/>
  <c r="D1135" i="2"/>
  <c r="M1135" i="2" s="1"/>
  <c r="C1136" i="2"/>
  <c r="A1137" i="2" l="1"/>
  <c r="B1136" i="2"/>
  <c r="H1136" i="2" s="1"/>
  <c r="L1136" i="2" s="1"/>
  <c r="J908" i="2"/>
  <c r="G1135" i="2"/>
  <c r="E1135" i="2"/>
  <c r="F1135" i="2" s="1"/>
  <c r="D1136" i="2"/>
  <c r="M1136" i="2" s="1"/>
  <c r="C1137" i="2"/>
  <c r="A1138" i="2" l="1"/>
  <c r="B1137" i="2"/>
  <c r="H1137" i="2" s="1"/>
  <c r="L1137" i="2" s="1"/>
  <c r="K908" i="2"/>
  <c r="I908" i="2" s="1"/>
  <c r="G1136" i="2"/>
  <c r="E1136" i="2"/>
  <c r="F1136" i="2" s="1"/>
  <c r="D1137" i="2"/>
  <c r="M1137" i="2" s="1"/>
  <c r="C1138" i="2"/>
  <c r="A1139" i="2" l="1"/>
  <c r="B1138" i="2"/>
  <c r="H1138" i="2" s="1"/>
  <c r="L1138" i="2" s="1"/>
  <c r="J909" i="2"/>
  <c r="K909" i="2" s="1"/>
  <c r="I909" i="2" s="1"/>
  <c r="G1137" i="2"/>
  <c r="E1137" i="2"/>
  <c r="F1137" i="2" s="1"/>
  <c r="D1138" i="2"/>
  <c r="M1138" i="2" s="1"/>
  <c r="C1139" i="2"/>
  <c r="A1140" i="2" l="1"/>
  <c r="B1139" i="2"/>
  <c r="H1139" i="2" s="1"/>
  <c r="L1139" i="2" s="1"/>
  <c r="J910" i="2"/>
  <c r="G1138" i="2"/>
  <c r="E1138" i="2"/>
  <c r="F1138" i="2" s="1"/>
  <c r="D1139" i="2"/>
  <c r="M1139" i="2" s="1"/>
  <c r="C1140" i="2"/>
  <c r="A1141" i="2" l="1"/>
  <c r="B1140" i="2"/>
  <c r="H1140" i="2" s="1"/>
  <c r="L1140" i="2" s="1"/>
  <c r="K910" i="2"/>
  <c r="I910" i="2" s="1"/>
  <c r="G1139" i="2"/>
  <c r="E1139" i="2"/>
  <c r="F1139" i="2" s="1"/>
  <c r="D1140" i="2"/>
  <c r="M1140" i="2" s="1"/>
  <c r="C1141" i="2"/>
  <c r="A1142" i="2" l="1"/>
  <c r="B1141" i="2"/>
  <c r="H1141" i="2" s="1"/>
  <c r="L1141" i="2" s="1"/>
  <c r="J911" i="2"/>
  <c r="G1140" i="2"/>
  <c r="E1140" i="2"/>
  <c r="F1140" i="2" s="1"/>
  <c r="D1141" i="2"/>
  <c r="M1141" i="2" s="1"/>
  <c r="C1142" i="2"/>
  <c r="A1143" i="2" l="1"/>
  <c r="B1142" i="2"/>
  <c r="H1142" i="2" s="1"/>
  <c r="L1142" i="2" s="1"/>
  <c r="K911" i="2"/>
  <c r="I911" i="2" s="1"/>
  <c r="G1141" i="2"/>
  <c r="E1141" i="2"/>
  <c r="F1141" i="2" s="1"/>
  <c r="D1142" i="2"/>
  <c r="M1142" i="2" s="1"/>
  <c r="C1143" i="2"/>
  <c r="A1144" i="2" l="1"/>
  <c r="B1143" i="2"/>
  <c r="H1143" i="2" s="1"/>
  <c r="L1143" i="2" s="1"/>
  <c r="J912" i="2"/>
  <c r="K912" i="2"/>
  <c r="G1142" i="2"/>
  <c r="E1142" i="2"/>
  <c r="F1142" i="2" s="1"/>
  <c r="D1143" i="2"/>
  <c r="M1143" i="2" s="1"/>
  <c r="C1144" i="2"/>
  <c r="A1145" i="2" l="1"/>
  <c r="B1144" i="2"/>
  <c r="H1144" i="2" s="1"/>
  <c r="L1144" i="2" s="1"/>
  <c r="I912" i="2"/>
  <c r="J913" i="2"/>
  <c r="G1143" i="2"/>
  <c r="E1143" i="2"/>
  <c r="F1143" i="2" s="1"/>
  <c r="D1144" i="2"/>
  <c r="M1144" i="2" s="1"/>
  <c r="C1145" i="2"/>
  <c r="A1146" i="2" l="1"/>
  <c r="B1145" i="2"/>
  <c r="H1145" i="2" s="1"/>
  <c r="L1145" i="2" s="1"/>
  <c r="K913" i="2"/>
  <c r="I913" i="2" s="1"/>
  <c r="G1144" i="2"/>
  <c r="E1144" i="2"/>
  <c r="F1144" i="2" s="1"/>
  <c r="D1145" i="2"/>
  <c r="M1145" i="2" s="1"/>
  <c r="C1146" i="2"/>
  <c r="A1147" i="2" l="1"/>
  <c r="B1146" i="2"/>
  <c r="H1146" i="2" s="1"/>
  <c r="L1146" i="2" s="1"/>
  <c r="J914" i="2"/>
  <c r="K914" i="2"/>
  <c r="I914" i="2"/>
  <c r="G1145" i="2"/>
  <c r="E1145" i="2"/>
  <c r="F1145" i="2" s="1"/>
  <c r="D1146" i="2"/>
  <c r="M1146" i="2" s="1"/>
  <c r="C1147" i="2"/>
  <c r="A1148" i="2" l="1"/>
  <c r="B1147" i="2"/>
  <c r="H1147" i="2" s="1"/>
  <c r="L1147" i="2" s="1"/>
  <c r="J915" i="2"/>
  <c r="G1146" i="2"/>
  <c r="E1146" i="2"/>
  <c r="F1146" i="2" s="1"/>
  <c r="D1147" i="2"/>
  <c r="M1147" i="2" s="1"/>
  <c r="C1148" i="2"/>
  <c r="A1149" i="2" l="1"/>
  <c r="B1148" i="2"/>
  <c r="H1148" i="2" s="1"/>
  <c r="L1148" i="2" s="1"/>
  <c r="K915" i="2"/>
  <c r="I915" i="2"/>
  <c r="J916" i="2"/>
  <c r="K916" i="2" s="1"/>
  <c r="I916" i="2" s="1"/>
  <c r="G1147" i="2"/>
  <c r="E1147" i="2"/>
  <c r="F1147" i="2" s="1"/>
  <c r="D1148" i="2"/>
  <c r="M1148" i="2" s="1"/>
  <c r="C1149" i="2"/>
  <c r="A1150" i="2" l="1"/>
  <c r="B1149" i="2"/>
  <c r="H1149" i="2" s="1"/>
  <c r="L1149" i="2" s="1"/>
  <c r="J917" i="2"/>
  <c r="K917" i="2" s="1"/>
  <c r="I917" i="2" s="1"/>
  <c r="G1148" i="2"/>
  <c r="E1148" i="2"/>
  <c r="F1148" i="2" s="1"/>
  <c r="D1149" i="2"/>
  <c r="M1149" i="2" s="1"/>
  <c r="C1150" i="2"/>
  <c r="A1151" i="2" l="1"/>
  <c r="B1150" i="2"/>
  <c r="H1150" i="2" s="1"/>
  <c r="L1150" i="2" s="1"/>
  <c r="J918" i="2"/>
  <c r="K918" i="2" s="1"/>
  <c r="I918" i="2" s="1"/>
  <c r="G1149" i="2"/>
  <c r="E1149" i="2"/>
  <c r="F1149" i="2" s="1"/>
  <c r="D1150" i="2"/>
  <c r="M1150" i="2" s="1"/>
  <c r="C1151" i="2"/>
  <c r="A1152" i="2" l="1"/>
  <c r="B1151" i="2"/>
  <c r="H1151" i="2" s="1"/>
  <c r="L1151" i="2" s="1"/>
  <c r="J919" i="2"/>
  <c r="K919" i="2" s="1"/>
  <c r="I919" i="2" s="1"/>
  <c r="G1150" i="2"/>
  <c r="E1150" i="2"/>
  <c r="F1150" i="2" s="1"/>
  <c r="D1151" i="2"/>
  <c r="M1151" i="2" s="1"/>
  <c r="C1152" i="2"/>
  <c r="A1153" i="2" l="1"/>
  <c r="B1152" i="2"/>
  <c r="H1152" i="2" s="1"/>
  <c r="L1152" i="2" s="1"/>
  <c r="J920" i="2"/>
  <c r="G1151" i="2"/>
  <c r="E1151" i="2"/>
  <c r="F1151" i="2" s="1"/>
  <c r="D1152" i="2"/>
  <c r="M1152" i="2" s="1"/>
  <c r="C1153" i="2"/>
  <c r="A1154" i="2" l="1"/>
  <c r="B1153" i="2"/>
  <c r="H1153" i="2" s="1"/>
  <c r="L1153" i="2" s="1"/>
  <c r="K920" i="2"/>
  <c r="I920" i="2" s="1"/>
  <c r="G1152" i="2"/>
  <c r="E1152" i="2"/>
  <c r="F1152" i="2" s="1"/>
  <c r="D1153" i="2"/>
  <c r="M1153" i="2" s="1"/>
  <c r="C1154" i="2"/>
  <c r="A1155" i="2" l="1"/>
  <c r="B1154" i="2"/>
  <c r="H1154" i="2" s="1"/>
  <c r="L1154" i="2" s="1"/>
  <c r="J921" i="2"/>
  <c r="K921" i="2"/>
  <c r="G1153" i="2"/>
  <c r="E1153" i="2"/>
  <c r="F1153" i="2" s="1"/>
  <c r="D1154" i="2"/>
  <c r="M1154" i="2" s="1"/>
  <c r="C1155" i="2"/>
  <c r="A1156" i="2" l="1"/>
  <c r="B1155" i="2"/>
  <c r="H1155" i="2" s="1"/>
  <c r="L1155" i="2" s="1"/>
  <c r="I921" i="2"/>
  <c r="J922" i="2"/>
  <c r="K922" i="2"/>
  <c r="G1154" i="2"/>
  <c r="E1154" i="2"/>
  <c r="F1154" i="2" s="1"/>
  <c r="D1155" i="2"/>
  <c r="M1155" i="2" s="1"/>
  <c r="C1156" i="2"/>
  <c r="A1157" i="2" l="1"/>
  <c r="B1156" i="2"/>
  <c r="H1156" i="2" s="1"/>
  <c r="L1156" i="2" s="1"/>
  <c r="I922" i="2"/>
  <c r="G1155" i="2"/>
  <c r="E1155" i="2"/>
  <c r="F1155" i="2" s="1"/>
  <c r="D1156" i="2"/>
  <c r="M1156" i="2" s="1"/>
  <c r="C1157" i="2"/>
  <c r="A1158" i="2" l="1"/>
  <c r="B1157" i="2"/>
  <c r="H1157" i="2" s="1"/>
  <c r="L1157" i="2" s="1"/>
  <c r="J923" i="2"/>
  <c r="K923" i="2" s="1"/>
  <c r="I923" i="2" s="1"/>
  <c r="G1156" i="2"/>
  <c r="E1156" i="2"/>
  <c r="F1156" i="2" s="1"/>
  <c r="D1157" i="2"/>
  <c r="M1157" i="2" s="1"/>
  <c r="C1158" i="2"/>
  <c r="A1159" i="2" l="1"/>
  <c r="B1158" i="2"/>
  <c r="H1158" i="2" s="1"/>
  <c r="L1158" i="2" s="1"/>
  <c r="J924" i="2"/>
  <c r="K924" i="2" s="1"/>
  <c r="I924" i="2" s="1"/>
  <c r="J925" i="2" s="1"/>
  <c r="K925" i="2" s="1"/>
  <c r="I925" i="2" s="1"/>
  <c r="G1157" i="2"/>
  <c r="E1157" i="2"/>
  <c r="F1157" i="2" s="1"/>
  <c r="D1158" i="2"/>
  <c r="M1158" i="2" s="1"/>
  <c r="C1159" i="2"/>
  <c r="A1160" i="2" l="1"/>
  <c r="B1159" i="2"/>
  <c r="H1159" i="2" s="1"/>
  <c r="L1159" i="2" s="1"/>
  <c r="J926" i="2"/>
  <c r="G1158" i="2"/>
  <c r="E1158" i="2"/>
  <c r="F1158" i="2" s="1"/>
  <c r="D1159" i="2"/>
  <c r="M1159" i="2" s="1"/>
  <c r="C1160" i="2"/>
  <c r="A1161" i="2" l="1"/>
  <c r="B1160" i="2"/>
  <c r="H1160" i="2" s="1"/>
  <c r="L1160" i="2" s="1"/>
  <c r="K926" i="2"/>
  <c r="I926" i="2"/>
  <c r="G1159" i="2"/>
  <c r="E1159" i="2"/>
  <c r="F1159" i="2" s="1"/>
  <c r="D1160" i="2"/>
  <c r="M1160" i="2" s="1"/>
  <c r="C1161" i="2"/>
  <c r="A1162" i="2" l="1"/>
  <c r="B1161" i="2"/>
  <c r="H1161" i="2" s="1"/>
  <c r="L1161" i="2" s="1"/>
  <c r="J927" i="2"/>
  <c r="K927" i="2" s="1"/>
  <c r="I927" i="2" s="1"/>
  <c r="G1160" i="2"/>
  <c r="E1160" i="2"/>
  <c r="F1160" i="2" s="1"/>
  <c r="D1161" i="2"/>
  <c r="M1161" i="2" s="1"/>
  <c r="C1162" i="2"/>
  <c r="A1163" i="2" l="1"/>
  <c r="B1162" i="2"/>
  <c r="H1162" i="2" s="1"/>
  <c r="L1162" i="2" s="1"/>
  <c r="J928" i="2"/>
  <c r="K928" i="2" s="1"/>
  <c r="I928" i="2" s="1"/>
  <c r="G1161" i="2"/>
  <c r="E1161" i="2"/>
  <c r="F1161" i="2" s="1"/>
  <c r="D1162" i="2"/>
  <c r="M1162" i="2" s="1"/>
  <c r="C1163" i="2"/>
  <c r="A1164" i="2" l="1"/>
  <c r="B1163" i="2"/>
  <c r="H1163" i="2" s="1"/>
  <c r="L1163" i="2" s="1"/>
  <c r="J929" i="2"/>
  <c r="G1162" i="2"/>
  <c r="E1162" i="2"/>
  <c r="F1162" i="2" s="1"/>
  <c r="D1163" i="2"/>
  <c r="M1163" i="2" s="1"/>
  <c r="C1164" i="2"/>
  <c r="A1165" i="2" l="1"/>
  <c r="B1164" i="2"/>
  <c r="H1164" i="2" s="1"/>
  <c r="L1164" i="2" s="1"/>
  <c r="K929" i="2"/>
  <c r="I929" i="2" s="1"/>
  <c r="G1163" i="2"/>
  <c r="E1163" i="2"/>
  <c r="F1163" i="2" s="1"/>
  <c r="D1164" i="2"/>
  <c r="M1164" i="2" s="1"/>
  <c r="C1165" i="2"/>
  <c r="A1166" i="2" l="1"/>
  <c r="B1165" i="2"/>
  <c r="H1165" i="2" s="1"/>
  <c r="L1165" i="2" s="1"/>
  <c r="J930" i="2"/>
  <c r="K930" i="2" s="1"/>
  <c r="I930" i="2" s="1"/>
  <c r="G1164" i="2"/>
  <c r="E1164" i="2"/>
  <c r="F1164" i="2" s="1"/>
  <c r="D1165" i="2"/>
  <c r="M1165" i="2" s="1"/>
  <c r="C1166" i="2"/>
  <c r="A1167" i="2" l="1"/>
  <c r="B1166" i="2"/>
  <c r="H1166" i="2" s="1"/>
  <c r="L1166" i="2" s="1"/>
  <c r="J931" i="2"/>
  <c r="K931" i="2" s="1"/>
  <c r="I931" i="2" s="1"/>
  <c r="G1165" i="2"/>
  <c r="E1165" i="2"/>
  <c r="F1165" i="2" s="1"/>
  <c r="D1166" i="2"/>
  <c r="M1166" i="2" s="1"/>
  <c r="C1167" i="2"/>
  <c r="A1168" i="2" l="1"/>
  <c r="B1167" i="2"/>
  <c r="H1167" i="2" s="1"/>
  <c r="L1167" i="2" s="1"/>
  <c r="J932" i="2"/>
  <c r="G1166" i="2"/>
  <c r="E1166" i="2"/>
  <c r="F1166" i="2" s="1"/>
  <c r="D1167" i="2"/>
  <c r="M1167" i="2" s="1"/>
  <c r="C1168" i="2"/>
  <c r="A1169" i="2" l="1"/>
  <c r="B1168" i="2"/>
  <c r="H1168" i="2" s="1"/>
  <c r="L1168" i="2" s="1"/>
  <c r="K932" i="2"/>
  <c r="I932" i="2" s="1"/>
  <c r="G1167" i="2"/>
  <c r="E1167" i="2"/>
  <c r="F1167" i="2" s="1"/>
  <c r="D1168" i="2"/>
  <c r="M1168" i="2" s="1"/>
  <c r="C1169" i="2"/>
  <c r="A1170" i="2" l="1"/>
  <c r="B1169" i="2"/>
  <c r="H1169" i="2" s="1"/>
  <c r="L1169" i="2" s="1"/>
  <c r="J933" i="2"/>
  <c r="K933" i="2"/>
  <c r="I933" i="2" s="1"/>
  <c r="G1168" i="2"/>
  <c r="E1168" i="2"/>
  <c r="F1168" i="2" s="1"/>
  <c r="D1169" i="2"/>
  <c r="M1169" i="2" s="1"/>
  <c r="C1170" i="2"/>
  <c r="A1171" i="2" l="1"/>
  <c r="B1170" i="2"/>
  <c r="H1170" i="2" s="1"/>
  <c r="L1170" i="2" s="1"/>
  <c r="J934" i="2"/>
  <c r="G1169" i="2"/>
  <c r="E1169" i="2"/>
  <c r="F1169" i="2" s="1"/>
  <c r="D1170" i="2"/>
  <c r="M1170" i="2" s="1"/>
  <c r="C1171" i="2"/>
  <c r="A1172" i="2" l="1"/>
  <c r="B1171" i="2"/>
  <c r="H1171" i="2" s="1"/>
  <c r="L1171" i="2" s="1"/>
  <c r="K934" i="2"/>
  <c r="I934" i="2" s="1"/>
  <c r="G1170" i="2"/>
  <c r="E1170" i="2"/>
  <c r="F1170" i="2" s="1"/>
  <c r="D1171" i="2"/>
  <c r="M1171" i="2" s="1"/>
  <c r="C1172" i="2"/>
  <c r="A1173" i="2" l="1"/>
  <c r="B1172" i="2"/>
  <c r="H1172" i="2" s="1"/>
  <c r="L1172" i="2" s="1"/>
  <c r="J935" i="2"/>
  <c r="K935" i="2" s="1"/>
  <c r="G1171" i="2"/>
  <c r="E1171" i="2"/>
  <c r="F1171" i="2" s="1"/>
  <c r="D1172" i="2"/>
  <c r="M1172" i="2" s="1"/>
  <c r="C1173" i="2"/>
  <c r="A1174" i="2" l="1"/>
  <c r="B1173" i="2"/>
  <c r="H1173" i="2" s="1"/>
  <c r="L1173" i="2" s="1"/>
  <c r="I935" i="2"/>
  <c r="J936" i="2"/>
  <c r="K936" i="2" s="1"/>
  <c r="I936" i="2" s="1"/>
  <c r="G1172" i="2"/>
  <c r="E1172" i="2"/>
  <c r="F1172" i="2" s="1"/>
  <c r="D1173" i="2"/>
  <c r="M1173" i="2" s="1"/>
  <c r="C1174" i="2"/>
  <c r="A1175" i="2" l="1"/>
  <c r="B1174" i="2"/>
  <c r="H1174" i="2" s="1"/>
  <c r="L1174" i="2" s="1"/>
  <c r="J937" i="2"/>
  <c r="K937" i="2" s="1"/>
  <c r="I937" i="2" s="1"/>
  <c r="G1173" i="2"/>
  <c r="E1173" i="2"/>
  <c r="F1173" i="2" s="1"/>
  <c r="D1174" i="2"/>
  <c r="M1174" i="2" s="1"/>
  <c r="C1175" i="2"/>
  <c r="A1176" i="2" l="1"/>
  <c r="B1175" i="2"/>
  <c r="H1175" i="2" s="1"/>
  <c r="L1175" i="2" s="1"/>
  <c r="J938" i="2"/>
  <c r="K938" i="2"/>
  <c r="I938" i="2" s="1"/>
  <c r="G1174" i="2"/>
  <c r="E1174" i="2"/>
  <c r="F1174" i="2" s="1"/>
  <c r="D1175" i="2"/>
  <c r="M1175" i="2" s="1"/>
  <c r="C1176" i="2"/>
  <c r="A1177" i="2" l="1"/>
  <c r="B1176" i="2"/>
  <c r="H1176" i="2" s="1"/>
  <c r="L1176" i="2" s="1"/>
  <c r="J939" i="2"/>
  <c r="K939" i="2"/>
  <c r="I939" i="2" s="1"/>
  <c r="G1175" i="2"/>
  <c r="E1175" i="2"/>
  <c r="F1175" i="2" s="1"/>
  <c r="D1176" i="2"/>
  <c r="M1176" i="2" s="1"/>
  <c r="C1177" i="2"/>
  <c r="A1178" i="2" l="1"/>
  <c r="B1177" i="2"/>
  <c r="H1177" i="2" s="1"/>
  <c r="L1177" i="2" s="1"/>
  <c r="J940" i="2"/>
  <c r="K940" i="2" s="1"/>
  <c r="I940" i="2" s="1"/>
  <c r="G1176" i="2"/>
  <c r="E1176" i="2"/>
  <c r="F1176" i="2" s="1"/>
  <c r="D1177" i="2"/>
  <c r="M1177" i="2" s="1"/>
  <c r="C1178" i="2"/>
  <c r="A1179" i="2" l="1"/>
  <c r="B1178" i="2"/>
  <c r="H1178" i="2" s="1"/>
  <c r="L1178" i="2" s="1"/>
  <c r="J941" i="2"/>
  <c r="G1177" i="2"/>
  <c r="E1177" i="2"/>
  <c r="F1177" i="2" s="1"/>
  <c r="D1178" i="2"/>
  <c r="M1178" i="2" s="1"/>
  <c r="C1179" i="2"/>
  <c r="A1180" i="2" l="1"/>
  <c r="B1179" i="2"/>
  <c r="H1179" i="2" s="1"/>
  <c r="L1179" i="2" s="1"/>
  <c r="K941" i="2"/>
  <c r="I941" i="2" s="1"/>
  <c r="G1178" i="2"/>
  <c r="E1178" i="2"/>
  <c r="F1178" i="2" s="1"/>
  <c r="D1179" i="2"/>
  <c r="M1179" i="2" s="1"/>
  <c r="C1180" i="2"/>
  <c r="A1181" i="2" l="1"/>
  <c r="B1180" i="2"/>
  <c r="H1180" i="2" s="1"/>
  <c r="L1180" i="2" s="1"/>
  <c r="J942" i="2"/>
  <c r="K942" i="2" s="1"/>
  <c r="I942" i="2" s="1"/>
  <c r="G1179" i="2"/>
  <c r="E1179" i="2"/>
  <c r="F1179" i="2" s="1"/>
  <c r="D1180" i="2"/>
  <c r="M1180" i="2" s="1"/>
  <c r="C1181" i="2"/>
  <c r="A1182" i="2" l="1"/>
  <c r="B1181" i="2"/>
  <c r="H1181" i="2" s="1"/>
  <c r="L1181" i="2" s="1"/>
  <c r="J943" i="2"/>
  <c r="K943" i="2" s="1"/>
  <c r="I943" i="2" s="1"/>
  <c r="G1180" i="2"/>
  <c r="E1180" i="2"/>
  <c r="F1180" i="2" s="1"/>
  <c r="D1181" i="2"/>
  <c r="M1181" i="2" s="1"/>
  <c r="C1182" i="2"/>
  <c r="A1183" i="2" l="1"/>
  <c r="B1182" i="2"/>
  <c r="H1182" i="2" s="1"/>
  <c r="L1182" i="2" s="1"/>
  <c r="J944" i="2"/>
  <c r="K944" i="2"/>
  <c r="I944" i="2" s="1"/>
  <c r="G1181" i="2"/>
  <c r="E1181" i="2"/>
  <c r="F1181" i="2" s="1"/>
  <c r="D1182" i="2"/>
  <c r="M1182" i="2" s="1"/>
  <c r="C1183" i="2"/>
  <c r="A1184" i="2" l="1"/>
  <c r="B1183" i="2"/>
  <c r="H1183" i="2" s="1"/>
  <c r="L1183" i="2" s="1"/>
  <c r="J945" i="2"/>
  <c r="K945" i="2" s="1"/>
  <c r="I945" i="2" s="1"/>
  <c r="G1182" i="2"/>
  <c r="E1182" i="2"/>
  <c r="F1182" i="2" s="1"/>
  <c r="D1183" i="2"/>
  <c r="M1183" i="2" s="1"/>
  <c r="C1184" i="2"/>
  <c r="A1185" i="2" l="1"/>
  <c r="B1184" i="2"/>
  <c r="H1184" i="2" s="1"/>
  <c r="L1184" i="2" s="1"/>
  <c r="J946" i="2"/>
  <c r="K946" i="2" s="1"/>
  <c r="I946" i="2" s="1"/>
  <c r="G1183" i="2"/>
  <c r="E1183" i="2"/>
  <c r="F1183" i="2" s="1"/>
  <c r="D1184" i="2"/>
  <c r="M1184" i="2" s="1"/>
  <c r="C1185" i="2"/>
  <c r="A1186" i="2" l="1"/>
  <c r="B1185" i="2"/>
  <c r="H1185" i="2" s="1"/>
  <c r="L1185" i="2" s="1"/>
  <c r="J947" i="2"/>
  <c r="G1184" i="2"/>
  <c r="E1184" i="2"/>
  <c r="F1184" i="2" s="1"/>
  <c r="D1185" i="2"/>
  <c r="M1185" i="2" s="1"/>
  <c r="C1186" i="2"/>
  <c r="A1187" i="2" l="1"/>
  <c r="B1186" i="2"/>
  <c r="H1186" i="2" s="1"/>
  <c r="L1186" i="2" s="1"/>
  <c r="K947" i="2"/>
  <c r="I947" i="2" s="1"/>
  <c r="G1185" i="2"/>
  <c r="E1185" i="2"/>
  <c r="F1185" i="2" s="1"/>
  <c r="D1186" i="2"/>
  <c r="M1186" i="2" s="1"/>
  <c r="C1187" i="2"/>
  <c r="A1188" i="2" l="1"/>
  <c r="B1187" i="2"/>
  <c r="H1187" i="2" s="1"/>
  <c r="L1187" i="2" s="1"/>
  <c r="J948" i="2"/>
  <c r="K948" i="2" s="1"/>
  <c r="I948" i="2" s="1"/>
  <c r="G1186" i="2"/>
  <c r="E1186" i="2"/>
  <c r="F1186" i="2" s="1"/>
  <c r="D1187" i="2"/>
  <c r="M1187" i="2" s="1"/>
  <c r="C1188" i="2"/>
  <c r="A1189" i="2" l="1"/>
  <c r="B1188" i="2"/>
  <c r="H1188" i="2" s="1"/>
  <c r="L1188" i="2" s="1"/>
  <c r="J949" i="2"/>
  <c r="K949" i="2" s="1"/>
  <c r="I949" i="2" s="1"/>
  <c r="G1187" i="2"/>
  <c r="E1187" i="2"/>
  <c r="F1187" i="2" s="1"/>
  <c r="D1188" i="2"/>
  <c r="M1188" i="2" s="1"/>
  <c r="C1189" i="2"/>
  <c r="A1190" i="2" l="1"/>
  <c r="B1189" i="2"/>
  <c r="H1189" i="2" s="1"/>
  <c r="L1189" i="2" s="1"/>
  <c r="J950" i="2"/>
  <c r="G1188" i="2"/>
  <c r="E1188" i="2"/>
  <c r="F1188" i="2" s="1"/>
  <c r="D1189" i="2"/>
  <c r="M1189" i="2" s="1"/>
  <c r="C1190" i="2"/>
  <c r="A1191" i="2" l="1"/>
  <c r="B1190" i="2"/>
  <c r="H1190" i="2" s="1"/>
  <c r="L1190" i="2" s="1"/>
  <c r="K950" i="2"/>
  <c r="I950" i="2"/>
  <c r="G1189" i="2"/>
  <c r="E1189" i="2"/>
  <c r="F1189" i="2" s="1"/>
  <c r="D1190" i="2"/>
  <c r="M1190" i="2" s="1"/>
  <c r="C1191" i="2"/>
  <c r="A1192" i="2" l="1"/>
  <c r="B1191" i="2"/>
  <c r="H1191" i="2" s="1"/>
  <c r="L1191" i="2" s="1"/>
  <c r="J951" i="2"/>
  <c r="G1190" i="2"/>
  <c r="E1190" i="2"/>
  <c r="F1190" i="2" s="1"/>
  <c r="D1191" i="2"/>
  <c r="M1191" i="2" s="1"/>
  <c r="C1192" i="2"/>
  <c r="A1193" i="2" l="1"/>
  <c r="B1192" i="2"/>
  <c r="H1192" i="2" s="1"/>
  <c r="L1192" i="2" s="1"/>
  <c r="K951" i="2"/>
  <c r="I951" i="2" s="1"/>
  <c r="G1191" i="2"/>
  <c r="E1191" i="2"/>
  <c r="F1191" i="2" s="1"/>
  <c r="D1192" i="2"/>
  <c r="M1192" i="2" s="1"/>
  <c r="C1193" i="2"/>
  <c r="A1194" i="2" l="1"/>
  <c r="B1193" i="2"/>
  <c r="H1193" i="2" s="1"/>
  <c r="L1193" i="2" s="1"/>
  <c r="J952" i="2"/>
  <c r="G1192" i="2"/>
  <c r="E1192" i="2"/>
  <c r="F1192" i="2" s="1"/>
  <c r="D1193" i="2"/>
  <c r="M1193" i="2" s="1"/>
  <c r="C1194" i="2"/>
  <c r="A1195" i="2" l="1"/>
  <c r="B1194" i="2"/>
  <c r="H1194" i="2" s="1"/>
  <c r="L1194" i="2" s="1"/>
  <c r="K952" i="2"/>
  <c r="I952" i="2" s="1"/>
  <c r="G1193" i="2"/>
  <c r="E1193" i="2"/>
  <c r="F1193" i="2" s="1"/>
  <c r="D1194" i="2"/>
  <c r="M1194" i="2" s="1"/>
  <c r="C1195" i="2"/>
  <c r="A1196" i="2" l="1"/>
  <c r="B1195" i="2"/>
  <c r="H1195" i="2" s="1"/>
  <c r="L1195" i="2" s="1"/>
  <c r="J953" i="2"/>
  <c r="K953" i="2" s="1"/>
  <c r="I953" i="2" s="1"/>
  <c r="G1194" i="2"/>
  <c r="E1194" i="2"/>
  <c r="F1194" i="2" s="1"/>
  <c r="D1195" i="2"/>
  <c r="M1195" i="2" s="1"/>
  <c r="C1196" i="2"/>
  <c r="A1197" i="2" l="1"/>
  <c r="B1196" i="2"/>
  <c r="H1196" i="2" s="1"/>
  <c r="L1196" i="2" s="1"/>
  <c r="J954" i="2"/>
  <c r="K954" i="2"/>
  <c r="I954" i="2" s="1"/>
  <c r="G1195" i="2"/>
  <c r="E1195" i="2"/>
  <c r="F1195" i="2" s="1"/>
  <c r="D1196" i="2"/>
  <c r="M1196" i="2" s="1"/>
  <c r="C1197" i="2"/>
  <c r="A1198" i="2" l="1"/>
  <c r="B1197" i="2"/>
  <c r="H1197" i="2" s="1"/>
  <c r="L1197" i="2" s="1"/>
  <c r="J955" i="2"/>
  <c r="G1196" i="2"/>
  <c r="E1196" i="2"/>
  <c r="F1196" i="2" s="1"/>
  <c r="D1197" i="2"/>
  <c r="M1197" i="2" s="1"/>
  <c r="C1198" i="2"/>
  <c r="A1199" i="2" l="1"/>
  <c r="B1198" i="2"/>
  <c r="H1198" i="2" s="1"/>
  <c r="L1198" i="2" s="1"/>
  <c r="K955" i="2"/>
  <c r="I955" i="2" s="1"/>
  <c r="G1197" i="2"/>
  <c r="E1197" i="2"/>
  <c r="F1197" i="2" s="1"/>
  <c r="D1198" i="2"/>
  <c r="M1198" i="2" s="1"/>
  <c r="C1199" i="2"/>
  <c r="A1200" i="2" l="1"/>
  <c r="B1199" i="2"/>
  <c r="H1199" i="2" s="1"/>
  <c r="L1199" i="2" s="1"/>
  <c r="J956" i="2"/>
  <c r="G1198" i="2"/>
  <c r="E1198" i="2"/>
  <c r="F1198" i="2" s="1"/>
  <c r="D1199" i="2"/>
  <c r="M1199" i="2" s="1"/>
  <c r="C1200" i="2"/>
  <c r="A1201" i="2" l="1"/>
  <c r="B1200" i="2"/>
  <c r="H1200" i="2" s="1"/>
  <c r="L1200" i="2" s="1"/>
  <c r="K956" i="2"/>
  <c r="I956" i="2" s="1"/>
  <c r="G1199" i="2"/>
  <c r="E1199" i="2"/>
  <c r="F1199" i="2" s="1"/>
  <c r="D1200" i="2"/>
  <c r="M1200" i="2" s="1"/>
  <c r="C1201" i="2"/>
  <c r="A1202" i="2" l="1"/>
  <c r="B1201" i="2"/>
  <c r="H1201" i="2" s="1"/>
  <c r="L1201" i="2" s="1"/>
  <c r="J957" i="2"/>
  <c r="G1200" i="2"/>
  <c r="E1200" i="2"/>
  <c r="F1200" i="2" s="1"/>
  <c r="D1201" i="2"/>
  <c r="M1201" i="2" s="1"/>
  <c r="C1202" i="2"/>
  <c r="A1203" i="2" l="1"/>
  <c r="B1203" i="2" s="1"/>
  <c r="H1203" i="2" s="1"/>
  <c r="B1202" i="2"/>
  <c r="H1202" i="2" s="1"/>
  <c r="L1202" i="2" s="1"/>
  <c r="K957" i="2"/>
  <c r="I957" i="2" s="1"/>
  <c r="G1201" i="2"/>
  <c r="E1201" i="2"/>
  <c r="F1201" i="2" s="1"/>
  <c r="D1202" i="2"/>
  <c r="M1202" i="2" s="1"/>
  <c r="C1203" i="2"/>
  <c r="L1203" i="2" l="1"/>
  <c r="D1203" i="2"/>
  <c r="J958" i="2"/>
  <c r="K958" i="2" s="1"/>
  <c r="I958" i="2" s="1"/>
  <c r="G1202" i="2"/>
  <c r="E1202" i="2"/>
  <c r="F1202" i="2" s="1"/>
  <c r="G1203" i="2"/>
  <c r="N1203" i="2" l="1"/>
  <c r="N168" i="2"/>
  <c r="N206" i="2"/>
  <c r="N645" i="2"/>
  <c r="N669" i="2"/>
  <c r="N987" i="2"/>
  <c r="N300" i="2"/>
  <c r="N256" i="2"/>
  <c r="N255" i="2"/>
  <c r="N830" i="2"/>
  <c r="N544" i="2"/>
  <c r="N706" i="2"/>
  <c r="N202" i="2"/>
  <c r="N63" i="2"/>
  <c r="N238" i="2"/>
  <c r="N626" i="2"/>
  <c r="N236" i="2"/>
  <c r="N1049" i="2"/>
  <c r="N199" i="2"/>
  <c r="N1077" i="2"/>
  <c r="N997" i="2"/>
  <c r="N631" i="2"/>
  <c r="N278" i="2"/>
  <c r="N401" i="2"/>
  <c r="N361" i="2"/>
  <c r="N123" i="2"/>
  <c r="N948" i="2"/>
  <c r="N88" i="2"/>
  <c r="N468" i="2"/>
  <c r="N26" i="2"/>
  <c r="N499" i="2"/>
  <c r="N446" i="2"/>
  <c r="N134" i="2"/>
  <c r="N739" i="2"/>
  <c r="E1203" i="2"/>
  <c r="F1203" i="2" s="1"/>
  <c r="M1203" i="2"/>
  <c r="J959" i="2"/>
  <c r="N606" i="2" l="1"/>
  <c r="N827" i="2"/>
  <c r="N719" i="2"/>
  <c r="N617" i="2"/>
  <c r="N1137" i="2"/>
  <c r="N156" i="2"/>
  <c r="N927" i="2"/>
  <c r="N1196" i="2"/>
  <c r="N1165" i="2"/>
  <c r="N1132" i="2"/>
  <c r="N1194" i="2"/>
  <c r="N880" i="2"/>
  <c r="N758" i="2"/>
  <c r="N129" i="2"/>
  <c r="N366" i="2"/>
  <c r="N983" i="2"/>
  <c r="N1085" i="2"/>
  <c r="N953" i="2"/>
  <c r="N110" i="2"/>
  <c r="N602" i="2"/>
  <c r="N172" i="2"/>
  <c r="N141" i="2"/>
  <c r="N140" i="2"/>
  <c r="N124" i="2"/>
  <c r="N431" i="2"/>
  <c r="N931" i="2"/>
  <c r="N520" i="2"/>
  <c r="N586" i="2"/>
  <c r="N832" i="2"/>
  <c r="N16" i="2"/>
  <c r="N1107" i="2"/>
  <c r="N34" i="2"/>
  <c r="N14" i="2"/>
  <c r="N312" i="2"/>
  <c r="N60" i="2"/>
  <c r="N741" i="2"/>
  <c r="N177" i="2"/>
  <c r="N11" i="2"/>
  <c r="N1200" i="2"/>
  <c r="N844" i="2"/>
  <c r="N1033" i="2"/>
  <c r="N412" i="2"/>
  <c r="N936" i="2"/>
  <c r="N897" i="2"/>
  <c r="N489" i="2"/>
  <c r="N556" i="2"/>
  <c r="N456" i="2"/>
  <c r="N857" i="2"/>
  <c r="N710" i="2"/>
  <c r="N113" i="2"/>
  <c r="N1157" i="2"/>
  <c r="N220" i="2"/>
  <c r="N562" i="2"/>
  <c r="N144" i="2"/>
  <c r="N420" i="2"/>
  <c r="N303" i="2"/>
  <c r="N276" i="2"/>
  <c r="N928" i="2"/>
  <c r="N1119" i="2"/>
  <c r="N383" i="2"/>
  <c r="N19" i="2"/>
  <c r="N906" i="2"/>
  <c r="N452" i="2"/>
  <c r="N812" i="2"/>
  <c r="N866" i="2"/>
  <c r="N285" i="2"/>
  <c r="N270" i="2"/>
  <c r="N926" i="2"/>
  <c r="N813" i="2"/>
  <c r="N305" i="2"/>
  <c r="N388" i="2"/>
  <c r="N661" i="2"/>
  <c r="N185" i="2"/>
  <c r="N1009" i="2"/>
  <c r="N427" i="2"/>
  <c r="N435" i="2"/>
  <c r="N460" i="2"/>
  <c r="N775" i="2"/>
  <c r="N1094" i="2"/>
  <c r="N744" i="2"/>
  <c r="N853" i="2"/>
  <c r="N1052" i="2"/>
  <c r="N671" i="2"/>
  <c r="N1063" i="2"/>
  <c r="N1123" i="2"/>
  <c r="N624" i="2"/>
  <c r="N107" i="2"/>
  <c r="N522" i="2"/>
  <c r="N364" i="2"/>
  <c r="N249" i="2"/>
  <c r="N182" i="2"/>
  <c r="N542" i="2"/>
  <c r="N17" i="2"/>
  <c r="N8" i="2"/>
  <c r="N1181" i="2"/>
  <c r="N448" i="2"/>
  <c r="N689" i="2"/>
  <c r="N287" i="2"/>
  <c r="N730" i="2"/>
  <c r="N1101" i="2"/>
  <c r="N425" i="2"/>
  <c r="N1169" i="2"/>
  <c r="N726" i="2"/>
  <c r="N988" i="2"/>
  <c r="N863" i="2"/>
  <c r="N728" i="2"/>
  <c r="N553" i="2"/>
  <c r="N162" i="2"/>
  <c r="N969" i="2"/>
  <c r="N184" i="2"/>
  <c r="N633" i="2"/>
  <c r="N1040" i="2"/>
  <c r="N196" i="2"/>
  <c r="N593" i="2"/>
  <c r="N578" i="2"/>
  <c r="N723" i="2"/>
  <c r="N1127" i="2"/>
  <c r="N550" i="2"/>
  <c r="N1111" i="2"/>
  <c r="N82" i="2"/>
  <c r="N614" i="2"/>
  <c r="N603" i="2"/>
  <c r="N340" i="2"/>
  <c r="N549" i="2"/>
  <c r="N1174" i="2"/>
  <c r="N368" i="2"/>
  <c r="N901" i="2"/>
  <c r="N860" i="2"/>
  <c r="N756" i="2"/>
  <c r="N3" i="2"/>
  <c r="N494" i="2"/>
  <c r="N1178" i="2"/>
  <c r="N382" i="2"/>
  <c r="N455" i="2"/>
  <c r="N646" i="2"/>
  <c r="N408" i="2"/>
  <c r="N1155" i="2"/>
  <c r="N149" i="2"/>
  <c r="N992" i="2"/>
  <c r="N708" i="2"/>
  <c r="N469" i="2"/>
  <c r="N938" i="2"/>
  <c r="N984" i="2"/>
  <c r="N467" i="2"/>
  <c r="N478" i="2"/>
  <c r="N576" i="2"/>
  <c r="N43" i="2"/>
  <c r="N135" i="2"/>
  <c r="N24" i="2"/>
  <c r="N299" i="2"/>
  <c r="N398" i="2"/>
  <c r="N7" i="2"/>
  <c r="N355" i="2"/>
  <c r="N570" i="2"/>
  <c r="N654" i="2"/>
  <c r="N607" i="2"/>
  <c r="N545" i="2"/>
  <c r="N893" i="2"/>
  <c r="N1020" i="2"/>
  <c r="N497" i="2"/>
  <c r="N232" i="2"/>
  <c r="N577" i="2"/>
  <c r="N781" i="2"/>
  <c r="N1031" i="2"/>
  <c r="N1006" i="2"/>
  <c r="N934" i="2"/>
  <c r="N405" i="2"/>
  <c r="N620" i="2"/>
  <c r="N363" i="2"/>
  <c r="N193" i="2"/>
  <c r="N164" i="2"/>
  <c r="N385" i="2"/>
  <c r="N816" i="2"/>
  <c r="N407" i="2"/>
  <c r="N729" i="2"/>
  <c r="N776" i="2"/>
  <c r="N720" i="2"/>
  <c r="N1170" i="2"/>
  <c r="N611" i="2"/>
  <c r="N1086" i="2"/>
  <c r="N959" i="2"/>
  <c r="N840" i="2"/>
  <c r="N700" i="2"/>
  <c r="N759" i="2"/>
  <c r="N1015" i="2"/>
  <c r="N392" i="2"/>
  <c r="N21" i="2"/>
  <c r="N1131" i="2"/>
  <c r="N725" i="2"/>
  <c r="N96" i="2"/>
  <c r="N711" i="2"/>
  <c r="N692" i="2"/>
  <c r="N1069" i="2"/>
  <c r="N281" i="2"/>
  <c r="N337" i="2"/>
  <c r="N1088" i="2"/>
  <c r="N787" i="2"/>
  <c r="N242" i="2"/>
  <c r="N889" i="2"/>
  <c r="N1023" i="2"/>
  <c r="N263" i="2"/>
  <c r="N501" i="2"/>
  <c r="N887" i="2"/>
  <c r="N40" i="2"/>
  <c r="N721" i="2"/>
  <c r="N490" i="2"/>
  <c r="N48" i="2"/>
  <c r="N623" i="2"/>
  <c r="N1047" i="2"/>
  <c r="N957" i="2"/>
  <c r="N1141" i="2"/>
  <c r="N503" i="2"/>
  <c r="N765" i="2"/>
  <c r="N56" i="2"/>
  <c r="N180" i="2"/>
  <c r="N767" i="2"/>
  <c r="N439" i="2"/>
  <c r="N1004" i="2"/>
  <c r="N423" i="2"/>
  <c r="N648" i="2"/>
  <c r="N416" i="2"/>
  <c r="N1092" i="2"/>
  <c r="N659" i="2"/>
  <c r="N442" i="2"/>
  <c r="N1045" i="2"/>
  <c r="N688" i="2"/>
  <c r="N145" i="2"/>
  <c r="N996" i="2"/>
  <c r="N100" i="2"/>
  <c r="N875" i="2"/>
  <c r="N543" i="2"/>
  <c r="N483" i="2"/>
  <c r="N896" i="2"/>
  <c r="N1104" i="2"/>
  <c r="N869" i="2"/>
  <c r="N99" i="2"/>
  <c r="N584" i="2"/>
  <c r="N514" i="2"/>
  <c r="N582" i="2"/>
  <c r="N195" i="2"/>
  <c r="N377" i="2"/>
  <c r="N858" i="2"/>
  <c r="N915" i="2"/>
  <c r="N418" i="2"/>
  <c r="N1115" i="2"/>
  <c r="N808" i="2"/>
  <c r="N929" i="2"/>
  <c r="N1120" i="2"/>
  <c r="N154" i="2"/>
  <c r="N656" i="2"/>
  <c r="N916" i="2"/>
  <c r="N165" i="2"/>
  <c r="N917" i="2"/>
  <c r="N1061" i="2"/>
  <c r="N535" i="2"/>
  <c r="N982" i="2"/>
  <c r="N136" i="2"/>
  <c r="N290" i="2"/>
  <c r="N779" i="2"/>
  <c r="N173" i="2"/>
  <c r="N862" i="2"/>
  <c r="N371" i="2"/>
  <c r="N1007" i="2"/>
  <c r="N961" i="2"/>
  <c r="N114" i="2"/>
  <c r="N277" i="2"/>
  <c r="N836" i="2"/>
  <c r="N839" i="2"/>
  <c r="N1156" i="2"/>
  <c r="N171" i="2"/>
  <c r="N404" i="2"/>
  <c r="N258" i="2"/>
  <c r="N97" i="2"/>
  <c r="N1043" i="2"/>
  <c r="N87" i="2"/>
  <c r="N1113" i="2"/>
  <c r="N526" i="2"/>
  <c r="N755" i="2"/>
  <c r="N267" i="2"/>
  <c r="N735" i="2"/>
  <c r="N835" i="2"/>
  <c r="N441" i="2"/>
  <c r="N275" i="2"/>
  <c r="N414" i="2"/>
  <c r="N320" i="2"/>
  <c r="N703" i="2"/>
  <c r="N79" i="2"/>
  <c r="N266" i="2"/>
  <c r="N75" i="2"/>
  <c r="N879" i="2"/>
  <c r="N94" i="2"/>
  <c r="N295" i="2"/>
  <c r="N538" i="2"/>
  <c r="N158" i="2"/>
  <c r="N970" i="2"/>
  <c r="N871" i="2"/>
  <c r="N699" i="2"/>
  <c r="N528" i="2"/>
  <c r="N609" i="2"/>
  <c r="N317" i="2"/>
  <c r="N500" i="2"/>
  <c r="N352" i="2"/>
  <c r="N367" i="2"/>
  <c r="N394" i="2"/>
  <c r="N316" i="2"/>
  <c r="N139" i="2"/>
  <c r="N1161" i="2"/>
  <c r="N390" i="2"/>
  <c r="N128" i="2"/>
  <c r="N1026" i="2"/>
  <c r="N909" i="2"/>
  <c r="N975" i="2"/>
  <c r="N81" i="2"/>
  <c r="N413" i="2"/>
  <c r="N85" i="2"/>
  <c r="N313" i="2"/>
  <c r="N357" i="2"/>
  <c r="N133" i="2"/>
  <c r="N945" i="2"/>
  <c r="N738" i="2"/>
  <c r="N979" i="2"/>
  <c r="N702" i="2"/>
  <c r="N653" i="2"/>
  <c r="N374" i="2"/>
  <c r="N436" i="2"/>
  <c r="N625" i="2"/>
  <c r="N1072" i="2"/>
  <c r="N250" i="2"/>
  <c r="N324" i="2"/>
  <c r="N1073" i="2"/>
  <c r="N639" i="2"/>
  <c r="N1002" i="2"/>
  <c r="N877" i="2"/>
  <c r="N406" i="2"/>
  <c r="N71" i="2"/>
  <c r="N507" i="2"/>
  <c r="N855" i="2"/>
  <c r="N126" i="2"/>
  <c r="N78" i="2"/>
  <c r="N284" i="2"/>
  <c r="N686" i="2"/>
  <c r="N112" i="2"/>
  <c r="N214" i="2"/>
  <c r="N306" i="2"/>
  <c r="N1173" i="2"/>
  <c r="N888" i="2"/>
  <c r="N251" i="2"/>
  <c r="N727" i="2"/>
  <c r="N389" i="2"/>
  <c r="N429" i="2"/>
  <c r="N918" i="2"/>
  <c r="N1064" i="2"/>
  <c r="N9" i="2"/>
  <c r="N1191" i="2"/>
  <c r="N628" i="2"/>
  <c r="N1021" i="2"/>
  <c r="N524" i="2"/>
  <c r="N221" i="2"/>
  <c r="N838" i="2"/>
  <c r="N921" i="2"/>
  <c r="N1022" i="2"/>
  <c r="N798" i="2"/>
  <c r="N380" i="2"/>
  <c r="N682" i="2"/>
  <c r="N627" i="2"/>
  <c r="N234" i="2"/>
  <c r="N41" i="2"/>
  <c r="N175" i="2"/>
  <c r="N169" i="2"/>
  <c r="N530" i="2"/>
  <c r="N188" i="2"/>
  <c r="N742" i="2"/>
  <c r="N511" i="2"/>
  <c r="N109" i="2"/>
  <c r="N790" i="2"/>
  <c r="N1050" i="2"/>
  <c r="N737" i="2"/>
  <c r="N965" i="2"/>
  <c r="N904" i="2"/>
  <c r="N950" i="2"/>
  <c r="N696" i="2"/>
  <c r="N230" i="2"/>
  <c r="N557" i="2"/>
  <c r="N127" i="2"/>
  <c r="N795" i="2"/>
  <c r="N240" i="2"/>
  <c r="N72" i="2"/>
  <c r="N1108" i="2"/>
  <c r="N472" i="2"/>
  <c r="N883" i="2"/>
  <c r="N191" i="2"/>
  <c r="N297" i="2"/>
  <c r="N397" i="2"/>
  <c r="N1059" i="2"/>
  <c r="N237" i="2"/>
  <c r="N410" i="2"/>
  <c r="N254" i="2"/>
  <c r="N899" i="2"/>
  <c r="N45" i="2"/>
  <c r="N1010" i="2"/>
  <c r="N310" i="2"/>
  <c r="N183" i="2"/>
  <c r="N769" i="2"/>
  <c r="N39" i="2"/>
  <c r="N525" i="2"/>
  <c r="N387" i="2"/>
  <c r="N1096" i="2"/>
  <c r="N540" i="2"/>
  <c r="N831" i="2"/>
  <c r="N227" i="2"/>
  <c r="N148" i="2"/>
  <c r="N527" i="2"/>
  <c r="N471" i="2"/>
  <c r="N652" i="2"/>
  <c r="N972" i="2"/>
  <c r="N718" i="2"/>
  <c r="N882" i="2"/>
  <c r="N529" i="2"/>
  <c r="N792" i="2"/>
  <c r="N1121" i="2"/>
  <c r="N701" i="2"/>
  <c r="N1118" i="2"/>
  <c r="N865" i="2"/>
  <c r="N914" i="2"/>
  <c r="N712" i="2"/>
  <c r="N49" i="2"/>
  <c r="N930" i="2"/>
  <c r="N30" i="2"/>
  <c r="N1078" i="2"/>
  <c r="N301" i="2"/>
  <c r="N27" i="2"/>
  <c r="N1013" i="2"/>
  <c r="N6" i="2"/>
  <c r="N1122" i="2"/>
  <c r="N1150" i="2"/>
  <c r="N1074" i="2"/>
  <c r="N308" i="2"/>
  <c r="N1186" i="2"/>
  <c r="N459" i="2"/>
  <c r="N890" i="2"/>
  <c r="N793" i="2"/>
  <c r="N799" i="2"/>
  <c r="N1139" i="2"/>
  <c r="N155" i="2"/>
  <c r="N585" i="2"/>
  <c r="N111" i="2"/>
  <c r="N351" i="2"/>
  <c r="N784" i="2"/>
  <c r="N596" i="2"/>
  <c r="N325" i="2"/>
  <c r="N161" i="2"/>
  <c r="N559" i="2"/>
  <c r="N672" i="2"/>
  <c r="N458" i="2"/>
  <c r="N118" i="2"/>
  <c r="N519" i="2"/>
  <c r="N589" i="2"/>
  <c r="N810" i="2"/>
  <c r="N786" i="2"/>
  <c r="N803" i="2"/>
  <c r="N762" i="2"/>
  <c r="N515" i="2"/>
  <c r="N475" i="2"/>
  <c r="N966" i="2"/>
  <c r="N635" i="2"/>
  <c r="N942" i="2"/>
  <c r="N400" i="2"/>
  <c r="N437" i="2"/>
  <c r="N510" i="2"/>
  <c r="N229" i="2"/>
  <c r="N379" i="2"/>
  <c r="N1053" i="2"/>
  <c r="N476" i="2"/>
  <c r="N216" i="2"/>
  <c r="N867" i="2"/>
  <c r="N600" i="2"/>
  <c r="N650" i="2"/>
  <c r="N919" i="2"/>
  <c r="N651" i="2"/>
  <c r="N491" i="2"/>
  <c r="N960" i="2"/>
  <c r="N910" i="2"/>
  <c r="N773" i="2"/>
  <c r="N895" i="2"/>
  <c r="N1184" i="2"/>
  <c r="N1018" i="2"/>
  <c r="N1062" i="2"/>
  <c r="N641" i="2"/>
  <c r="N1079" i="2"/>
  <c r="N590" i="2"/>
  <c r="N66" i="2"/>
  <c r="N760" i="2"/>
  <c r="N655" i="2"/>
  <c r="N685" i="2"/>
  <c r="N1019" i="2"/>
  <c r="N1143" i="2"/>
  <c r="N208" i="2"/>
  <c r="N197" i="2"/>
  <c r="N241" i="2"/>
  <c r="N1130" i="2"/>
  <c r="N225" i="2"/>
  <c r="N1048" i="2"/>
  <c r="N146" i="2"/>
  <c r="N243" i="2"/>
  <c r="N445" i="2"/>
  <c r="N643" i="2"/>
  <c r="N933" i="2"/>
  <c r="N900" i="2"/>
  <c r="N293" i="2"/>
  <c r="N419" i="2"/>
  <c r="N864" i="2"/>
  <c r="N1076" i="2"/>
  <c r="N190" i="2"/>
  <c r="N201" i="2"/>
  <c r="N50" i="2"/>
  <c r="N949" i="2"/>
  <c r="N687" i="2"/>
  <c r="N1147" i="2"/>
  <c r="N1000" i="2"/>
  <c r="N151" i="2"/>
  <c r="N859" i="2"/>
  <c r="N1162" i="2"/>
  <c r="N1014" i="2"/>
  <c r="N1075" i="2"/>
  <c r="N894" i="2"/>
  <c r="N282" i="2"/>
  <c r="N766" i="2"/>
  <c r="N913" i="2"/>
  <c r="N350" i="2"/>
  <c r="N286" i="2"/>
  <c r="N360" i="2"/>
  <c r="N273" i="2"/>
  <c r="N958" i="2"/>
  <c r="N598" i="2"/>
  <c r="N670" i="2"/>
  <c r="N179" i="2"/>
  <c r="N244" i="2"/>
  <c r="N994" i="2"/>
  <c r="N105" i="2"/>
  <c r="N376" i="2"/>
  <c r="N479" i="2"/>
  <c r="N534" i="2"/>
  <c r="N561" i="2"/>
  <c r="N709" i="2"/>
  <c r="N260" i="2"/>
  <c r="N1195" i="2"/>
  <c r="N289" i="2"/>
  <c r="N825" i="2"/>
  <c r="N358" i="2"/>
  <c r="N681" i="2"/>
  <c r="N554" i="2"/>
  <c r="N848" i="2"/>
  <c r="N771" i="2"/>
  <c r="N547" i="2"/>
  <c r="N560" i="2"/>
  <c r="N944" i="2"/>
  <c r="N963" i="2"/>
  <c r="N940" i="2"/>
  <c r="N842" i="2"/>
  <c r="N613" i="2"/>
  <c r="N121" i="2"/>
  <c r="N580" i="2"/>
  <c r="N698" i="2"/>
  <c r="N261" i="2"/>
  <c r="N166" i="2"/>
  <c r="N1171" i="2"/>
  <c r="N209" i="2"/>
  <c r="N962" i="2"/>
  <c r="N335" i="2"/>
  <c r="N980" i="2"/>
  <c r="N86" i="2"/>
  <c r="N664" i="2"/>
  <c r="N509" i="2"/>
  <c r="N1175" i="2"/>
  <c r="N23" i="2"/>
  <c r="N647" i="2"/>
  <c r="N1133" i="2"/>
  <c r="N95" i="2"/>
  <c r="N298" i="2"/>
  <c r="N359" i="2"/>
  <c r="N31" i="2"/>
  <c r="N587" i="2"/>
  <c r="N694" i="2"/>
  <c r="N911" i="2"/>
  <c r="N1144" i="2"/>
  <c r="N714" i="2"/>
  <c r="N296" i="2"/>
  <c r="N1117" i="2"/>
  <c r="N677" i="2"/>
  <c r="N939" i="2"/>
  <c r="N163" i="2"/>
  <c r="N743" i="2"/>
  <c r="N83" i="2"/>
  <c r="N61" i="2"/>
  <c r="N731" i="2"/>
  <c r="N35" i="2"/>
  <c r="N117" i="2"/>
  <c r="N679" i="2"/>
  <c r="N349" i="2"/>
  <c r="N707" i="2"/>
  <c r="N546" i="2"/>
  <c r="N15" i="2"/>
  <c r="N977" i="2"/>
  <c r="N536" i="2"/>
  <c r="N876" i="2"/>
  <c r="N153" i="2"/>
  <c r="N660" i="2"/>
  <c r="N457" i="2"/>
  <c r="N1011" i="2"/>
  <c r="N591" i="2"/>
  <c r="N778" i="2"/>
  <c r="N1177" i="2"/>
  <c r="N279" i="2"/>
  <c r="N356" i="2"/>
  <c r="N907" i="2"/>
  <c r="N634" i="2"/>
  <c r="N868" i="2"/>
  <c r="N822" i="2"/>
  <c r="N384" i="2"/>
  <c r="N336" i="2"/>
  <c r="N480" i="2"/>
  <c r="N797" i="2"/>
  <c r="N1197" i="2"/>
  <c r="N541" i="2"/>
  <c r="N12" i="2"/>
  <c r="N1081" i="2"/>
  <c r="N517" i="2"/>
  <c r="N1163" i="2"/>
  <c r="N856" i="2"/>
  <c r="N391" i="2"/>
  <c r="N33" i="2"/>
  <c r="N451" i="2"/>
  <c r="N492" i="2"/>
  <c r="N13" i="2"/>
  <c r="N311" i="2"/>
  <c r="N1098" i="2"/>
  <c r="N477" i="2"/>
  <c r="N523" i="2"/>
  <c r="N29" i="2"/>
  <c r="N464" i="2"/>
  <c r="N592" i="2"/>
  <c r="N985" i="2"/>
  <c r="N333" i="2"/>
  <c r="N581" i="2"/>
  <c r="N575" i="2"/>
  <c r="N777" i="2"/>
  <c r="N951" i="2"/>
  <c r="N200" i="2"/>
  <c r="N774" i="2"/>
  <c r="N1188" i="2"/>
  <c r="N292" i="2"/>
  <c r="N57" i="2"/>
  <c r="N365" i="2"/>
  <c r="N833" i="2"/>
  <c r="N1095" i="2"/>
  <c r="N150" i="2"/>
  <c r="N328" i="2"/>
  <c r="N73" i="2"/>
  <c r="N345" i="2"/>
  <c r="N805" i="2"/>
  <c r="N873" i="2"/>
  <c r="N946" i="2"/>
  <c r="N1055" i="2"/>
  <c r="N1190" i="2"/>
  <c r="N849" i="2"/>
  <c r="N330" i="2"/>
  <c r="N563" i="2"/>
  <c r="N922" i="2"/>
  <c r="N67" i="2"/>
  <c r="N115" i="2"/>
  <c r="N362" i="2"/>
  <c r="N947" i="2"/>
  <c r="N1179" i="2"/>
  <c r="N228" i="2"/>
  <c r="N1032" i="2"/>
  <c r="N488" i="2"/>
  <c r="N662" i="2"/>
  <c r="N800" i="2"/>
  <c r="N551" i="2"/>
  <c r="N106" i="2"/>
  <c r="N622" i="2"/>
  <c r="N1124" i="2"/>
  <c r="N820" i="2"/>
  <c r="N20" i="2"/>
  <c r="N675" i="2"/>
  <c r="N215" i="2"/>
  <c r="N160" i="2"/>
  <c r="N170" i="2"/>
  <c r="N386" i="2"/>
  <c r="N259" i="2"/>
  <c r="N1003" i="2"/>
  <c r="N1167" i="2"/>
  <c r="N717" i="2"/>
  <c r="N176" i="2"/>
  <c r="N761" i="2"/>
  <c r="N318" i="2"/>
  <c r="N886" i="2"/>
  <c r="N804" i="2"/>
  <c r="N684" i="2"/>
  <c r="N268" i="2"/>
  <c r="N533" i="2"/>
  <c r="N369" i="2"/>
  <c r="N198" i="2"/>
  <c r="N461" i="2"/>
  <c r="N1100" i="2"/>
  <c r="N291" i="2"/>
  <c r="N695" i="2"/>
  <c r="N1110" i="2"/>
  <c r="N125" i="2"/>
  <c r="N572" i="2"/>
  <c r="N253" i="2"/>
  <c r="N583" i="2"/>
  <c r="N1105" i="2"/>
  <c r="N732" i="2"/>
  <c r="N967" i="2"/>
  <c r="N973" i="2"/>
  <c r="N1109" i="2"/>
  <c r="N512" i="2"/>
  <c r="N409" i="2"/>
  <c r="N484" i="2"/>
  <c r="N807" i="2"/>
  <c r="N1093" i="2"/>
  <c r="N516" i="2"/>
  <c r="N852" i="2"/>
  <c r="N665" i="2"/>
  <c r="N462" i="2"/>
  <c r="N218" i="2"/>
  <c r="N608" i="2"/>
  <c r="N189" i="2"/>
  <c r="N1151" i="2"/>
  <c r="N924" i="2"/>
  <c r="N1198" i="2"/>
  <c r="N1146" i="2"/>
  <c r="N326" i="2"/>
  <c r="N428" i="2"/>
  <c r="N1134" i="2"/>
  <c r="N1089" i="2"/>
  <c r="N430" i="2"/>
  <c r="N1082" i="2"/>
  <c r="N532" i="2"/>
  <c r="N1135" i="2"/>
  <c r="N506" i="2"/>
  <c r="N990" i="2"/>
  <c r="N850" i="2"/>
  <c r="N343" i="2"/>
  <c r="N1039" i="2"/>
  <c r="N1057" i="2"/>
  <c r="N809" i="2"/>
  <c r="N558" i="2"/>
  <c r="N307" i="2"/>
  <c r="N450" i="2"/>
  <c r="N36" i="2"/>
  <c r="N851" i="2"/>
  <c r="N815" i="2"/>
  <c r="N1185" i="2"/>
  <c r="N724" i="2"/>
  <c r="N834" i="2"/>
  <c r="N1187" i="2"/>
  <c r="N908" i="2"/>
  <c r="N566" i="2"/>
  <c r="N521" i="2"/>
  <c r="N705" i="2"/>
  <c r="N1028" i="2"/>
  <c r="N443" i="2"/>
  <c r="N768" i="2"/>
  <c r="N432" i="2"/>
  <c r="N143" i="2"/>
  <c r="N323" i="2"/>
  <c r="N814" i="2"/>
  <c r="N811" i="2"/>
  <c r="N657" i="2"/>
  <c r="N309" i="2"/>
  <c r="N932" i="2"/>
  <c r="N42" i="2"/>
  <c r="N691" i="2"/>
  <c r="N573" i="2"/>
  <c r="N223" i="2"/>
  <c r="N956" i="2"/>
  <c r="N704" i="2"/>
  <c r="N122" i="2"/>
  <c r="N315" i="2"/>
  <c r="N58" i="2"/>
  <c r="N1102" i="2"/>
  <c r="N981" i="2"/>
  <c r="N76" i="2"/>
  <c r="N212" i="2"/>
  <c r="N1116" i="2"/>
  <c r="N108" i="2"/>
  <c r="N1145" i="2"/>
  <c r="N697" i="2"/>
  <c r="N203" i="2"/>
  <c r="N818" i="2"/>
  <c r="N219" i="2"/>
  <c r="N1126" i="2"/>
  <c r="N819" i="2"/>
  <c r="N637" i="2"/>
  <c r="N1149" i="2"/>
  <c r="N438" i="2"/>
  <c r="N847" i="2"/>
  <c r="N1068" i="2"/>
  <c r="N304" i="2"/>
  <c r="N954" i="2"/>
  <c r="N54" i="2"/>
  <c r="N640" i="2"/>
  <c r="N508" i="2"/>
  <c r="N485" i="2"/>
  <c r="N568" i="2"/>
  <c r="N539" i="2"/>
  <c r="N1153" i="2"/>
  <c r="N1114" i="2"/>
  <c r="N411" i="2"/>
  <c r="N552" i="2"/>
  <c r="N1164" i="2"/>
  <c r="N1160" i="2"/>
  <c r="N239" i="2"/>
  <c r="N1084" i="2"/>
  <c r="N1070" i="2"/>
  <c r="N801" i="2"/>
  <c r="N597" i="2"/>
  <c r="N231" i="2"/>
  <c r="N668" i="2"/>
  <c r="N64" i="2"/>
  <c r="N1056" i="2"/>
  <c r="N601" i="2"/>
  <c r="N999" i="2"/>
  <c r="N116" i="2"/>
  <c r="N370" i="2"/>
  <c r="N93" i="2"/>
  <c r="N638" i="2"/>
  <c r="N513" i="2"/>
  <c r="N101" i="2"/>
  <c r="N138" i="2"/>
  <c r="N257" i="2"/>
  <c r="N47" i="2"/>
  <c r="N80" i="2"/>
  <c r="N104" i="2"/>
  <c r="N342" i="2"/>
  <c r="N1090" i="2"/>
  <c r="N178" i="2"/>
  <c r="N1029" i="2"/>
  <c r="N745" i="2"/>
  <c r="N616" i="2"/>
  <c r="N473" i="2"/>
  <c r="N327" i="2"/>
  <c r="N1097" i="2"/>
  <c r="N574" i="2"/>
  <c r="N1199" i="2"/>
  <c r="N555" i="2"/>
  <c r="N874" i="2"/>
  <c r="N466" i="2"/>
  <c r="N935" i="2"/>
  <c r="N1166" i="2"/>
  <c r="N537" i="2"/>
  <c r="N502" i="2"/>
  <c r="N902" i="2"/>
  <c r="N53" i="2"/>
  <c r="N159" i="2"/>
  <c r="N1128" i="2"/>
  <c r="N1016" i="2"/>
  <c r="N588" i="2"/>
  <c r="N1024" i="2"/>
  <c r="N595" i="2"/>
  <c r="N272" i="2"/>
  <c r="N344" i="2"/>
  <c r="N246" i="2"/>
  <c r="N748" i="2"/>
  <c r="N447" i="2"/>
  <c r="N280" i="2"/>
  <c r="N1035" i="2"/>
  <c r="N806" i="2"/>
  <c r="N74" i="2"/>
  <c r="N746" i="2"/>
  <c r="N995" i="2"/>
  <c r="N346" i="2"/>
  <c r="N1071" i="2"/>
  <c r="N1030" i="2"/>
  <c r="N952" i="2"/>
  <c r="N233" i="2"/>
  <c r="N463" i="2"/>
  <c r="N421" i="2"/>
  <c r="N826" i="2"/>
  <c r="N269" i="2"/>
  <c r="N4" i="2"/>
  <c r="N89" i="2"/>
  <c r="N119" i="2"/>
  <c r="N69" i="2"/>
  <c r="N314" i="2"/>
  <c r="N262" i="2"/>
  <c r="N845" i="2"/>
  <c r="N837" i="2"/>
  <c r="N1136" i="2"/>
  <c r="N417" i="2"/>
  <c r="N891" i="2"/>
  <c r="N131" i="2"/>
  <c r="N51" i="2"/>
  <c r="N740" i="2"/>
  <c r="N1158" i="2"/>
  <c r="N747" i="2"/>
  <c r="N1034" i="2"/>
  <c r="N265" i="2"/>
  <c r="N824" i="2"/>
  <c r="N1129" i="2"/>
  <c r="N224" i="2"/>
  <c r="N612" i="2"/>
  <c r="N854" i="2"/>
  <c r="N486" i="2"/>
  <c r="N329" i="2"/>
  <c r="N1103" i="2"/>
  <c r="N393" i="2"/>
  <c r="N402" i="2"/>
  <c r="N37" i="2"/>
  <c r="N1012" i="2"/>
  <c r="N120" i="2"/>
  <c r="N1183" i="2"/>
  <c r="N789" i="2"/>
  <c r="N59" i="2"/>
  <c r="N65" i="2"/>
  <c r="N678" i="2"/>
  <c r="N1192" i="2"/>
  <c r="N334" i="2"/>
  <c r="N493" i="2"/>
  <c r="N673" i="2"/>
  <c r="N905" i="2"/>
  <c r="N841" i="2"/>
  <c r="N465" i="2"/>
  <c r="N152" i="2"/>
  <c r="N375" i="2"/>
  <c r="N1054" i="2"/>
  <c r="N204" i="2"/>
  <c r="N283" i="2"/>
  <c r="N1180" i="2"/>
  <c r="N372" i="2"/>
  <c r="N674" i="2"/>
  <c r="N245" i="2"/>
  <c r="N348" i="2"/>
  <c r="N1148" i="2"/>
  <c r="N1142" i="2"/>
  <c r="N5" i="2"/>
  <c r="N780" i="2"/>
  <c r="N569" i="2"/>
  <c r="N1172" i="2"/>
  <c r="N1193" i="2"/>
  <c r="N621" i="2"/>
  <c r="N70" i="2"/>
  <c r="N1138" i="2"/>
  <c r="N736" i="2"/>
  <c r="N274" i="2"/>
  <c r="N192" i="2"/>
  <c r="N1189" i="2"/>
  <c r="N322" i="2"/>
  <c r="N321" i="2"/>
  <c r="N885" i="2"/>
  <c r="N440" i="2"/>
  <c r="N991" i="2"/>
  <c r="N749" i="2"/>
  <c r="N213" i="2"/>
  <c r="N264" i="2"/>
  <c r="N763" i="2"/>
  <c r="N658" i="2"/>
  <c r="N474" i="2"/>
  <c r="N395" i="2"/>
  <c r="N663" i="2"/>
  <c r="N968" i="2"/>
  <c r="N252" i="2"/>
  <c r="N976" i="2"/>
  <c r="N649" i="2"/>
  <c r="N210" i="2"/>
  <c r="N496" i="2"/>
  <c r="N636" i="2"/>
  <c r="N505" i="2"/>
  <c r="N186" i="2"/>
  <c r="N796" i="2"/>
  <c r="N77" i="2"/>
  <c r="N1037" i="2"/>
  <c r="N610" i="2"/>
  <c r="N157" i="2"/>
  <c r="N690" i="2"/>
  <c r="N147" i="2"/>
  <c r="N605" i="2"/>
  <c r="N10" i="2"/>
  <c r="N974" i="2"/>
  <c r="N142" i="2"/>
  <c r="N619" i="2"/>
  <c r="N676" i="2"/>
  <c r="N881" i="2"/>
  <c r="N55" i="2"/>
  <c r="N666" i="2"/>
  <c r="N381" i="2"/>
  <c r="N989" i="2"/>
  <c r="N248" i="2"/>
  <c r="N1067" i="2"/>
  <c r="N481" i="2"/>
  <c r="N964" i="2"/>
  <c r="N1099" i="2"/>
  <c r="N181" i="2"/>
  <c r="N757" i="2"/>
  <c r="N347" i="2"/>
  <c r="N615" i="2"/>
  <c r="N1058" i="2"/>
  <c r="N680" i="2"/>
  <c r="N205" i="2"/>
  <c r="N28" i="2"/>
  <c r="N920" i="2"/>
  <c r="N338" i="2"/>
  <c r="N937" i="2"/>
  <c r="N644" i="2"/>
  <c r="N843" i="2"/>
  <c r="N1041" i="2"/>
  <c r="N396" i="2"/>
  <c r="N38" i="2"/>
  <c r="N1036" i="2"/>
  <c r="N753" i="2"/>
  <c r="N955" i="2"/>
  <c r="N339" i="2"/>
  <c r="N752" i="2"/>
  <c r="N565" i="2"/>
  <c r="N271" i="2"/>
  <c r="N1182" i="2"/>
  <c r="N599" i="2"/>
  <c r="N733" i="2"/>
  <c r="N403" i="2"/>
  <c r="N518" i="2"/>
  <c r="N319" i="2"/>
  <c r="N1080" i="2"/>
  <c r="N791" i="2"/>
  <c r="N829" i="2"/>
  <c r="N1159" i="2"/>
  <c r="N788" i="2"/>
  <c r="N174" i="2"/>
  <c r="N353" i="2"/>
  <c r="N25" i="2"/>
  <c r="N783" i="2"/>
  <c r="N90" i="2"/>
  <c r="N1044" i="2"/>
  <c r="N52" i="2"/>
  <c r="N302" i="2"/>
  <c r="N1051" i="2"/>
  <c r="N986" i="2"/>
  <c r="N18" i="2"/>
  <c r="N1038" i="2"/>
  <c r="N898" i="2"/>
  <c r="N821" i="2"/>
  <c r="N1152" i="2"/>
  <c r="N1065" i="2"/>
  <c r="N713" i="2"/>
  <c r="N567" i="2"/>
  <c r="N102" i="2"/>
  <c r="N424" i="2"/>
  <c r="N1140" i="2"/>
  <c r="N44" i="2"/>
  <c r="N531" i="2"/>
  <c r="N618" i="2"/>
  <c r="N373" i="2"/>
  <c r="N912" i="2"/>
  <c r="N971" i="2"/>
  <c r="N341" i="2"/>
  <c r="N785" i="2"/>
  <c r="N354" i="2"/>
  <c r="N498" i="2"/>
  <c r="N137" i="2"/>
  <c r="N247" i="2"/>
  <c r="N782" i="2"/>
  <c r="N892" i="2"/>
  <c r="N683" i="2"/>
  <c r="N332" i="2"/>
  <c r="N426" i="2"/>
  <c r="N487" i="2"/>
  <c r="N331" i="2"/>
  <c r="N1201" i="2"/>
  <c r="N903" i="2"/>
  <c r="N884" i="2"/>
  <c r="N84" i="2"/>
  <c r="N453" i="2"/>
  <c r="N1176" i="2"/>
  <c r="N399" i="2"/>
  <c r="N226" i="2"/>
  <c r="N1087" i="2"/>
  <c r="N211" i="2"/>
  <c r="N1112" i="2"/>
  <c r="N1001" i="2"/>
  <c r="N1008" i="2"/>
  <c r="N579" i="2"/>
  <c r="N194" i="2"/>
  <c r="N207" i="2"/>
  <c r="N415" i="2"/>
  <c r="N750" i="2"/>
  <c r="N449" i="2"/>
  <c r="N103" i="2"/>
  <c r="N751" i="2"/>
  <c r="N1125" i="2"/>
  <c r="N1066" i="2"/>
  <c r="N1060" i="2"/>
  <c r="N1005" i="2"/>
  <c r="N722" i="2"/>
  <c r="N630" i="2"/>
  <c r="N764" i="2"/>
  <c r="N433" i="2"/>
  <c r="N91" i="2"/>
  <c r="N32" i="2"/>
  <c r="N943" i="2"/>
  <c r="N548" i="2"/>
  <c r="N92" i="2"/>
  <c r="N46" i="2"/>
  <c r="N604" i="2"/>
  <c r="N378" i="2"/>
  <c r="N794" i="2"/>
  <c r="N62" i="2"/>
  <c r="N998" i="2"/>
  <c r="N288" i="2"/>
  <c r="N802" i="2"/>
  <c r="N132" i="2"/>
  <c r="N504" i="2"/>
  <c r="N632" i="2"/>
  <c r="N642" i="2"/>
  <c r="N693" i="2"/>
  <c r="N222" i="2"/>
  <c r="N594" i="2"/>
  <c r="N754" i="2"/>
  <c r="N217" i="2"/>
  <c r="N294" i="2"/>
  <c r="N68" i="2"/>
  <c r="N482" i="2"/>
  <c r="N817" i="2"/>
  <c r="N1106" i="2"/>
  <c r="N878" i="2"/>
  <c r="N167" i="2"/>
  <c r="N22" i="2"/>
  <c r="N422" i="2"/>
  <c r="N734" i="2"/>
  <c r="N870" i="2"/>
  <c r="N925" i="2"/>
  <c r="N130" i="2"/>
  <c r="N495" i="2"/>
  <c r="N571" i="2"/>
  <c r="N828" i="2"/>
  <c r="N941" i="2"/>
  <c r="N715" i="2"/>
  <c r="N629" i="2"/>
  <c r="N716" i="2"/>
  <c r="N978" i="2"/>
  <c r="N993" i="2"/>
  <c r="N1091" i="2"/>
  <c r="N1083" i="2"/>
  <c r="N1025" i="2"/>
  <c r="N667" i="2"/>
  <c r="N1017" i="2"/>
  <c r="N235" i="2"/>
  <c r="N454" i="2"/>
  <c r="N861" i="2"/>
  <c r="N1168" i="2"/>
  <c r="N1042" i="2"/>
  <c r="N564" i="2"/>
  <c r="N444" i="2"/>
  <c r="N1046" i="2"/>
  <c r="N470" i="2"/>
  <c r="N98" i="2"/>
  <c r="N923" i="2"/>
  <c r="N187" i="2"/>
  <c r="N772" i="2"/>
  <c r="N872" i="2"/>
  <c r="N823" i="2"/>
  <c r="N1027" i="2"/>
  <c r="N1154" i="2"/>
  <c r="N770" i="2"/>
  <c r="N1202" i="2"/>
  <c r="N846" i="2"/>
  <c r="N434" i="2"/>
  <c r="K959" i="2"/>
  <c r="I959" i="2" s="1"/>
  <c r="K960" i="2" l="1"/>
  <c r="I960" i="2" s="1"/>
  <c r="J960" i="2"/>
  <c r="J961" i="2" l="1"/>
  <c r="K961" i="2" s="1"/>
  <c r="I961" i="2" s="1"/>
  <c r="J962" i="2" l="1"/>
  <c r="K962" i="2" l="1"/>
  <c r="I962" i="2"/>
  <c r="J963" i="2" s="1"/>
  <c r="K963" i="2" s="1"/>
  <c r="I963" i="2" s="1"/>
  <c r="J964" i="2" l="1"/>
  <c r="K964" i="2" l="1"/>
  <c r="I964" i="2" s="1"/>
  <c r="J965" i="2" s="1"/>
  <c r="K965" i="2" l="1"/>
  <c r="I965" i="2"/>
  <c r="J966" i="2" s="1"/>
  <c r="K966" i="2" l="1"/>
  <c r="I966" i="2" s="1"/>
  <c r="J967" i="2" l="1"/>
  <c r="K967" i="2" s="1"/>
  <c r="I967" i="2" s="1"/>
  <c r="J968" i="2" l="1"/>
  <c r="K968" i="2" s="1"/>
  <c r="I968" i="2" l="1"/>
  <c r="J969" i="2" s="1"/>
  <c r="K969" i="2" l="1"/>
  <c r="I969" i="2" s="1"/>
  <c r="J970" i="2" l="1"/>
  <c r="K970" i="2" s="1"/>
  <c r="I970" i="2" l="1"/>
  <c r="J971" i="2" s="1"/>
  <c r="K971" i="2" l="1"/>
  <c r="I971" i="2" s="1"/>
  <c r="J972" i="2" s="1"/>
  <c r="K972" i="2" l="1"/>
  <c r="I972" i="2" s="1"/>
  <c r="J973" i="2" l="1"/>
  <c r="K973" i="2" l="1"/>
  <c r="I973" i="2" s="1"/>
  <c r="J974" i="2" l="1"/>
  <c r="K974" i="2" l="1"/>
  <c r="I974" i="2" s="1"/>
  <c r="K975" i="2" l="1"/>
  <c r="I975" i="2" s="1"/>
  <c r="J975" i="2"/>
  <c r="J976" i="2" l="1"/>
  <c r="K976" i="2" s="1"/>
  <c r="I976" i="2" s="1"/>
  <c r="J977" i="2" l="1"/>
  <c r="K977" i="2" s="1"/>
  <c r="I977" i="2" l="1"/>
  <c r="J978" i="2" s="1"/>
  <c r="K978" i="2" l="1"/>
  <c r="I978" i="2" s="1"/>
  <c r="J979" i="2" l="1"/>
  <c r="K979" i="2" l="1"/>
  <c r="I979" i="2" s="1"/>
  <c r="J980" i="2" l="1"/>
  <c r="K980" i="2" s="1"/>
  <c r="I980" i="2" s="1"/>
  <c r="J981" i="2" l="1"/>
  <c r="K981" i="2" l="1"/>
  <c r="I981" i="2" s="1"/>
  <c r="J982" i="2" l="1"/>
  <c r="K982" i="2" s="1"/>
  <c r="I982" i="2" s="1"/>
  <c r="J983" i="2" l="1"/>
  <c r="K983" i="2" l="1"/>
  <c r="I983" i="2" s="1"/>
  <c r="J984" i="2" l="1"/>
  <c r="K984" i="2" s="1"/>
  <c r="I984" i="2" s="1"/>
  <c r="J985" i="2" l="1"/>
  <c r="K985" i="2" l="1"/>
  <c r="I985" i="2" s="1"/>
  <c r="J986" i="2" l="1"/>
  <c r="K986" i="2" s="1"/>
  <c r="I986" i="2" s="1"/>
  <c r="J987" i="2" l="1"/>
  <c r="K987" i="2" l="1"/>
  <c r="I987" i="2" s="1"/>
  <c r="J988" i="2" l="1"/>
  <c r="K988" i="2" l="1"/>
  <c r="I988" i="2" s="1"/>
  <c r="J989" i="2" l="1"/>
  <c r="K989" i="2" s="1"/>
  <c r="I989" i="2" s="1"/>
  <c r="J990" i="2" l="1"/>
  <c r="K990" i="2" s="1"/>
  <c r="I990" i="2" l="1"/>
  <c r="J991" i="2"/>
  <c r="K991" i="2" s="1"/>
  <c r="I991" i="2" s="1"/>
  <c r="J992" i="2" l="1"/>
  <c r="K992" i="2" s="1"/>
  <c r="I992" i="2" s="1"/>
  <c r="J993" i="2" l="1"/>
  <c r="K993" i="2" l="1"/>
  <c r="I993" i="2" s="1"/>
  <c r="J994" i="2" l="1"/>
  <c r="K994" i="2" l="1"/>
  <c r="I994" i="2" s="1"/>
  <c r="J995" i="2" l="1"/>
  <c r="K995" i="2" s="1"/>
  <c r="I995" i="2" s="1"/>
  <c r="J996" i="2" l="1"/>
  <c r="K996" i="2" s="1"/>
  <c r="I996" i="2" l="1"/>
  <c r="J997" i="2" s="1"/>
  <c r="K997" i="2" s="1"/>
  <c r="I997" i="2" l="1"/>
  <c r="J998" i="2" s="1"/>
  <c r="K998" i="2" l="1"/>
  <c r="I998" i="2" s="1"/>
  <c r="J999" i="2" l="1"/>
  <c r="K999" i="2" s="1"/>
  <c r="I999" i="2" s="1"/>
  <c r="J1000" i="2" l="1"/>
  <c r="K1000" i="2" s="1"/>
  <c r="I1000" i="2" s="1"/>
  <c r="J1001" i="2" l="1"/>
  <c r="K1001" i="2" s="1"/>
  <c r="I1001" i="2" s="1"/>
  <c r="J1002" i="2" l="1"/>
  <c r="K1002" i="2" s="1"/>
  <c r="I1002" i="2" s="1"/>
  <c r="J1003" i="2" l="1"/>
  <c r="K1003" i="2" l="1"/>
  <c r="I1003" i="2" s="1"/>
  <c r="J1004" i="2" l="1"/>
  <c r="K1004" i="2" l="1"/>
  <c r="I1004" i="2" s="1"/>
  <c r="J1005" i="2" l="1"/>
  <c r="K1005" i="2" l="1"/>
  <c r="I1005" i="2" s="1"/>
  <c r="J1006" i="2" l="1"/>
  <c r="K1006" i="2" l="1"/>
  <c r="I1006" i="2" s="1"/>
  <c r="J1007" i="2" l="1"/>
  <c r="K1007" i="2" l="1"/>
  <c r="I1007" i="2" s="1"/>
  <c r="J1008" i="2" l="1"/>
  <c r="K1008" i="2" l="1"/>
  <c r="I1008" i="2" s="1"/>
  <c r="J1009" i="2" l="1"/>
  <c r="K1009" i="2" l="1"/>
  <c r="I1009" i="2" s="1"/>
  <c r="J1010" i="2" l="1"/>
  <c r="K1010" i="2" l="1"/>
  <c r="I1010" i="2" s="1"/>
  <c r="J1011" i="2" l="1"/>
  <c r="K1011" i="2" l="1"/>
  <c r="I1011" i="2" s="1"/>
  <c r="J1012" i="2" l="1"/>
  <c r="K1012" i="2" s="1"/>
  <c r="I1012" i="2" s="1"/>
  <c r="J1013" i="2" l="1"/>
  <c r="K1013" i="2" l="1"/>
  <c r="I1013" i="2" s="1"/>
  <c r="J1014" i="2" l="1"/>
  <c r="K1014" i="2" l="1"/>
  <c r="I1014" i="2" s="1"/>
  <c r="J1015" i="2" l="1"/>
  <c r="K1015" i="2" s="1"/>
  <c r="I1015" i="2" s="1"/>
  <c r="J1016" i="2" l="1"/>
  <c r="K1016" i="2" l="1"/>
  <c r="I1016" i="2" s="1"/>
  <c r="J1017" i="2" s="1"/>
  <c r="K1017" i="2" l="1"/>
  <c r="I1017" i="2" s="1"/>
  <c r="J1018" i="2" l="1"/>
  <c r="K1018" i="2" s="1"/>
  <c r="I1018" i="2" s="1"/>
  <c r="J1019" i="2" l="1"/>
  <c r="K1019" i="2" l="1"/>
  <c r="I1019" i="2" s="1"/>
  <c r="J1020" i="2" l="1"/>
  <c r="K1020" i="2" s="1"/>
  <c r="I1020" i="2" s="1"/>
  <c r="J1021" i="2" l="1"/>
  <c r="K1021" i="2" s="1"/>
  <c r="I1021" i="2" s="1"/>
  <c r="J1022" i="2" l="1"/>
  <c r="K1022" i="2" s="1"/>
  <c r="I1022" i="2" s="1"/>
  <c r="J1023" i="2" l="1"/>
  <c r="K1023" i="2" s="1"/>
  <c r="I1023" i="2" s="1"/>
  <c r="J1024" i="2" l="1"/>
  <c r="K1024" i="2" s="1"/>
  <c r="I1024" i="2" s="1"/>
  <c r="J1025" i="2" l="1"/>
  <c r="K1025" i="2" s="1"/>
  <c r="I1025" i="2" s="1"/>
  <c r="J1026" i="2" l="1"/>
  <c r="K1026" i="2" s="1"/>
  <c r="I1026" i="2" l="1"/>
  <c r="J1027" i="2" l="1"/>
  <c r="K1027" i="2" s="1"/>
  <c r="I1027" i="2" s="1"/>
  <c r="J1028" i="2" l="1"/>
  <c r="K1028" i="2" s="1"/>
  <c r="I1028" i="2" s="1"/>
  <c r="J1029" i="2" s="1"/>
  <c r="K1029" i="2" l="1"/>
  <c r="I1029" i="2" s="1"/>
  <c r="J1030" i="2" l="1"/>
  <c r="K1030" i="2" l="1"/>
  <c r="I1030" i="2" s="1"/>
  <c r="J1031" i="2" l="1"/>
  <c r="K1031" i="2" s="1"/>
  <c r="I1031" i="2" l="1"/>
  <c r="J1032" i="2" s="1"/>
  <c r="K1032" i="2" s="1"/>
  <c r="I1032" i="2" s="1"/>
  <c r="J1033" i="2" l="1"/>
  <c r="K1033" i="2" s="1"/>
  <c r="I1033" i="2" l="1"/>
  <c r="J1034" i="2" s="1"/>
  <c r="K1034" i="2" l="1"/>
  <c r="I1034" i="2" s="1"/>
  <c r="J1035" i="2" l="1"/>
  <c r="K1035" i="2" l="1"/>
  <c r="I1035" i="2" s="1"/>
  <c r="J1036" i="2" l="1"/>
  <c r="K1036" i="2" s="1"/>
  <c r="I1036" i="2" s="1"/>
  <c r="J1037" i="2" l="1"/>
  <c r="K1037" i="2" l="1"/>
  <c r="I1037" i="2" s="1"/>
  <c r="K1038" i="2" l="1"/>
  <c r="I1038" i="2" s="1"/>
  <c r="J1038" i="2"/>
  <c r="J1039" i="2" l="1"/>
  <c r="I1039" i="2" l="1"/>
  <c r="K1039" i="2"/>
  <c r="J1040" i="2" l="1"/>
  <c r="K1040" i="2" l="1"/>
  <c r="I1040" i="2" s="1"/>
  <c r="J1041" i="2" l="1"/>
  <c r="K1041" i="2" s="1"/>
  <c r="I1041" i="2" s="1"/>
  <c r="J1042" i="2" l="1"/>
  <c r="I1042" i="2" l="1"/>
  <c r="K1042" i="2"/>
  <c r="J1043" i="2" l="1"/>
  <c r="K1043" i="2" l="1"/>
  <c r="I1043" i="2" s="1"/>
  <c r="J1044" i="2" l="1"/>
  <c r="K1044" i="2" l="1"/>
  <c r="I1044" i="2" s="1"/>
  <c r="J1045" i="2" l="1"/>
  <c r="K1045" i="2" l="1"/>
  <c r="I1045" i="2" s="1"/>
  <c r="J1046" i="2" l="1"/>
  <c r="K1046" i="2" s="1"/>
  <c r="I1046" i="2" l="1"/>
  <c r="J1047" i="2" l="1"/>
  <c r="K1047" i="2" l="1"/>
  <c r="I1047" i="2" s="1"/>
  <c r="J1048" i="2" l="1"/>
  <c r="K1048" i="2"/>
  <c r="I1048" i="2" s="1"/>
  <c r="J1049" i="2" s="1"/>
  <c r="K1049" i="2" l="1"/>
  <c r="I1049" i="2" s="1"/>
  <c r="J1050" i="2" l="1"/>
  <c r="K1050" i="2" s="1"/>
  <c r="I1050" i="2" s="1"/>
  <c r="J1051" i="2" l="1"/>
  <c r="K1051" i="2" s="1"/>
  <c r="I1051" i="2" s="1"/>
  <c r="J1052" i="2" l="1"/>
  <c r="K1052" i="2" s="1"/>
  <c r="I1052" i="2" s="1"/>
  <c r="J1053" i="2" l="1"/>
  <c r="K1053" i="2" s="1"/>
  <c r="I1053" i="2" s="1"/>
  <c r="J1054" i="2" l="1"/>
  <c r="K1054" i="2" l="1"/>
  <c r="I1054" i="2" s="1"/>
  <c r="J1055" i="2" l="1"/>
  <c r="K1055" i="2" s="1"/>
  <c r="I1055" i="2" s="1"/>
  <c r="J1056" i="2" l="1"/>
  <c r="K1056" i="2" l="1"/>
  <c r="I1056" i="2" s="1"/>
  <c r="J1057" i="2" l="1"/>
  <c r="K1057" i="2" s="1"/>
  <c r="I1057" i="2" s="1"/>
  <c r="J1058" i="2" l="1"/>
  <c r="K1058" i="2" s="1"/>
  <c r="I1058" i="2" s="1"/>
  <c r="J1059" i="2" l="1"/>
  <c r="K1059" i="2" s="1"/>
  <c r="I1059" i="2" s="1"/>
  <c r="J1060" i="2" l="1"/>
  <c r="K1060" i="2" l="1"/>
  <c r="I1060" i="2" s="1"/>
  <c r="J1061" i="2" l="1"/>
  <c r="K1061" i="2"/>
  <c r="I1061" i="2" l="1"/>
  <c r="J1062" i="2" s="1"/>
  <c r="K1062" i="2" l="1"/>
  <c r="I1062" i="2" s="1"/>
  <c r="J1063" i="2" l="1"/>
  <c r="K1063" i="2" s="1"/>
  <c r="I1063" i="2" s="1"/>
  <c r="J1064" i="2" l="1"/>
  <c r="K1064" i="2"/>
  <c r="I1064" i="2" l="1"/>
  <c r="J1065" i="2"/>
  <c r="K1065" i="2" l="1"/>
  <c r="I1065" i="2" s="1"/>
  <c r="J1066" i="2" l="1"/>
  <c r="K1066" i="2" s="1"/>
  <c r="I1066" i="2" s="1"/>
  <c r="J1067" i="2" l="1"/>
  <c r="K1067" i="2" l="1"/>
  <c r="I1067" i="2" s="1"/>
  <c r="J1068" i="2" l="1"/>
  <c r="K1068" i="2" s="1"/>
  <c r="I1068" i="2" s="1"/>
  <c r="J1069" i="2" l="1"/>
  <c r="K1069" i="2" s="1"/>
  <c r="I1069" i="2" l="1"/>
  <c r="J1070" i="2" s="1"/>
  <c r="K1070" i="2" s="1"/>
  <c r="I1070" i="2" s="1"/>
  <c r="J1071" i="2" l="1"/>
  <c r="K1071" i="2" l="1"/>
  <c r="I1071" i="2" s="1"/>
  <c r="J1072" i="2" l="1"/>
  <c r="K1072" i="2" l="1"/>
  <c r="I1072" i="2" s="1"/>
  <c r="J1073" i="2" l="1"/>
  <c r="K1073" i="2" s="1"/>
  <c r="I1073" i="2" s="1"/>
  <c r="J1074" i="2" l="1"/>
  <c r="K1074" i="2" l="1"/>
  <c r="I1074" i="2" s="1"/>
  <c r="J1075" i="2" l="1"/>
  <c r="K1075" i="2" l="1"/>
  <c r="I1075" i="2" s="1"/>
  <c r="J1076" i="2" l="1"/>
  <c r="K1076" i="2" s="1"/>
  <c r="I1076" i="2" s="1"/>
  <c r="J1077" i="2" l="1"/>
  <c r="K1077" i="2" s="1"/>
  <c r="I1077" i="2" l="1"/>
  <c r="J1078" i="2"/>
  <c r="K1078" i="2" s="1"/>
  <c r="I1078" i="2" s="1"/>
  <c r="J1079" i="2" l="1"/>
  <c r="K1079" i="2" l="1"/>
  <c r="I1079" i="2" s="1"/>
  <c r="J1080" i="2" l="1"/>
  <c r="K1080" i="2" s="1"/>
  <c r="I1080" i="2" s="1"/>
  <c r="J1081" i="2" l="1"/>
  <c r="K1081" i="2" l="1"/>
  <c r="I1081" i="2" s="1"/>
  <c r="J1082" i="2" l="1"/>
  <c r="K1082" i="2" l="1"/>
  <c r="I1082" i="2" s="1"/>
  <c r="J1083" i="2" l="1"/>
  <c r="K1083" i="2" s="1"/>
  <c r="I1083" i="2" s="1"/>
  <c r="J1084" i="2" l="1"/>
  <c r="K1084" i="2" l="1"/>
  <c r="I1084" i="2" s="1"/>
  <c r="J1085" i="2" l="1"/>
  <c r="K1085" i="2" s="1"/>
  <c r="I1085" i="2" l="1"/>
  <c r="J1086" i="2" l="1"/>
  <c r="K1086" i="2" s="1"/>
  <c r="I1086" i="2" l="1"/>
  <c r="J1087" i="2" s="1"/>
  <c r="K1087" i="2" s="1"/>
  <c r="I1087" i="2" s="1"/>
  <c r="J1088" i="2" s="1"/>
  <c r="K1088" i="2" s="1"/>
  <c r="I1088" i="2" s="1"/>
  <c r="J1089" i="2" l="1"/>
  <c r="K1089" i="2" s="1"/>
  <c r="I1089" i="2" s="1"/>
  <c r="J1090" i="2" l="1"/>
  <c r="K1090" i="2" s="1"/>
  <c r="I1090" i="2" l="1"/>
  <c r="J1091" i="2" l="1"/>
  <c r="K1091" i="2" s="1"/>
  <c r="I1091" i="2" s="1"/>
  <c r="J1092" i="2" s="1"/>
  <c r="K1092" i="2" s="1"/>
  <c r="I1092" i="2" l="1"/>
  <c r="J1093" i="2" s="1"/>
  <c r="K1093" i="2" l="1"/>
  <c r="I1093" i="2" s="1"/>
  <c r="J1094" i="2" l="1"/>
  <c r="K1094" i="2" l="1"/>
  <c r="I1094" i="2" s="1"/>
  <c r="J1095" i="2" l="1"/>
  <c r="K1095" i="2" s="1"/>
  <c r="I1095" i="2" l="1"/>
  <c r="J1096" i="2"/>
  <c r="K1096" i="2"/>
  <c r="I1096" i="2" s="1"/>
  <c r="J1097" i="2" l="1"/>
  <c r="K1097" i="2" s="1"/>
  <c r="I1097" i="2" s="1"/>
  <c r="J1098" i="2" l="1"/>
  <c r="K1098" i="2" s="1"/>
  <c r="I1098" i="2" s="1"/>
  <c r="J1099" i="2" l="1"/>
  <c r="K1099" i="2" s="1"/>
  <c r="I1099" i="2" s="1"/>
  <c r="J1100" i="2" l="1"/>
  <c r="K1100" i="2" s="1"/>
  <c r="I1100" i="2" s="1"/>
  <c r="J1101" i="2" l="1"/>
  <c r="K1101" i="2" l="1"/>
  <c r="I1101" i="2" s="1"/>
  <c r="J1102" i="2" l="1"/>
  <c r="K1102" i="2" l="1"/>
  <c r="I1102" i="2" s="1"/>
  <c r="J1103" i="2" l="1"/>
  <c r="K1103" i="2" s="1"/>
  <c r="I1103" i="2" l="1"/>
  <c r="J1104" i="2" l="1"/>
  <c r="K1104" i="2" s="1"/>
  <c r="I1104" i="2" s="1"/>
  <c r="J1105" i="2" s="1"/>
  <c r="K1105" i="2" l="1"/>
  <c r="I1105" i="2" s="1"/>
  <c r="J1106" i="2" l="1"/>
  <c r="K1106" i="2" l="1"/>
  <c r="I1106" i="2" s="1"/>
  <c r="K1107" i="2" l="1"/>
  <c r="I1107" i="2" s="1"/>
  <c r="J1107" i="2"/>
  <c r="J1108" i="2" l="1"/>
  <c r="K1108" i="2" l="1"/>
  <c r="I1108" i="2" s="1"/>
  <c r="J1109" i="2" l="1"/>
  <c r="K1109" i="2" l="1"/>
  <c r="I1109" i="2" s="1"/>
  <c r="J1110" i="2" l="1"/>
  <c r="K1110" i="2" s="1"/>
  <c r="I1110" i="2" s="1"/>
  <c r="J1111" i="2" l="1"/>
  <c r="K1111" i="2" s="1"/>
  <c r="I1111" i="2" l="1"/>
  <c r="J1112" i="2" s="1"/>
  <c r="K1112" i="2" l="1"/>
  <c r="I1112" i="2" s="1"/>
  <c r="J1113" i="2" l="1"/>
  <c r="K1113" i="2" l="1"/>
  <c r="I1113" i="2" s="1"/>
  <c r="J1114" i="2" l="1"/>
  <c r="K1114" i="2" l="1"/>
  <c r="I1114" i="2" s="1"/>
  <c r="J1115" i="2" l="1"/>
  <c r="K1115" i="2" l="1"/>
  <c r="I1115" i="2" s="1"/>
  <c r="J1116" i="2" l="1"/>
  <c r="K1116" i="2" s="1"/>
  <c r="I1116" i="2" s="1"/>
  <c r="J1117" i="2" l="1"/>
  <c r="K1117" i="2" l="1"/>
  <c r="I1117" i="2" s="1"/>
  <c r="J1118" i="2" l="1"/>
  <c r="K1118" i="2" s="1"/>
  <c r="I1118" i="2" s="1"/>
  <c r="J1119" i="2" l="1"/>
  <c r="K1119" i="2" l="1"/>
  <c r="I1119" i="2" s="1"/>
  <c r="J1120" i="2" l="1"/>
  <c r="K1120" i="2" l="1"/>
  <c r="I1120" i="2" s="1"/>
  <c r="J1121" i="2" l="1"/>
  <c r="K1121" i="2" l="1"/>
  <c r="I1121" i="2" s="1"/>
  <c r="J1122" i="2" l="1"/>
  <c r="K1122" i="2" s="1"/>
  <c r="I1122" i="2" s="1"/>
  <c r="J1123" i="2" l="1"/>
  <c r="K1123" i="2" s="1"/>
  <c r="I1123" i="2" s="1"/>
  <c r="J1124" i="2" l="1"/>
  <c r="K1124" i="2" l="1"/>
  <c r="I1124" i="2" s="1"/>
  <c r="J1125" i="2" l="1"/>
  <c r="K1125" i="2" l="1"/>
  <c r="I1125" i="2" s="1"/>
  <c r="J1126" i="2" l="1"/>
  <c r="K1126" i="2" s="1"/>
  <c r="I1126" i="2" s="1"/>
  <c r="J1127" i="2" l="1"/>
  <c r="K1127" i="2" l="1"/>
  <c r="I1127" i="2" s="1"/>
  <c r="J1128" i="2" l="1"/>
  <c r="K1128" i="2" s="1"/>
  <c r="I1128" i="2" s="1"/>
  <c r="J1129" i="2" l="1"/>
  <c r="K1129" i="2" l="1"/>
  <c r="I1129" i="2" s="1"/>
  <c r="J1130" i="2" l="1"/>
  <c r="K1130" i="2" s="1"/>
  <c r="I1130" i="2" s="1"/>
  <c r="J1131" i="2" l="1"/>
  <c r="K1131" i="2" s="1"/>
  <c r="I1131" i="2" s="1"/>
  <c r="J1132" i="2" l="1"/>
  <c r="K1132" i="2" s="1"/>
  <c r="I1132" i="2" s="1"/>
  <c r="J1133" i="2" l="1"/>
  <c r="K1133" i="2" s="1"/>
  <c r="I1133" i="2" s="1"/>
  <c r="J1134" i="2" l="1"/>
  <c r="K1134" i="2" s="1"/>
  <c r="I1134" i="2" s="1"/>
  <c r="J1135" i="2" l="1"/>
  <c r="K1135" i="2" l="1"/>
  <c r="I1135" i="2" s="1"/>
  <c r="J1136" i="2" l="1"/>
  <c r="K1136" i="2" l="1"/>
  <c r="I1136" i="2" s="1"/>
  <c r="J1137" i="2" l="1"/>
  <c r="K1137" i="2" l="1"/>
  <c r="I1137" i="2" s="1"/>
  <c r="J1138" i="2" l="1"/>
  <c r="K1138" i="2" l="1"/>
  <c r="I1138" i="2" s="1"/>
  <c r="J1139" i="2" l="1"/>
  <c r="K1139" i="2" s="1"/>
  <c r="I1139" i="2" s="1"/>
  <c r="J1140" i="2" l="1"/>
  <c r="K1140" i="2" l="1"/>
  <c r="I1140" i="2" s="1"/>
  <c r="J1141" i="2" s="1"/>
  <c r="K1141" i="2" l="1"/>
  <c r="I1141" i="2" s="1"/>
  <c r="J1142" i="2" l="1"/>
  <c r="K1142" i="2" l="1"/>
  <c r="I1142" i="2" s="1"/>
  <c r="J1143" i="2" l="1"/>
  <c r="K1143" i="2" s="1"/>
  <c r="I1143" i="2" s="1"/>
  <c r="J1144" i="2" l="1"/>
  <c r="K1144" i="2" s="1"/>
  <c r="I1144" i="2" s="1"/>
  <c r="K1145" i="2" l="1"/>
  <c r="I1145" i="2"/>
  <c r="J1145" i="2"/>
  <c r="J1146" i="2" l="1"/>
  <c r="K1146" i="2" s="1"/>
  <c r="I1146" i="2" s="1"/>
  <c r="J1147" i="2" l="1"/>
  <c r="K1147" i="2" s="1"/>
  <c r="I1147" i="2" s="1"/>
  <c r="J1148" i="2" l="1"/>
  <c r="K1148" i="2" l="1"/>
  <c r="I1148" i="2" s="1"/>
  <c r="J1149" i="2" l="1"/>
  <c r="K1149" i="2" l="1"/>
  <c r="I1149" i="2" s="1"/>
  <c r="J1150" i="2" l="1"/>
  <c r="K1150" i="2" s="1"/>
  <c r="I1150" i="2" s="1"/>
  <c r="J1151" i="2" l="1"/>
  <c r="K1151" i="2" s="1"/>
  <c r="I1151" i="2" s="1"/>
  <c r="J1152" i="2" l="1"/>
  <c r="K1152" i="2" l="1"/>
  <c r="I1152" i="2" s="1"/>
  <c r="J1153" i="2" l="1"/>
  <c r="K1153" i="2" s="1"/>
  <c r="I1153" i="2" s="1"/>
  <c r="J1154" i="2" l="1"/>
  <c r="K1154" i="2" s="1"/>
  <c r="I1154" i="2" l="1"/>
  <c r="J1155" i="2" s="1"/>
  <c r="K1155" i="2" s="1"/>
  <c r="I1155" i="2" s="1"/>
  <c r="J1156" i="2" l="1"/>
  <c r="K1156" i="2" l="1"/>
  <c r="I1156" i="2" s="1"/>
  <c r="K1157" i="2" l="1"/>
  <c r="I1157" i="2" s="1"/>
  <c r="J1157" i="2"/>
  <c r="J1158" i="2" l="1"/>
  <c r="K1158" i="2" l="1"/>
  <c r="I1158" i="2" s="1"/>
  <c r="J1159" i="2" l="1"/>
  <c r="K1159" i="2" s="1"/>
  <c r="I1159" i="2" s="1"/>
  <c r="J1160" i="2" l="1"/>
  <c r="K1160" i="2" s="1"/>
  <c r="I1160" i="2" s="1"/>
  <c r="J1161" i="2" l="1"/>
  <c r="K1161" i="2"/>
  <c r="I1161" i="2" s="1"/>
  <c r="J1162" i="2" l="1"/>
  <c r="K1162" i="2" s="1"/>
  <c r="I1162" i="2" s="1"/>
  <c r="J1163" i="2" l="1"/>
  <c r="K1163" i="2" l="1"/>
  <c r="I1163" i="2" s="1"/>
  <c r="J1164" i="2" l="1"/>
  <c r="K1164" i="2" s="1"/>
  <c r="I1164" i="2" s="1"/>
  <c r="J1165" i="2" l="1"/>
  <c r="K1165" i="2" l="1"/>
  <c r="I1165" i="2" s="1"/>
  <c r="J1166" i="2" l="1"/>
  <c r="K1166" i="2" s="1"/>
  <c r="I1166" i="2" s="1"/>
  <c r="J1167" i="2" l="1"/>
  <c r="K1167" i="2" l="1"/>
  <c r="I1167" i="2" s="1"/>
  <c r="J1168" i="2" l="1"/>
  <c r="K1168" i="2" s="1"/>
  <c r="I1168" i="2" s="1"/>
  <c r="J1169" i="2" l="1"/>
  <c r="K1169" i="2" s="1"/>
  <c r="I1169" i="2" s="1"/>
  <c r="K1170" i="2" l="1"/>
  <c r="I1170" i="2" s="1"/>
  <c r="J1170" i="2"/>
  <c r="J1171" i="2" l="1"/>
  <c r="K1171" i="2" s="1"/>
  <c r="I1171" i="2" l="1"/>
  <c r="J1172" i="2"/>
  <c r="K1172" i="2" s="1"/>
  <c r="I1172" i="2" s="1"/>
  <c r="J1173" i="2" l="1"/>
  <c r="K1173" i="2" l="1"/>
  <c r="I1173" i="2" s="1"/>
  <c r="J1174" i="2" l="1"/>
  <c r="K1174" i="2" s="1"/>
  <c r="I1174" i="2" l="1"/>
  <c r="J1175" i="2" l="1"/>
  <c r="K1175" i="2" s="1"/>
  <c r="I1175" i="2" s="1"/>
  <c r="J1176" i="2" l="1"/>
  <c r="K1176" i="2" s="1"/>
  <c r="I1176" i="2" s="1"/>
  <c r="J1177" i="2" l="1"/>
  <c r="K1177" i="2" s="1"/>
  <c r="I1177" i="2" l="1"/>
  <c r="J1178" i="2" s="1"/>
  <c r="K1178" i="2" l="1"/>
  <c r="I1178" i="2" s="1"/>
  <c r="J1179" i="2" l="1"/>
  <c r="K1179" i="2" s="1"/>
  <c r="I1179" i="2" l="1"/>
  <c r="K1180" i="2" l="1"/>
  <c r="I1180" i="2" s="1"/>
  <c r="J1181" i="2" s="1"/>
  <c r="K1181" i="2" s="1"/>
  <c r="I1181" i="2" s="1"/>
  <c r="J1180" i="2"/>
  <c r="J1182" i="2" l="1"/>
  <c r="K1182" i="2" s="1"/>
  <c r="I1182" i="2" s="1"/>
  <c r="J1183" i="2" l="1"/>
  <c r="K1183" i="2" s="1"/>
  <c r="I1183" i="2" s="1"/>
  <c r="J1184" i="2" l="1"/>
  <c r="K1184" i="2" s="1"/>
  <c r="I1184" i="2" s="1"/>
  <c r="J1185" i="2" l="1"/>
  <c r="K1185" i="2" l="1"/>
  <c r="I1185" i="2" s="1"/>
  <c r="J1186" i="2" l="1"/>
  <c r="K1186" i="2" s="1"/>
  <c r="I1186" i="2" s="1"/>
  <c r="J1187" i="2" l="1"/>
  <c r="K1187" i="2" s="1"/>
  <c r="I1187" i="2" s="1"/>
  <c r="J1188" i="2" l="1"/>
  <c r="K1188" i="2" s="1"/>
  <c r="I1188" i="2" s="1"/>
  <c r="J1189" i="2" l="1"/>
  <c r="K1189" i="2" l="1"/>
  <c r="I1189" i="2" s="1"/>
  <c r="J1190" i="2" l="1"/>
  <c r="K1190" i="2" l="1"/>
  <c r="I1190" i="2" s="1"/>
  <c r="J1191" i="2" l="1"/>
  <c r="K1191" i="2" l="1"/>
  <c r="I1191" i="2" s="1"/>
  <c r="J1192" i="2" l="1"/>
  <c r="K1192" i="2" l="1"/>
  <c r="I1192" i="2" s="1"/>
  <c r="J1193" i="2" l="1"/>
  <c r="K1193" i="2" l="1"/>
  <c r="I1193" i="2" s="1"/>
  <c r="J1194" i="2" l="1"/>
  <c r="K1194" i="2" s="1"/>
  <c r="I1194" i="2" s="1"/>
  <c r="J1195" i="2" l="1"/>
  <c r="K1195" i="2" l="1"/>
  <c r="I1195" i="2" s="1"/>
  <c r="J1196" i="2" l="1"/>
  <c r="K1196" i="2" l="1"/>
  <c r="I1196" i="2" s="1"/>
  <c r="J1197" i="2" l="1"/>
  <c r="K1197" i="2" l="1"/>
  <c r="I1197" i="2" s="1"/>
  <c r="J1198" i="2" l="1"/>
  <c r="K1198" i="2" l="1"/>
  <c r="I1198" i="2" s="1"/>
  <c r="J1199" i="2" l="1"/>
  <c r="K1199" i="2" l="1"/>
  <c r="I1199" i="2" s="1"/>
  <c r="J1200" i="2" l="1"/>
  <c r="K1200" i="2" l="1"/>
  <c r="I1200" i="2" s="1"/>
  <c r="J1201" i="2" l="1"/>
  <c r="K1201" i="2" l="1"/>
  <c r="I1201" i="2" s="1"/>
  <c r="J1202" i="2" l="1"/>
  <c r="K1202" i="2" s="1"/>
  <c r="I1202" i="2" s="1"/>
  <c r="J1203" i="2" l="1"/>
  <c r="K1203" i="2" l="1"/>
  <c r="I1203" i="2" s="1"/>
</calcChain>
</file>

<file path=xl/sharedStrings.xml><?xml version="1.0" encoding="utf-8"?>
<sst xmlns="http://schemas.openxmlformats.org/spreadsheetml/2006/main" count="20" uniqueCount="18">
  <si>
    <t>t</t>
  </si>
  <si>
    <t>Duration</t>
  </si>
  <si>
    <t>Policy year</t>
  </si>
  <si>
    <t>lx</t>
  </si>
  <si>
    <t>Mortality rate</t>
  </si>
  <si>
    <t>Lapse rate</t>
  </si>
  <si>
    <t>Discount rate</t>
  </si>
  <si>
    <t>Attained age</t>
  </si>
  <si>
    <t>Year</t>
  </si>
  <si>
    <t>Premium</t>
  </si>
  <si>
    <t>dx</t>
  </si>
  <si>
    <t>wx</t>
  </si>
  <si>
    <t>Discount factor</t>
  </si>
  <si>
    <t>PV</t>
  </si>
  <si>
    <t>output premium</t>
  </si>
  <si>
    <t>output PV</t>
  </si>
  <si>
    <t>Check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</si>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</sst>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amples/data/sample_data.xlsx" TargetMode="External"/><Relationship Id="rId2" Type="http://schemas.openxmlformats.org/officeDocument/2006/relationships/externalLinkPath" Target="file:///D:\Coding%20projects\Actuarial%20Calculation%20Engine\examples\data\sample_data.xlsx" TargetMode="External"/><Relationship Id="rId1" Type="http://schemas.openxmlformats.org/officeDocument/2006/relationships/externalLinkPath" Target="/Coding%20projects/Actuarial%20Calculation%20Engine/examples/data/sample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amples/output/results_sample_product_cf.csv" TargetMode="External"/><Relationship Id="rId2" Type="http://schemas.openxmlformats.org/officeDocument/2006/relationships/externalLinkPath" Target="file:///D:\Coding%20projects\Actuarial%20Calculation%20Engine\examples\output\results_sample_product_cf.csv" TargetMode="External"/><Relationship Id="rId1" Type="http://schemas.openxmlformats.org/officeDocument/2006/relationships/externalLinkPath" Target="/Coding%20projects/Actuarial%20Calculation%20Engine/examples/output/results_sample_product_cf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_point"/>
      <sheetName val="Product parameters"/>
      <sheetName val="202512 BE mortality"/>
      <sheetName val="202512 BE lapse"/>
      <sheetName val="202512 RFR"/>
      <sheetName val="202512 BE assumptions"/>
    </sheetNames>
    <sheetDataSet>
      <sheetData sheetId="0">
        <row r="2">
          <cell r="C2">
            <v>5</v>
          </cell>
          <cell r="E2">
            <v>5</v>
          </cell>
          <cell r="F2">
            <v>2</v>
          </cell>
          <cell r="G2">
            <v>200000</v>
          </cell>
        </row>
      </sheetData>
      <sheetData sheetId="1">
        <row r="2">
          <cell r="C2">
            <v>5</v>
          </cell>
        </row>
      </sheetData>
      <sheetData sheetId="2">
        <row r="1">
          <cell r="A1" t="str">
            <v>age</v>
          </cell>
          <cell r="B1" t="str">
            <v>sex</v>
          </cell>
          <cell r="C1" t="str">
            <v>rate</v>
          </cell>
        </row>
        <row r="2">
          <cell r="A2">
            <v>0</v>
          </cell>
          <cell r="B2" t="str">
            <v>M</v>
          </cell>
          <cell r="C2">
            <v>5.373852986039436E-3</v>
          </cell>
        </row>
        <row r="3">
          <cell r="A3">
            <v>1</v>
          </cell>
          <cell r="B3" t="str">
            <v>M</v>
          </cell>
          <cell r="C3">
            <v>4.9375922169321938E-3</v>
          </cell>
        </row>
        <row r="4">
          <cell r="A4">
            <v>2</v>
          </cell>
          <cell r="B4" t="str">
            <v>M</v>
          </cell>
          <cell r="C4">
            <v>5.2664763478185821E-3</v>
          </cell>
        </row>
        <row r="5">
          <cell r="A5">
            <v>3</v>
          </cell>
          <cell r="B5" t="str">
            <v>M</v>
          </cell>
          <cell r="C5">
            <v>6.6894451292436204E-4</v>
          </cell>
        </row>
        <row r="6">
          <cell r="A6">
            <v>4</v>
          </cell>
          <cell r="B6" t="str">
            <v>M</v>
          </cell>
          <cell r="C6">
            <v>3.9115707541821972E-3</v>
          </cell>
        </row>
        <row r="7">
          <cell r="A7">
            <v>5</v>
          </cell>
          <cell r="B7" t="str">
            <v>M</v>
          </cell>
          <cell r="C7">
            <v>2.3417643661255306E-3</v>
          </cell>
        </row>
        <row r="8">
          <cell r="A8">
            <v>6</v>
          </cell>
          <cell r="B8" t="str">
            <v>M</v>
          </cell>
          <cell r="C8">
            <v>9.9960692575303319E-3</v>
          </cell>
        </row>
        <row r="9">
          <cell r="A9">
            <v>7</v>
          </cell>
          <cell r="B9" t="str">
            <v>M</v>
          </cell>
          <cell r="C9">
            <v>4.9035780872345534E-3</v>
          </cell>
        </row>
        <row r="10">
          <cell r="A10">
            <v>8</v>
          </cell>
          <cell r="B10" t="str">
            <v>M</v>
          </cell>
          <cell r="C10">
            <v>7.8750887518856012E-3</v>
          </cell>
        </row>
        <row r="11">
          <cell r="A11">
            <v>9</v>
          </cell>
          <cell r="B11" t="str">
            <v>M</v>
          </cell>
          <cell r="C11">
            <v>4.6243394137694353E-3</v>
          </cell>
        </row>
        <row r="12">
          <cell r="A12">
            <v>10</v>
          </cell>
          <cell r="B12" t="str">
            <v>M</v>
          </cell>
          <cell r="C12">
            <v>2.4193608315434944E-3</v>
          </cell>
        </row>
        <row r="13">
          <cell r="A13">
            <v>11</v>
          </cell>
          <cell r="B13" t="str">
            <v>M</v>
          </cell>
          <cell r="C13">
            <v>5.6123690547769446E-4</v>
          </cell>
        </row>
        <row r="14">
          <cell r="A14">
            <v>12</v>
          </cell>
          <cell r="B14" t="str">
            <v>M</v>
          </cell>
          <cell r="C14">
            <v>8.2183179536042487E-3</v>
          </cell>
        </row>
        <row r="15">
          <cell r="A15">
            <v>13</v>
          </cell>
          <cell r="B15" t="str">
            <v>M</v>
          </cell>
          <cell r="C15">
            <v>5.9254463616920331E-3</v>
          </cell>
        </row>
        <row r="16">
          <cell r="A16">
            <v>14</v>
          </cell>
          <cell r="B16" t="str">
            <v>M</v>
          </cell>
          <cell r="C16">
            <v>1.7947762260182608E-3</v>
          </cell>
        </row>
        <row r="17">
          <cell r="A17">
            <v>15</v>
          </cell>
          <cell r="B17" t="str">
            <v>M</v>
          </cell>
          <cell r="C17">
            <v>6.0654879821912084E-4</v>
          </cell>
        </row>
        <row r="18">
          <cell r="A18">
            <v>16</v>
          </cell>
          <cell r="B18" t="str">
            <v>M</v>
          </cell>
          <cell r="C18">
            <v>7.6041726411284476E-5</v>
          </cell>
        </row>
        <row r="19">
          <cell r="A19">
            <v>17</v>
          </cell>
          <cell r="B19" t="str">
            <v>M</v>
          </cell>
          <cell r="C19">
            <v>4.4021862708375414E-3</v>
          </cell>
        </row>
        <row r="20">
          <cell r="A20">
            <v>18</v>
          </cell>
          <cell r="B20" t="str">
            <v>M</v>
          </cell>
          <cell r="C20">
            <v>2.4788509802417093E-3</v>
          </cell>
        </row>
        <row r="21">
          <cell r="A21">
            <v>19</v>
          </cell>
          <cell r="B21" t="str">
            <v>M</v>
          </cell>
          <cell r="C21">
            <v>1.0036168278939239E-3</v>
          </cell>
        </row>
        <row r="22">
          <cell r="A22">
            <v>20</v>
          </cell>
          <cell r="B22" t="str">
            <v>M</v>
          </cell>
          <cell r="C22">
            <v>4.6559460784614017E-3</v>
          </cell>
        </row>
        <row r="23">
          <cell r="A23">
            <v>21</v>
          </cell>
          <cell r="B23" t="str">
            <v>M</v>
          </cell>
          <cell r="C23">
            <v>4.5198312897122795E-3</v>
          </cell>
        </row>
        <row r="24">
          <cell r="A24">
            <v>22</v>
          </cell>
          <cell r="B24" t="str">
            <v>M</v>
          </cell>
          <cell r="C24">
            <v>1.3929128928966472E-4</v>
          </cell>
        </row>
        <row r="25">
          <cell r="A25">
            <v>23</v>
          </cell>
          <cell r="B25" t="str">
            <v>M</v>
          </cell>
          <cell r="C25">
            <v>9.0152450745054728E-3</v>
          </cell>
        </row>
        <row r="26">
          <cell r="A26">
            <v>24</v>
          </cell>
          <cell r="B26" t="str">
            <v>M</v>
          </cell>
          <cell r="C26">
            <v>6.5496862025020584E-3</v>
          </cell>
        </row>
        <row r="27">
          <cell r="A27">
            <v>25</v>
          </cell>
          <cell r="B27" t="str">
            <v>M</v>
          </cell>
          <cell r="C27">
            <v>5.6707981639405576E-3</v>
          </cell>
        </row>
        <row r="28">
          <cell r="A28">
            <v>26</v>
          </cell>
          <cell r="B28" t="str">
            <v>M</v>
          </cell>
          <cell r="C28">
            <v>6.1857911183559686E-3</v>
          </cell>
        </row>
        <row r="29">
          <cell r="A29">
            <v>27</v>
          </cell>
          <cell r="B29" t="str">
            <v>M</v>
          </cell>
          <cell r="C29">
            <v>2.233170360114718E-3</v>
          </cell>
        </row>
        <row r="30">
          <cell r="A30">
            <v>28</v>
          </cell>
          <cell r="B30" t="str">
            <v>M</v>
          </cell>
          <cell r="C30">
            <v>3.539421623045963E-3</v>
          </cell>
        </row>
        <row r="31">
          <cell r="A31">
            <v>29</v>
          </cell>
          <cell r="B31" t="str">
            <v>M</v>
          </cell>
          <cell r="C31">
            <v>5.86866475794918E-3</v>
          </cell>
        </row>
        <row r="32">
          <cell r="A32">
            <v>30</v>
          </cell>
          <cell r="B32" t="str">
            <v>M</v>
          </cell>
          <cell r="C32">
            <v>6.7126407146811287E-4</v>
          </cell>
        </row>
        <row r="33">
          <cell r="A33">
            <v>31</v>
          </cell>
          <cell r="B33" t="str">
            <v>M</v>
          </cell>
          <cell r="C33">
            <v>1.0711993415442999E-3</v>
          </cell>
        </row>
        <row r="34">
          <cell r="A34">
            <v>32</v>
          </cell>
          <cell r="B34" t="str">
            <v>M</v>
          </cell>
          <cell r="C34">
            <v>5.821706736288932E-3</v>
          </cell>
        </row>
        <row r="35">
          <cell r="A35">
            <v>33</v>
          </cell>
          <cell r="B35" t="str">
            <v>M</v>
          </cell>
          <cell r="C35">
            <v>8.5983593557415489E-3</v>
          </cell>
        </row>
        <row r="36">
          <cell r="A36">
            <v>34</v>
          </cell>
          <cell r="B36" t="str">
            <v>M</v>
          </cell>
          <cell r="C36">
            <v>5.1478096954566989E-3</v>
          </cell>
        </row>
        <row r="37">
          <cell r="A37">
            <v>35</v>
          </cell>
          <cell r="B37" t="str">
            <v>M</v>
          </cell>
          <cell r="C37">
            <v>8.82484234276536E-4</v>
          </cell>
        </row>
        <row r="38">
          <cell r="A38">
            <v>36</v>
          </cell>
          <cell r="B38" t="str">
            <v>M</v>
          </cell>
          <cell r="C38">
            <v>8.4584643071768731E-3</v>
          </cell>
        </row>
        <row r="39">
          <cell r="A39">
            <v>37</v>
          </cell>
          <cell r="B39" t="str">
            <v>M</v>
          </cell>
          <cell r="C39">
            <v>8.9175996678306207E-3</v>
          </cell>
        </row>
        <row r="40">
          <cell r="A40">
            <v>38</v>
          </cell>
          <cell r="B40" t="str">
            <v>M</v>
          </cell>
          <cell r="C40">
            <v>5.3788249621590789E-3</v>
          </cell>
        </row>
        <row r="41">
          <cell r="A41">
            <v>39</v>
          </cell>
          <cell r="B41" t="str">
            <v>M</v>
          </cell>
          <cell r="C41">
            <v>9.6989730308586451E-3</v>
          </cell>
        </row>
        <row r="42">
          <cell r="A42">
            <v>40</v>
          </cell>
          <cell r="B42" t="str">
            <v>M</v>
          </cell>
          <cell r="C42">
            <v>2.428155634021024E-3</v>
          </cell>
        </row>
        <row r="43">
          <cell r="A43">
            <v>41</v>
          </cell>
          <cell r="B43" t="str">
            <v>M</v>
          </cell>
          <cell r="C43">
            <v>2.5310729501951258E-3</v>
          </cell>
        </row>
        <row r="44">
          <cell r="A44">
            <v>42</v>
          </cell>
          <cell r="B44" t="str">
            <v>M</v>
          </cell>
          <cell r="C44">
            <v>9.8189724938769415E-3</v>
          </cell>
        </row>
        <row r="45">
          <cell r="A45">
            <v>43</v>
          </cell>
          <cell r="B45" t="str">
            <v>M</v>
          </cell>
          <cell r="C45">
            <v>3.4886073334865154E-4</v>
          </cell>
        </row>
        <row r="46">
          <cell r="A46">
            <v>44</v>
          </cell>
          <cell r="B46" t="str">
            <v>M</v>
          </cell>
          <cell r="C46">
            <v>2.1742912998586029E-3</v>
          </cell>
        </row>
        <row r="47">
          <cell r="A47">
            <v>45</v>
          </cell>
          <cell r="B47" t="str">
            <v>M</v>
          </cell>
          <cell r="C47">
            <v>8.6827401774231035E-3</v>
          </cell>
        </row>
        <row r="48">
          <cell r="A48">
            <v>46</v>
          </cell>
          <cell r="B48" t="str">
            <v>M</v>
          </cell>
          <cell r="C48">
            <v>4.9787001135619489E-3</v>
          </cell>
        </row>
        <row r="49">
          <cell r="A49">
            <v>47</v>
          </cell>
          <cell r="B49" t="str">
            <v>M</v>
          </cell>
          <cell r="C49">
            <v>9.1304713855402553E-3</v>
          </cell>
        </row>
        <row r="50">
          <cell r="A50">
            <v>48</v>
          </cell>
          <cell r="B50" t="str">
            <v>M</v>
          </cell>
          <cell r="C50">
            <v>6.6357166337434395E-3</v>
          </cell>
        </row>
        <row r="51">
          <cell r="A51">
            <v>49</v>
          </cell>
          <cell r="B51" t="str">
            <v>M</v>
          </cell>
          <cell r="C51">
            <v>1.8748133276354716E-4</v>
          </cell>
        </row>
        <row r="52">
          <cell r="A52">
            <v>50</v>
          </cell>
          <cell r="B52" t="str">
            <v>M</v>
          </cell>
          <cell r="C52">
            <v>8.7211098324946126E-3</v>
          </cell>
        </row>
        <row r="53">
          <cell r="A53">
            <v>51</v>
          </cell>
          <cell r="B53" t="str">
            <v>M</v>
          </cell>
          <cell r="C53">
            <v>7.8903214180853637E-3</v>
          </cell>
        </row>
        <row r="54">
          <cell r="A54">
            <v>52</v>
          </cell>
          <cell r="B54" t="str">
            <v>M</v>
          </cell>
          <cell r="C54">
            <v>1.9729682329314023E-3</v>
          </cell>
        </row>
        <row r="55">
          <cell r="A55">
            <v>53</v>
          </cell>
          <cell r="B55" t="str">
            <v>M</v>
          </cell>
          <cell r="C55">
            <v>9.8906529385110534E-3</v>
          </cell>
        </row>
        <row r="56">
          <cell r="A56">
            <v>54</v>
          </cell>
          <cell r="B56" t="str">
            <v>M</v>
          </cell>
          <cell r="C56">
            <v>7.9881598521639487E-3</v>
          </cell>
        </row>
        <row r="57">
          <cell r="A57">
            <v>55</v>
          </cell>
          <cell r="B57" t="str">
            <v>M</v>
          </cell>
          <cell r="C57">
            <v>2.4533076518786479E-3</v>
          </cell>
        </row>
        <row r="58">
          <cell r="A58">
            <v>56</v>
          </cell>
          <cell r="B58" t="str">
            <v>M</v>
          </cell>
          <cell r="C58">
            <v>5.3879786180371456E-3</v>
          </cell>
        </row>
        <row r="59">
          <cell r="A59">
            <v>57</v>
          </cell>
          <cell r="B59" t="str">
            <v>M</v>
          </cell>
          <cell r="C59">
            <v>9.8198401908736969E-4</v>
          </cell>
        </row>
        <row r="60">
          <cell r="A60">
            <v>58</v>
          </cell>
          <cell r="B60" t="str">
            <v>M</v>
          </cell>
          <cell r="C60">
            <v>5.6847263985852249E-3</v>
          </cell>
        </row>
        <row r="61">
          <cell r="A61">
            <v>59</v>
          </cell>
          <cell r="B61" t="str">
            <v>M</v>
          </cell>
          <cell r="C61">
            <v>9.9729760017427411E-3</v>
          </cell>
        </row>
        <row r="62">
          <cell r="A62">
            <v>60</v>
          </cell>
          <cell r="B62" t="str">
            <v>M</v>
          </cell>
          <cell r="C62">
            <v>6.1089616289083104E-3</v>
          </cell>
        </row>
        <row r="63">
          <cell r="A63">
            <v>61</v>
          </cell>
          <cell r="B63" t="str">
            <v>M</v>
          </cell>
          <cell r="C63">
            <v>2.0596554292190163E-3</v>
          </cell>
        </row>
        <row r="64">
          <cell r="A64">
            <v>62</v>
          </cell>
          <cell r="B64" t="str">
            <v>M</v>
          </cell>
          <cell r="C64">
            <v>9.7591073293983761E-3</v>
          </cell>
        </row>
        <row r="65">
          <cell r="A65">
            <v>63</v>
          </cell>
          <cell r="B65" t="str">
            <v>M</v>
          </cell>
          <cell r="C65">
            <v>7.8411855407108082E-3</v>
          </cell>
        </row>
        <row r="66">
          <cell r="A66">
            <v>64</v>
          </cell>
          <cell r="B66" t="str">
            <v>M</v>
          </cell>
          <cell r="C66">
            <v>4.507058613934062E-3</v>
          </cell>
        </row>
        <row r="67">
          <cell r="A67">
            <v>65</v>
          </cell>
          <cell r="B67" t="str">
            <v>M</v>
          </cell>
          <cell r="C67">
            <v>2.2000359675133072E-3</v>
          </cell>
        </row>
        <row r="68">
          <cell r="A68">
            <v>66</v>
          </cell>
          <cell r="B68" t="str">
            <v>M</v>
          </cell>
          <cell r="C68">
            <v>4.9984193649651098E-3</v>
          </cell>
        </row>
        <row r="69">
          <cell r="A69">
            <v>67</v>
          </cell>
          <cell r="B69" t="str">
            <v>M</v>
          </cell>
          <cell r="C69">
            <v>4.9832381690332042E-3</v>
          </cell>
        </row>
        <row r="70">
          <cell r="A70">
            <v>68</v>
          </cell>
          <cell r="B70" t="str">
            <v>M</v>
          </cell>
          <cell r="C70">
            <v>1.5420740670244149E-3</v>
          </cell>
        </row>
        <row r="71">
          <cell r="A71">
            <v>69</v>
          </cell>
          <cell r="B71" t="str">
            <v>M</v>
          </cell>
          <cell r="C71">
            <v>1.1639362126644225E-3</v>
          </cell>
        </row>
        <row r="72">
          <cell r="A72">
            <v>70</v>
          </cell>
          <cell r="B72" t="str">
            <v>M</v>
          </cell>
          <cell r="C72">
            <v>3.9917880245070488E-3</v>
          </cell>
        </row>
        <row r="73">
          <cell r="A73">
            <v>71</v>
          </cell>
          <cell r="B73" t="str">
            <v>M</v>
          </cell>
          <cell r="C73">
            <v>9.0245603754328316E-3</v>
          </cell>
        </row>
        <row r="74">
          <cell r="A74">
            <v>72</v>
          </cell>
          <cell r="B74" t="str">
            <v>M</v>
          </cell>
          <cell r="C74">
            <v>9.4855903542985041E-3</v>
          </cell>
        </row>
        <row r="75">
          <cell r="A75">
            <v>73</v>
          </cell>
          <cell r="B75" t="str">
            <v>M</v>
          </cell>
          <cell r="C75">
            <v>1.4835273925847292E-3</v>
          </cell>
        </row>
        <row r="76">
          <cell r="A76">
            <v>74</v>
          </cell>
          <cell r="B76" t="str">
            <v>M</v>
          </cell>
          <cell r="C76">
            <v>6.2386952841698429E-3</v>
          </cell>
        </row>
        <row r="77">
          <cell r="A77">
            <v>75</v>
          </cell>
          <cell r="B77" t="str">
            <v>M</v>
          </cell>
          <cell r="C77">
            <v>3.2258565617946733E-3</v>
          </cell>
        </row>
        <row r="78">
          <cell r="A78">
            <v>76</v>
          </cell>
          <cell r="B78" t="str">
            <v>M</v>
          </cell>
          <cell r="C78">
            <v>8.7742454835655712E-3</v>
          </cell>
        </row>
        <row r="79">
          <cell r="A79">
            <v>77</v>
          </cell>
          <cell r="B79" t="str">
            <v>M</v>
          </cell>
          <cell r="C79">
            <v>5.8962720293262102E-4</v>
          </cell>
        </row>
        <row r="80">
          <cell r="A80">
            <v>78</v>
          </cell>
          <cell r="B80" t="str">
            <v>M</v>
          </cell>
          <cell r="C80">
            <v>1.238839360366606E-4</v>
          </cell>
        </row>
        <row r="81">
          <cell r="A81">
            <v>79</v>
          </cell>
          <cell r="B81" t="str">
            <v>M</v>
          </cell>
          <cell r="C81">
            <v>1.7766699550440335E-3</v>
          </cell>
        </row>
        <row r="82">
          <cell r="A82">
            <v>80</v>
          </cell>
          <cell r="B82" t="str">
            <v>M</v>
          </cell>
          <cell r="C82">
            <v>8.1599708609406962E-3</v>
          </cell>
        </row>
        <row r="83">
          <cell r="A83">
            <v>81</v>
          </cell>
          <cell r="B83" t="str">
            <v>M</v>
          </cell>
          <cell r="C83">
            <v>8.4223681740007803E-3</v>
          </cell>
        </row>
        <row r="84">
          <cell r="A84">
            <v>82</v>
          </cell>
          <cell r="B84" t="str">
            <v>M</v>
          </cell>
          <cell r="C84">
            <v>2.0784540178523858E-3</v>
          </cell>
        </row>
        <row r="85">
          <cell r="A85">
            <v>83</v>
          </cell>
          <cell r="B85" t="str">
            <v>M</v>
          </cell>
          <cell r="C85">
            <v>1.1966143625539083E-3</v>
          </cell>
        </row>
        <row r="86">
          <cell r="A86">
            <v>84</v>
          </cell>
          <cell r="B86" t="str">
            <v>M</v>
          </cell>
          <cell r="C86">
            <v>2.2662488712247298E-4</v>
          </cell>
        </row>
        <row r="87">
          <cell r="A87">
            <v>85</v>
          </cell>
          <cell r="B87" t="str">
            <v>M</v>
          </cell>
          <cell r="C87">
            <v>5.4360656704300616E-3</v>
          </cell>
        </row>
        <row r="88">
          <cell r="A88">
            <v>86</v>
          </cell>
          <cell r="B88" t="str">
            <v>M</v>
          </cell>
          <cell r="C88">
            <v>1.4952405743506869E-4</v>
          </cell>
        </row>
        <row r="89">
          <cell r="A89">
            <v>87</v>
          </cell>
          <cell r="B89" t="str">
            <v>M</v>
          </cell>
          <cell r="C89">
            <v>8.3847028895424405E-3</v>
          </cell>
        </row>
        <row r="90">
          <cell r="A90">
            <v>88</v>
          </cell>
          <cell r="B90" t="str">
            <v>M</v>
          </cell>
          <cell r="C90">
            <v>8.1221312764276996E-3</v>
          </cell>
        </row>
        <row r="91">
          <cell r="A91">
            <v>89</v>
          </cell>
          <cell r="B91" t="str">
            <v>M</v>
          </cell>
          <cell r="C91">
            <v>7.9362237730835929E-3</v>
          </cell>
        </row>
        <row r="92">
          <cell r="A92">
            <v>90</v>
          </cell>
          <cell r="B92" t="str">
            <v>M</v>
          </cell>
          <cell r="C92">
            <v>5.6225685761923808E-3</v>
          </cell>
        </row>
        <row r="93">
          <cell r="A93">
            <v>91</v>
          </cell>
          <cell r="B93" t="str">
            <v>M</v>
          </cell>
          <cell r="C93">
            <v>7.8671350433967731E-3</v>
          </cell>
        </row>
        <row r="94">
          <cell r="A94">
            <v>92</v>
          </cell>
          <cell r="B94" t="str">
            <v>M</v>
          </cell>
          <cell r="C94">
            <v>4.1375521310601793E-3</v>
          </cell>
        </row>
        <row r="95">
          <cell r="A95">
            <v>93</v>
          </cell>
          <cell r="B95" t="str">
            <v>M</v>
          </cell>
          <cell r="C95">
            <v>2.9653268317292758E-4</v>
          </cell>
        </row>
        <row r="96">
          <cell r="A96">
            <v>94</v>
          </cell>
          <cell r="B96" t="str">
            <v>M</v>
          </cell>
          <cell r="C96">
            <v>1.2671429787984977E-3</v>
          </cell>
        </row>
        <row r="97">
          <cell r="A97">
            <v>95</v>
          </cell>
          <cell r="B97" t="str">
            <v>M</v>
          </cell>
          <cell r="C97">
            <v>7.1438745331268141E-3</v>
          </cell>
        </row>
        <row r="98">
          <cell r="A98">
            <v>96</v>
          </cell>
          <cell r="B98" t="str">
            <v>M</v>
          </cell>
          <cell r="C98">
            <v>9.8431453037557317E-3</v>
          </cell>
        </row>
        <row r="99">
          <cell r="A99">
            <v>97</v>
          </cell>
          <cell r="B99" t="str">
            <v>M</v>
          </cell>
          <cell r="C99">
            <v>3.5623931944474929E-3</v>
          </cell>
        </row>
        <row r="100">
          <cell r="A100">
            <v>98</v>
          </cell>
          <cell r="B100" t="str">
            <v>M</v>
          </cell>
          <cell r="C100">
            <v>4.9715658653762488E-3</v>
          </cell>
        </row>
        <row r="101">
          <cell r="A101">
            <v>99</v>
          </cell>
          <cell r="B101" t="str">
            <v>M</v>
          </cell>
          <cell r="C101">
            <v>2.3828835858238895E-3</v>
          </cell>
        </row>
        <row r="102">
          <cell r="A102">
            <v>100</v>
          </cell>
          <cell r="B102" t="str">
            <v>M</v>
          </cell>
          <cell r="C102">
            <v>4.668267174587082E-3</v>
          </cell>
        </row>
        <row r="103">
          <cell r="A103">
            <v>101</v>
          </cell>
          <cell r="B103" t="str">
            <v>M</v>
          </cell>
          <cell r="C103">
            <v>2.5963606107009662E-3</v>
          </cell>
        </row>
        <row r="104">
          <cell r="A104">
            <v>102</v>
          </cell>
          <cell r="B104" t="str">
            <v>M</v>
          </cell>
          <cell r="C104">
            <v>4.3278984905831073E-3</v>
          </cell>
        </row>
        <row r="105">
          <cell r="A105">
            <v>103</v>
          </cell>
          <cell r="B105" t="str">
            <v>M</v>
          </cell>
          <cell r="C105">
            <v>4.204886615024727E-3</v>
          </cell>
        </row>
        <row r="106">
          <cell r="A106">
            <v>104</v>
          </cell>
          <cell r="B106" t="str">
            <v>M</v>
          </cell>
          <cell r="C106">
            <v>3.7660948612323508E-3</v>
          </cell>
        </row>
        <row r="107">
          <cell r="A107">
            <v>105</v>
          </cell>
          <cell r="B107" t="str">
            <v>M</v>
          </cell>
          <cell r="C107">
            <v>7.7779034994127972E-4</v>
          </cell>
        </row>
        <row r="108">
          <cell r="A108">
            <v>106</v>
          </cell>
          <cell r="B108" t="str">
            <v>M</v>
          </cell>
          <cell r="C108">
            <v>2.2697125963384991E-3</v>
          </cell>
        </row>
        <row r="109">
          <cell r="A109">
            <v>107</v>
          </cell>
          <cell r="B109" t="str">
            <v>M</v>
          </cell>
          <cell r="C109">
            <v>2.6219714928424785E-3</v>
          </cell>
        </row>
        <row r="110">
          <cell r="A110">
            <v>108</v>
          </cell>
          <cell r="B110" t="str">
            <v>M</v>
          </cell>
          <cell r="C110">
            <v>4.9566326325765075E-3</v>
          </cell>
        </row>
        <row r="111">
          <cell r="A111">
            <v>109</v>
          </cell>
          <cell r="B111" t="str">
            <v>M</v>
          </cell>
          <cell r="C111">
            <v>6.1661245178698419E-3</v>
          </cell>
        </row>
        <row r="112">
          <cell r="A112">
            <v>110</v>
          </cell>
          <cell r="B112" t="str">
            <v>M</v>
          </cell>
          <cell r="C112">
            <v>8.7155282911246159E-3</v>
          </cell>
        </row>
        <row r="113">
          <cell r="A113">
            <v>111</v>
          </cell>
          <cell r="B113" t="str">
            <v>M</v>
          </cell>
          <cell r="C113">
            <v>2.5037104790667196E-3</v>
          </cell>
        </row>
        <row r="114">
          <cell r="A114">
            <v>112</v>
          </cell>
          <cell r="B114" t="str">
            <v>M</v>
          </cell>
          <cell r="C114">
            <v>8.7036061508855827E-3</v>
          </cell>
        </row>
        <row r="115">
          <cell r="A115">
            <v>113</v>
          </cell>
          <cell r="B115" t="str">
            <v>M</v>
          </cell>
          <cell r="C115">
            <v>6.1884406106390785E-4</v>
          </cell>
        </row>
        <row r="116">
          <cell r="A116">
            <v>114</v>
          </cell>
          <cell r="B116" t="str">
            <v>M</v>
          </cell>
          <cell r="C116">
            <v>9.7111946055935885E-3</v>
          </cell>
        </row>
        <row r="117">
          <cell r="A117">
            <v>115</v>
          </cell>
          <cell r="B117" t="str">
            <v>M</v>
          </cell>
          <cell r="C117">
            <v>3.047255063737828E-3</v>
          </cell>
        </row>
        <row r="118">
          <cell r="A118">
            <v>116</v>
          </cell>
          <cell r="B118" t="str">
            <v>M</v>
          </cell>
          <cell r="C118">
            <v>3.1922257185309777E-3</v>
          </cell>
        </row>
        <row r="119">
          <cell r="A119">
            <v>117</v>
          </cell>
          <cell r="B119" t="str">
            <v>M</v>
          </cell>
          <cell r="C119">
            <v>5.522130236091086E-3</v>
          </cell>
        </row>
        <row r="120">
          <cell r="A120">
            <v>118</v>
          </cell>
          <cell r="B120" t="str">
            <v>M</v>
          </cell>
          <cell r="C120">
            <v>2.8882461457334575E-3</v>
          </cell>
        </row>
        <row r="121">
          <cell r="A121">
            <v>119</v>
          </cell>
          <cell r="B121" t="str">
            <v>M</v>
          </cell>
          <cell r="C121">
            <v>4.7312078685181093E-3</v>
          </cell>
        </row>
        <row r="122">
          <cell r="A122">
            <v>120</v>
          </cell>
          <cell r="B122" t="str">
            <v>M</v>
          </cell>
          <cell r="C122">
            <v>3.5027493329484248E-3</v>
          </cell>
        </row>
        <row r="123">
          <cell r="A123">
            <v>121</v>
          </cell>
          <cell r="B123" t="str">
            <v>M</v>
          </cell>
          <cell r="C123">
            <v>1.9592354236954391E-3</v>
          </cell>
        </row>
        <row r="124">
          <cell r="A124">
            <v>122</v>
          </cell>
          <cell r="B124" t="str">
            <v>M</v>
          </cell>
          <cell r="C124">
            <v>5.7857294843897452E-3</v>
          </cell>
        </row>
        <row r="125">
          <cell r="A125">
            <v>123</v>
          </cell>
          <cell r="B125" t="str">
            <v>M</v>
          </cell>
          <cell r="C125">
            <v>3.7219577848374963E-3</v>
          </cell>
        </row>
        <row r="126">
          <cell r="A126">
            <v>124</v>
          </cell>
          <cell r="B126" t="str">
            <v>M</v>
          </cell>
          <cell r="C126">
            <v>6.449384932107575E-3</v>
          </cell>
        </row>
        <row r="127">
          <cell r="A127">
            <v>125</v>
          </cell>
          <cell r="B127" t="str">
            <v>M</v>
          </cell>
          <cell r="C127">
            <v>6.1001122210729676E-3</v>
          </cell>
        </row>
        <row r="128">
          <cell r="A128">
            <v>126</v>
          </cell>
          <cell r="B128" t="str">
            <v>M</v>
          </cell>
          <cell r="C128">
            <v>9.4857775603275959E-3</v>
          </cell>
        </row>
        <row r="129">
          <cell r="A129">
            <v>127</v>
          </cell>
          <cell r="B129" t="str">
            <v>M</v>
          </cell>
          <cell r="C129">
            <v>2.0969396930577023E-3</v>
          </cell>
        </row>
        <row r="130">
          <cell r="A130">
            <v>128</v>
          </cell>
          <cell r="B130" t="str">
            <v>M</v>
          </cell>
          <cell r="C130">
            <v>3.0504751858201795E-3</v>
          </cell>
        </row>
        <row r="131">
          <cell r="A131">
            <v>129</v>
          </cell>
          <cell r="B131" t="str">
            <v>M</v>
          </cell>
          <cell r="C131">
            <v>5.4301175001677015E-3</v>
          </cell>
        </row>
        <row r="132">
          <cell r="A132">
            <v>130</v>
          </cell>
          <cell r="B132" t="str">
            <v>M</v>
          </cell>
          <cell r="C132">
            <v>8.999416884520339E-4</v>
          </cell>
        </row>
        <row r="133">
          <cell r="A133">
            <v>131</v>
          </cell>
          <cell r="B133" t="str">
            <v>M</v>
          </cell>
          <cell r="C133">
            <v>9.0810330660089479E-4</v>
          </cell>
        </row>
        <row r="134">
          <cell r="A134">
            <v>132</v>
          </cell>
          <cell r="B134" t="str">
            <v>M</v>
          </cell>
          <cell r="C134">
            <v>1.1568514672934183E-4</v>
          </cell>
        </row>
        <row r="135">
          <cell r="A135">
            <v>133</v>
          </cell>
          <cell r="B135" t="str">
            <v>M</v>
          </cell>
          <cell r="C135">
            <v>1.4990650089934255E-3</v>
          </cell>
        </row>
        <row r="136">
          <cell r="A136">
            <v>134</v>
          </cell>
          <cell r="B136" t="str">
            <v>M</v>
          </cell>
          <cell r="C136">
            <v>5.4708746056125199E-3</v>
          </cell>
        </row>
        <row r="137">
          <cell r="A137">
            <v>135</v>
          </cell>
          <cell r="B137" t="str">
            <v>M</v>
          </cell>
          <cell r="C137">
            <v>3.8990411704966175E-3</v>
          </cell>
        </row>
      </sheetData>
      <sheetData sheetId="3">
        <row r="1">
          <cell r="C1" t="str">
            <v>policy_year</v>
          </cell>
          <cell r="D1" t="str">
            <v>rate</v>
          </cell>
        </row>
        <row r="2">
          <cell r="C2">
            <v>1</v>
          </cell>
          <cell r="D2">
            <v>9.778526841816633E-3</v>
          </cell>
        </row>
        <row r="3">
          <cell r="C3">
            <v>2</v>
          </cell>
          <cell r="D3">
            <v>2.2677433373451093E-3</v>
          </cell>
        </row>
        <row r="4">
          <cell r="C4">
            <v>3</v>
          </cell>
          <cell r="D4">
            <v>5.3863410321628976E-3</v>
          </cell>
        </row>
        <row r="5">
          <cell r="C5">
            <v>4</v>
          </cell>
          <cell r="D5">
            <v>3.3107319500514918E-3</v>
          </cell>
        </row>
        <row r="6">
          <cell r="C6">
            <v>5</v>
          </cell>
          <cell r="D6">
            <v>9.718511533450087E-3</v>
          </cell>
        </row>
        <row r="7">
          <cell r="C7">
            <v>6</v>
          </cell>
          <cell r="D7">
            <v>3.7923290135600017E-3</v>
          </cell>
        </row>
        <row r="8">
          <cell r="C8">
            <v>7</v>
          </cell>
          <cell r="D8">
            <v>3.6842585108723294E-4</v>
          </cell>
        </row>
        <row r="9">
          <cell r="C9">
            <v>8</v>
          </cell>
          <cell r="D9">
            <v>5.7368780095573566E-3</v>
          </cell>
        </row>
        <row r="10">
          <cell r="C10">
            <v>9</v>
          </cell>
          <cell r="D10">
            <v>9.7429004362011677E-3</v>
          </cell>
        </row>
        <row r="11">
          <cell r="C11">
            <v>10</v>
          </cell>
          <cell r="D11">
            <v>6.9498752604241843E-3</v>
          </cell>
        </row>
        <row r="12">
          <cell r="C12">
            <v>11</v>
          </cell>
          <cell r="D12">
            <v>9.0664402902416105E-3</v>
          </cell>
        </row>
        <row r="13">
          <cell r="C13">
            <v>12</v>
          </cell>
          <cell r="D13">
            <v>3.4974562848526891E-3</v>
          </cell>
        </row>
        <row r="14">
          <cell r="C14">
            <v>13</v>
          </cell>
          <cell r="D14">
            <v>7.0928325274745452E-3</v>
          </cell>
        </row>
        <row r="15">
          <cell r="C15">
            <v>14</v>
          </cell>
          <cell r="D15">
            <v>8.5555094614541143E-4</v>
          </cell>
        </row>
        <row r="16">
          <cell r="C16">
            <v>15</v>
          </cell>
          <cell r="D16">
            <v>6.4676732154987059E-3</v>
          </cell>
        </row>
        <row r="17">
          <cell r="C17">
            <v>16</v>
          </cell>
          <cell r="D17">
            <v>5.3714649173469721E-3</v>
          </cell>
        </row>
        <row r="18">
          <cell r="C18">
            <v>17</v>
          </cell>
          <cell r="D18">
            <v>5.1655995187409711E-3</v>
          </cell>
        </row>
        <row r="19">
          <cell r="C19">
            <v>18</v>
          </cell>
          <cell r="D19">
            <v>2.9975359340116002E-3</v>
          </cell>
        </row>
        <row r="20">
          <cell r="C20">
            <v>19</v>
          </cell>
          <cell r="D20">
            <v>1.5685561330446307E-3</v>
          </cell>
        </row>
        <row r="21">
          <cell r="C21">
            <v>20</v>
          </cell>
          <cell r="D21">
            <v>2.1277182387692637E-3</v>
          </cell>
        </row>
        <row r="22">
          <cell r="C22">
            <v>21</v>
          </cell>
          <cell r="D22">
            <v>1.1183746629262125E-3</v>
          </cell>
        </row>
        <row r="23">
          <cell r="C23">
            <v>22</v>
          </cell>
          <cell r="D23">
            <v>6.8653553320458579E-3</v>
          </cell>
        </row>
        <row r="24">
          <cell r="C24">
            <v>23</v>
          </cell>
          <cell r="D24">
            <v>6.5004472657705066E-3</v>
          </cell>
        </row>
        <row r="25">
          <cell r="C25">
            <v>24</v>
          </cell>
          <cell r="D25">
            <v>1.9994379268815365E-3</v>
          </cell>
        </row>
        <row r="26">
          <cell r="C26">
            <v>25</v>
          </cell>
          <cell r="D26">
            <v>1.4682627491897759E-3</v>
          </cell>
        </row>
        <row r="27">
          <cell r="C27">
            <v>26</v>
          </cell>
          <cell r="D27">
            <v>9.049276759309173E-3</v>
          </cell>
        </row>
        <row r="28">
          <cell r="C28">
            <v>27</v>
          </cell>
          <cell r="D28">
            <v>6.2131765246914951E-3</v>
          </cell>
        </row>
        <row r="29">
          <cell r="C29">
            <v>28</v>
          </cell>
          <cell r="D29">
            <v>5.6696149302971064E-4</v>
          </cell>
        </row>
        <row r="30">
          <cell r="C30">
            <v>29</v>
          </cell>
          <cell r="D30">
            <v>4.4602451638933397E-3</v>
          </cell>
        </row>
        <row r="31">
          <cell r="C31">
            <v>30</v>
          </cell>
          <cell r="D31">
            <v>9.6122506145409972E-3</v>
          </cell>
        </row>
        <row r="32">
          <cell r="C32">
            <v>31</v>
          </cell>
          <cell r="D32">
            <v>5.3724542457682378E-3</v>
          </cell>
        </row>
        <row r="33">
          <cell r="C33">
            <v>32</v>
          </cell>
          <cell r="D33">
            <v>6.3823706200260401E-3</v>
          </cell>
        </row>
        <row r="34">
          <cell r="C34">
            <v>33</v>
          </cell>
          <cell r="D34">
            <v>1.2480150065299156E-3</v>
          </cell>
        </row>
        <row r="35">
          <cell r="C35">
            <v>34</v>
          </cell>
          <cell r="D35">
            <v>5.7193832561238667E-3</v>
          </cell>
        </row>
        <row r="36">
          <cell r="C36">
            <v>35</v>
          </cell>
          <cell r="D36">
            <v>7.4196760579951183E-3</v>
          </cell>
        </row>
        <row r="37">
          <cell r="C37">
            <v>36</v>
          </cell>
          <cell r="D37">
            <v>9.5145712364500448E-3</v>
          </cell>
        </row>
        <row r="38">
          <cell r="C38">
            <v>37</v>
          </cell>
          <cell r="D38">
            <v>4.6735398669213038E-3</v>
          </cell>
        </row>
        <row r="39">
          <cell r="C39">
            <v>38</v>
          </cell>
          <cell r="D39">
            <v>7.8674102087254501E-3</v>
          </cell>
        </row>
        <row r="40">
          <cell r="C40">
            <v>39</v>
          </cell>
          <cell r="D40">
            <v>2.3992838706239029E-4</v>
          </cell>
        </row>
        <row r="41">
          <cell r="C41">
            <v>40</v>
          </cell>
          <cell r="D41">
            <v>4.7509472249485894E-3</v>
          </cell>
        </row>
        <row r="42">
          <cell r="C42">
            <v>41</v>
          </cell>
          <cell r="D42">
            <v>6.2435349026564576E-3</v>
          </cell>
        </row>
        <row r="43">
          <cell r="C43">
            <v>42</v>
          </cell>
          <cell r="D43">
            <v>8.8850253398979687E-3</v>
          </cell>
        </row>
        <row r="44">
          <cell r="C44">
            <v>43</v>
          </cell>
          <cell r="D44">
            <v>6.3922952378580242E-3</v>
          </cell>
        </row>
        <row r="45">
          <cell r="C45">
            <v>44</v>
          </cell>
          <cell r="D45">
            <v>6.4745359650994127E-3</v>
          </cell>
        </row>
        <row r="46">
          <cell r="C46">
            <v>45</v>
          </cell>
          <cell r="D46">
            <v>9.1317441734963603E-3</v>
          </cell>
        </row>
        <row r="47">
          <cell r="C47">
            <v>46</v>
          </cell>
          <cell r="D47">
            <v>8.6031611095778188E-3</v>
          </cell>
        </row>
        <row r="48">
          <cell r="C48">
            <v>47</v>
          </cell>
          <cell r="D48">
            <v>9.4642277099071803E-3</v>
          </cell>
        </row>
        <row r="49">
          <cell r="C49">
            <v>48</v>
          </cell>
          <cell r="D49">
            <v>3.9450843480516064E-3</v>
          </cell>
        </row>
        <row r="50">
          <cell r="C50">
            <v>49</v>
          </cell>
          <cell r="D50">
            <v>3.7590943845445656E-3</v>
          </cell>
        </row>
        <row r="51">
          <cell r="C51">
            <v>50</v>
          </cell>
          <cell r="D51">
            <v>4.1936047295828569E-3</v>
          </cell>
        </row>
        <row r="52">
          <cell r="C52">
            <v>51</v>
          </cell>
          <cell r="D52">
            <v>8.7772649590029742E-3</v>
          </cell>
        </row>
        <row r="53">
          <cell r="C53">
            <v>52</v>
          </cell>
          <cell r="D53">
            <v>3.3677528855678685E-3</v>
          </cell>
        </row>
        <row r="54">
          <cell r="C54">
            <v>53</v>
          </cell>
          <cell r="D54">
            <v>5.5237867444138363E-3</v>
          </cell>
        </row>
        <row r="55">
          <cell r="C55">
            <v>54</v>
          </cell>
          <cell r="D55">
            <v>4.5035627397969355E-3</v>
          </cell>
        </row>
        <row r="56">
          <cell r="C56">
            <v>55</v>
          </cell>
          <cell r="D56">
            <v>4.5049776049847301E-3</v>
          </cell>
        </row>
        <row r="57">
          <cell r="C57">
            <v>56</v>
          </cell>
          <cell r="D57">
            <v>7.3007682485278476E-3</v>
          </cell>
        </row>
        <row r="58">
          <cell r="C58">
            <v>57</v>
          </cell>
          <cell r="D58">
            <v>9.5786342774906667E-3</v>
          </cell>
        </row>
        <row r="59">
          <cell r="C59">
            <v>58</v>
          </cell>
          <cell r="D59">
            <v>7.79045522649919E-3</v>
          </cell>
        </row>
        <row r="60">
          <cell r="C60">
            <v>59</v>
          </cell>
          <cell r="D60">
            <v>1.9698924048229803E-3</v>
          </cell>
        </row>
        <row r="61">
          <cell r="C61">
            <v>60</v>
          </cell>
          <cell r="D61">
            <v>7.8245243514103203E-3</v>
          </cell>
        </row>
        <row r="62">
          <cell r="C62">
            <v>61</v>
          </cell>
          <cell r="D62">
            <v>3.3752112174270442E-3</v>
          </cell>
        </row>
        <row r="63">
          <cell r="C63">
            <v>62</v>
          </cell>
          <cell r="D63">
            <v>9.2866407847567393E-3</v>
          </cell>
        </row>
        <row r="64">
          <cell r="C64">
            <v>63</v>
          </cell>
          <cell r="D64">
            <v>9.5382215191284828E-3</v>
          </cell>
        </row>
        <row r="65">
          <cell r="C65">
            <v>64</v>
          </cell>
          <cell r="D65">
            <v>4.8227900849680148E-3</v>
          </cell>
        </row>
        <row r="66">
          <cell r="C66">
            <v>65</v>
          </cell>
          <cell r="D66">
            <v>7.3420357119554957E-3</v>
          </cell>
        </row>
        <row r="67">
          <cell r="C67">
            <v>66</v>
          </cell>
          <cell r="D67">
            <v>7.4391380444483856E-3</v>
          </cell>
        </row>
        <row r="68">
          <cell r="C68">
            <v>67</v>
          </cell>
          <cell r="D68">
            <v>8.8325334714280338E-3</v>
          </cell>
        </row>
        <row r="69">
          <cell r="C69">
            <v>68</v>
          </cell>
          <cell r="D69">
            <v>5.8462688890545626E-3</v>
          </cell>
        </row>
        <row r="70">
          <cell r="C70">
            <v>69</v>
          </cell>
          <cell r="D70">
            <v>8.3179683408480913E-3</v>
          </cell>
        </row>
        <row r="71">
          <cell r="C71">
            <v>70</v>
          </cell>
          <cell r="D71">
            <v>6.6508292104817835E-3</v>
          </cell>
        </row>
        <row r="72">
          <cell r="C72">
            <v>71</v>
          </cell>
          <cell r="D72">
            <v>6.8611881639721786E-3</v>
          </cell>
        </row>
        <row r="73">
          <cell r="C73">
            <v>72</v>
          </cell>
          <cell r="D73">
            <v>3.4035258640153433E-3</v>
          </cell>
        </row>
        <row r="74">
          <cell r="C74">
            <v>73</v>
          </cell>
          <cell r="D74">
            <v>3.6801077843296127E-3</v>
          </cell>
        </row>
        <row r="75">
          <cell r="C75">
            <v>74</v>
          </cell>
          <cell r="D75">
            <v>7.3223329229730226E-3</v>
          </cell>
        </row>
        <row r="76">
          <cell r="C76">
            <v>75</v>
          </cell>
          <cell r="D76">
            <v>5.8453941805870135E-3</v>
          </cell>
        </row>
        <row r="77">
          <cell r="C77">
            <v>76</v>
          </cell>
          <cell r="D77">
            <v>9.098141601408493E-3</v>
          </cell>
        </row>
        <row r="78">
          <cell r="C78">
            <v>77</v>
          </cell>
          <cell r="D78">
            <v>7.3303281827977293E-4</v>
          </cell>
        </row>
        <row r="79">
          <cell r="C79">
            <v>78</v>
          </cell>
          <cell r="D79">
            <v>7.2243312833913421E-3</v>
          </cell>
        </row>
        <row r="80">
          <cell r="C80">
            <v>79</v>
          </cell>
          <cell r="D80">
            <v>1.035371043970874E-3</v>
          </cell>
        </row>
        <row r="81">
          <cell r="C81">
            <v>80</v>
          </cell>
          <cell r="D81">
            <v>8.5714663949948682E-3</v>
          </cell>
        </row>
        <row r="82">
          <cell r="C82">
            <v>81</v>
          </cell>
          <cell r="D82">
            <v>4.6833422391928756E-3</v>
          </cell>
        </row>
        <row r="83">
          <cell r="C83">
            <v>82</v>
          </cell>
          <cell r="D83">
            <v>1.363619470845061E-3</v>
          </cell>
        </row>
        <row r="84">
          <cell r="C84">
            <v>83</v>
          </cell>
          <cell r="D84">
            <v>8.6390231820658511E-3</v>
          </cell>
        </row>
        <row r="85">
          <cell r="C85">
            <v>84</v>
          </cell>
          <cell r="D85">
            <v>1.5885505740406314E-3</v>
          </cell>
        </row>
        <row r="86">
          <cell r="C86">
            <v>85</v>
          </cell>
          <cell r="D86">
            <v>7.0906966588322696E-3</v>
          </cell>
        </row>
        <row r="87">
          <cell r="C87">
            <v>86</v>
          </cell>
          <cell r="D87">
            <v>1.3832854860420529E-3</v>
          </cell>
        </row>
        <row r="88">
          <cell r="C88">
            <v>87</v>
          </cell>
          <cell r="D88">
            <v>7.6934762682625444E-3</v>
          </cell>
        </row>
        <row r="89">
          <cell r="C89">
            <v>88</v>
          </cell>
          <cell r="D89">
            <v>3.1617915317863556E-3</v>
          </cell>
        </row>
        <row r="90">
          <cell r="C90">
            <v>89</v>
          </cell>
          <cell r="D90">
            <v>4.9960487719161364E-3</v>
          </cell>
        </row>
        <row r="91">
          <cell r="C91">
            <v>90</v>
          </cell>
          <cell r="D91">
            <v>7.5235870245375484E-4</v>
          </cell>
        </row>
        <row r="92">
          <cell r="C92">
            <v>91</v>
          </cell>
          <cell r="D92">
            <v>9.3811149788177121E-3</v>
          </cell>
        </row>
        <row r="93">
          <cell r="C93">
            <v>92</v>
          </cell>
          <cell r="D93">
            <v>9.3426020082400738E-3</v>
          </cell>
        </row>
        <row r="94">
          <cell r="C94">
            <v>93</v>
          </cell>
          <cell r="D94">
            <v>6.0532839573021859E-3</v>
          </cell>
        </row>
        <row r="95">
          <cell r="C95">
            <v>94</v>
          </cell>
          <cell r="D95">
            <v>9.9913801652712752E-3</v>
          </cell>
        </row>
        <row r="96">
          <cell r="C96">
            <v>95</v>
          </cell>
          <cell r="D96">
            <v>6.6183178297361924E-3</v>
          </cell>
        </row>
        <row r="97">
          <cell r="C97">
            <v>96</v>
          </cell>
          <cell r="D97">
            <v>1.0121367184921881E-3</v>
          </cell>
        </row>
        <row r="98">
          <cell r="C98">
            <v>97</v>
          </cell>
          <cell r="D98">
            <v>9.3777034683024049E-3</v>
          </cell>
        </row>
        <row r="99">
          <cell r="C99">
            <v>98</v>
          </cell>
          <cell r="D99">
            <v>1.3602291381663734E-3</v>
          </cell>
        </row>
        <row r="100">
          <cell r="C100">
            <v>99</v>
          </cell>
          <cell r="D100">
            <v>7.2939998316704866E-3</v>
          </cell>
        </row>
        <row r="101">
          <cell r="C101">
            <v>100</v>
          </cell>
          <cell r="D101">
            <v>3.5633015525531431E-3</v>
          </cell>
        </row>
        <row r="102">
          <cell r="C102">
            <v>101</v>
          </cell>
          <cell r="D102">
            <v>1.9506311120623932E-3</v>
          </cell>
        </row>
        <row r="103">
          <cell r="C103">
            <v>102</v>
          </cell>
          <cell r="D103">
            <v>7.7763758670614681E-3</v>
          </cell>
        </row>
        <row r="104">
          <cell r="C104">
            <v>103</v>
          </cell>
          <cell r="D104">
            <v>3.5858820352339181E-3</v>
          </cell>
        </row>
        <row r="105">
          <cell r="C105">
            <v>104</v>
          </cell>
          <cell r="D105">
            <v>2.1640744962651694E-3</v>
          </cell>
        </row>
        <row r="106">
          <cell r="C106">
            <v>105</v>
          </cell>
          <cell r="D106">
            <v>4.58686333836045E-3</v>
          </cell>
        </row>
        <row r="107">
          <cell r="C107">
            <v>106</v>
          </cell>
          <cell r="D107">
            <v>7.4125454818435571E-5</v>
          </cell>
        </row>
        <row r="108">
          <cell r="C108">
            <v>107</v>
          </cell>
          <cell r="D108">
            <v>4.8919618201616879E-3</v>
          </cell>
        </row>
        <row r="109">
          <cell r="C109">
            <v>108</v>
          </cell>
          <cell r="D109">
            <v>3.2369408254290534E-3</v>
          </cell>
        </row>
        <row r="110">
          <cell r="C110">
            <v>109</v>
          </cell>
          <cell r="D110">
            <v>9.9001861748506358E-3</v>
          </cell>
        </row>
        <row r="111">
          <cell r="C111">
            <v>110</v>
          </cell>
          <cell r="D111">
            <v>9.8753563162719358E-3</v>
          </cell>
        </row>
        <row r="112">
          <cell r="C112">
            <v>111</v>
          </cell>
          <cell r="D112">
            <v>2.8311468914915781E-3</v>
          </cell>
        </row>
        <row r="113">
          <cell r="C113">
            <v>112</v>
          </cell>
          <cell r="D113">
            <v>9.7447173832492379E-3</v>
          </cell>
        </row>
        <row r="114">
          <cell r="C114">
            <v>113</v>
          </cell>
          <cell r="D114">
            <v>8.0175505537643989E-3</v>
          </cell>
        </row>
        <row r="115">
          <cell r="C115">
            <v>114</v>
          </cell>
          <cell r="D115">
            <v>7.9134598903192049E-3</v>
          </cell>
        </row>
        <row r="116">
          <cell r="C116">
            <v>115</v>
          </cell>
          <cell r="D116">
            <v>8.8260723499189869E-3</v>
          </cell>
        </row>
        <row r="117">
          <cell r="C117">
            <v>116</v>
          </cell>
          <cell r="D117">
            <v>2.5678230764219524E-3</v>
          </cell>
        </row>
        <row r="118">
          <cell r="C118">
            <v>117</v>
          </cell>
          <cell r="D118">
            <v>7.4293568130406416E-3</v>
          </cell>
        </row>
        <row r="119">
          <cell r="C119">
            <v>118</v>
          </cell>
          <cell r="D119">
            <v>5.0150049999616152E-3</v>
          </cell>
        </row>
        <row r="120">
          <cell r="C120">
            <v>119</v>
          </cell>
          <cell r="D120">
            <v>3.1294850678478836E-3</v>
          </cell>
        </row>
        <row r="121">
          <cell r="C121">
            <v>120</v>
          </cell>
          <cell r="D121">
            <v>6.680059805854067E-3</v>
          </cell>
        </row>
        <row r="122">
          <cell r="C122">
            <v>121</v>
          </cell>
          <cell r="D122">
            <v>6.0522181960904196E-4</v>
          </cell>
        </row>
        <row r="123">
          <cell r="C123">
            <v>122</v>
          </cell>
          <cell r="D123">
            <v>7.6611966248982186E-3</v>
          </cell>
        </row>
        <row r="124">
          <cell r="C124">
            <v>123</v>
          </cell>
          <cell r="D124">
            <v>8.1806440159608012E-3</v>
          </cell>
        </row>
        <row r="125">
          <cell r="C125">
            <v>124</v>
          </cell>
          <cell r="D125">
            <v>2.3101110316876227E-3</v>
          </cell>
        </row>
        <row r="126">
          <cell r="C126">
            <v>125</v>
          </cell>
          <cell r="D126">
            <v>4.9532212050554993E-3</v>
          </cell>
        </row>
        <row r="127">
          <cell r="C127">
            <v>126</v>
          </cell>
          <cell r="D127">
            <v>1.6615505706034006E-3</v>
          </cell>
        </row>
        <row r="128">
          <cell r="C128">
            <v>127</v>
          </cell>
          <cell r="D128">
            <v>6.1873494794257569E-3</v>
          </cell>
        </row>
        <row r="129">
          <cell r="C129">
            <v>128</v>
          </cell>
          <cell r="D129">
            <v>3.8082666362918992E-3</v>
          </cell>
        </row>
        <row r="130">
          <cell r="C130">
            <v>129</v>
          </cell>
          <cell r="D130">
            <v>7.5809584262428878E-3</v>
          </cell>
        </row>
        <row r="131">
          <cell r="C131">
            <v>130</v>
          </cell>
          <cell r="D131">
            <v>9.8028937794975846E-3</v>
          </cell>
        </row>
        <row r="132">
          <cell r="C132">
            <v>131</v>
          </cell>
          <cell r="D132">
            <v>3.0773000387160567E-3</v>
          </cell>
        </row>
        <row r="133">
          <cell r="C133">
            <v>132</v>
          </cell>
          <cell r="D133">
            <v>9.6064095259754574E-3</v>
          </cell>
        </row>
        <row r="134">
          <cell r="C134">
            <v>133</v>
          </cell>
          <cell r="D134">
            <v>2.3991983963018073E-3</v>
          </cell>
        </row>
        <row r="135">
          <cell r="C135">
            <v>134</v>
          </cell>
          <cell r="D135">
            <v>5.6286375749004768E-3</v>
          </cell>
        </row>
        <row r="136">
          <cell r="C136">
            <v>135</v>
          </cell>
          <cell r="D136">
            <v>3.7386817376985573E-4</v>
          </cell>
        </row>
        <row r="137">
          <cell r="C137">
            <v>136</v>
          </cell>
          <cell r="D137">
            <v>9.5458259992409235E-3</v>
          </cell>
        </row>
        <row r="138">
          <cell r="C138">
            <v>137</v>
          </cell>
          <cell r="D138">
            <v>8.4687083550748082E-3</v>
          </cell>
        </row>
      </sheetData>
      <sheetData sheetId="4">
        <row r="1">
          <cell r="A1" t="str">
            <v>year</v>
          </cell>
          <cell r="B1" t="str">
            <v>rate</v>
          </cell>
        </row>
        <row r="2">
          <cell r="A2">
            <v>1</v>
          </cell>
          <cell r="B2">
            <v>0.01</v>
          </cell>
        </row>
        <row r="3">
          <cell r="A3">
            <v>2</v>
          </cell>
          <cell r="B3">
            <v>0.01</v>
          </cell>
        </row>
        <row r="4">
          <cell r="A4">
            <v>3</v>
          </cell>
          <cell r="B4">
            <v>0.01</v>
          </cell>
        </row>
        <row r="5">
          <cell r="A5">
            <v>4</v>
          </cell>
          <cell r="B5">
            <v>0.01</v>
          </cell>
        </row>
        <row r="6">
          <cell r="A6">
            <v>5</v>
          </cell>
          <cell r="B6">
            <v>0.01</v>
          </cell>
        </row>
        <row r="7">
          <cell r="A7">
            <v>6</v>
          </cell>
          <cell r="B7">
            <v>0.01</v>
          </cell>
        </row>
        <row r="8">
          <cell r="A8">
            <v>7</v>
          </cell>
          <cell r="B8">
            <v>0.01</v>
          </cell>
        </row>
        <row r="9">
          <cell r="A9">
            <v>8</v>
          </cell>
          <cell r="B9">
            <v>0.01</v>
          </cell>
        </row>
        <row r="10">
          <cell r="A10">
            <v>9</v>
          </cell>
          <cell r="B10">
            <v>0.01</v>
          </cell>
        </row>
        <row r="11">
          <cell r="A11">
            <v>10</v>
          </cell>
          <cell r="B11">
            <v>0.01</v>
          </cell>
        </row>
        <row r="12">
          <cell r="A12">
            <v>11</v>
          </cell>
          <cell r="B12">
            <v>0.01</v>
          </cell>
        </row>
        <row r="13">
          <cell r="A13">
            <v>12</v>
          </cell>
          <cell r="B13">
            <v>0.01</v>
          </cell>
        </row>
        <row r="14">
          <cell r="A14">
            <v>13</v>
          </cell>
          <cell r="B14">
            <v>0.01</v>
          </cell>
        </row>
        <row r="15">
          <cell r="A15">
            <v>14</v>
          </cell>
          <cell r="B15">
            <v>0.01</v>
          </cell>
        </row>
        <row r="16">
          <cell r="A16">
            <v>15</v>
          </cell>
          <cell r="B16">
            <v>0.01</v>
          </cell>
        </row>
        <row r="17">
          <cell r="A17">
            <v>16</v>
          </cell>
          <cell r="B17">
            <v>0.01</v>
          </cell>
        </row>
        <row r="18">
          <cell r="A18">
            <v>17</v>
          </cell>
          <cell r="B18">
            <v>0.01</v>
          </cell>
        </row>
        <row r="19">
          <cell r="A19">
            <v>18</v>
          </cell>
          <cell r="B19">
            <v>0.01</v>
          </cell>
        </row>
        <row r="20">
          <cell r="A20">
            <v>19</v>
          </cell>
          <cell r="B20">
            <v>0.01</v>
          </cell>
        </row>
        <row r="21">
          <cell r="A21">
            <v>20</v>
          </cell>
          <cell r="B21">
            <v>1.4999999999999999E-2</v>
          </cell>
        </row>
        <row r="22">
          <cell r="A22">
            <v>21</v>
          </cell>
          <cell r="B22">
            <v>1.4999999999999999E-2</v>
          </cell>
        </row>
        <row r="23">
          <cell r="A23">
            <v>22</v>
          </cell>
          <cell r="B23">
            <v>1.4999999999999999E-2</v>
          </cell>
        </row>
        <row r="24">
          <cell r="A24">
            <v>23</v>
          </cell>
          <cell r="B24">
            <v>1.4999999999999999E-2</v>
          </cell>
        </row>
        <row r="25">
          <cell r="A25">
            <v>24</v>
          </cell>
          <cell r="B25">
            <v>1.4999999999999999E-2</v>
          </cell>
        </row>
        <row r="26">
          <cell r="A26">
            <v>25</v>
          </cell>
          <cell r="B26">
            <v>1.4999999999999999E-2</v>
          </cell>
        </row>
        <row r="27">
          <cell r="A27">
            <v>26</v>
          </cell>
          <cell r="B27">
            <v>1.4999999999999999E-2</v>
          </cell>
        </row>
        <row r="28">
          <cell r="A28">
            <v>27</v>
          </cell>
          <cell r="B28">
            <v>1.4999999999999999E-2</v>
          </cell>
        </row>
        <row r="29">
          <cell r="A29">
            <v>28</v>
          </cell>
          <cell r="B29">
            <v>1.4999999999999999E-2</v>
          </cell>
        </row>
        <row r="30">
          <cell r="A30">
            <v>29</v>
          </cell>
          <cell r="B30">
            <v>1.4999999999999999E-2</v>
          </cell>
        </row>
        <row r="31">
          <cell r="A31">
            <v>30</v>
          </cell>
          <cell r="B31">
            <v>1.4999999999999999E-2</v>
          </cell>
        </row>
        <row r="32">
          <cell r="A32">
            <v>31</v>
          </cell>
          <cell r="B32">
            <v>1.4999999999999999E-2</v>
          </cell>
        </row>
        <row r="33">
          <cell r="A33">
            <v>32</v>
          </cell>
          <cell r="B33">
            <v>1.4999999999999999E-2</v>
          </cell>
        </row>
        <row r="34">
          <cell r="A34">
            <v>33</v>
          </cell>
          <cell r="B34">
            <v>1.4999999999999999E-2</v>
          </cell>
        </row>
        <row r="35">
          <cell r="A35">
            <v>34</v>
          </cell>
          <cell r="B35">
            <v>1.4999999999999999E-2</v>
          </cell>
        </row>
        <row r="36">
          <cell r="A36">
            <v>35</v>
          </cell>
          <cell r="B36">
            <v>1.4999999999999999E-2</v>
          </cell>
        </row>
        <row r="37">
          <cell r="A37">
            <v>36</v>
          </cell>
          <cell r="B37">
            <v>0.02</v>
          </cell>
        </row>
        <row r="38">
          <cell r="A38">
            <v>37</v>
          </cell>
          <cell r="B38">
            <v>0.02</v>
          </cell>
        </row>
        <row r="39">
          <cell r="A39">
            <v>38</v>
          </cell>
          <cell r="B39">
            <v>0.02</v>
          </cell>
        </row>
        <row r="40">
          <cell r="A40">
            <v>39</v>
          </cell>
          <cell r="B40">
            <v>0.02</v>
          </cell>
        </row>
        <row r="41">
          <cell r="A41">
            <v>40</v>
          </cell>
          <cell r="B41">
            <v>0.02</v>
          </cell>
        </row>
        <row r="42">
          <cell r="A42">
            <v>41</v>
          </cell>
          <cell r="B42">
            <v>0.02</v>
          </cell>
        </row>
        <row r="43">
          <cell r="A43">
            <v>42</v>
          </cell>
          <cell r="B43">
            <v>0.02</v>
          </cell>
        </row>
        <row r="44">
          <cell r="A44">
            <v>43</v>
          </cell>
          <cell r="B44">
            <v>0.02</v>
          </cell>
        </row>
        <row r="45">
          <cell r="A45">
            <v>44</v>
          </cell>
          <cell r="B45">
            <v>0.02</v>
          </cell>
        </row>
        <row r="46">
          <cell r="A46">
            <v>45</v>
          </cell>
          <cell r="B46">
            <v>0.02</v>
          </cell>
        </row>
        <row r="47">
          <cell r="A47">
            <v>46</v>
          </cell>
          <cell r="B47">
            <v>0.02</v>
          </cell>
        </row>
        <row r="48">
          <cell r="A48">
            <v>47</v>
          </cell>
          <cell r="B48">
            <v>0.02</v>
          </cell>
        </row>
        <row r="49">
          <cell r="A49">
            <v>48</v>
          </cell>
          <cell r="B49">
            <v>0.02</v>
          </cell>
        </row>
        <row r="50">
          <cell r="A50">
            <v>49</v>
          </cell>
          <cell r="B50">
            <v>0.02</v>
          </cell>
        </row>
        <row r="51">
          <cell r="A51">
            <v>50</v>
          </cell>
          <cell r="B51">
            <v>0.02</v>
          </cell>
        </row>
        <row r="52">
          <cell r="A52">
            <v>51</v>
          </cell>
          <cell r="B52">
            <v>0.02</v>
          </cell>
        </row>
        <row r="53">
          <cell r="A53">
            <v>52</v>
          </cell>
          <cell r="B53">
            <v>0.02</v>
          </cell>
        </row>
        <row r="54">
          <cell r="A54">
            <v>53</v>
          </cell>
          <cell r="B54">
            <v>1.2E-2</v>
          </cell>
        </row>
        <row r="55">
          <cell r="A55">
            <v>54</v>
          </cell>
          <cell r="B55">
            <v>1.2E-2</v>
          </cell>
        </row>
        <row r="56">
          <cell r="A56">
            <v>55</v>
          </cell>
          <cell r="B56">
            <v>1.2E-2</v>
          </cell>
        </row>
        <row r="57">
          <cell r="A57">
            <v>56</v>
          </cell>
          <cell r="B57">
            <v>1.2E-2</v>
          </cell>
        </row>
        <row r="58">
          <cell r="A58">
            <v>57</v>
          </cell>
          <cell r="B58">
            <v>1.2E-2</v>
          </cell>
        </row>
        <row r="59">
          <cell r="A59">
            <v>58</v>
          </cell>
          <cell r="B59">
            <v>1.2E-2</v>
          </cell>
        </row>
        <row r="60">
          <cell r="A60">
            <v>59</v>
          </cell>
          <cell r="B60">
            <v>1.2E-2</v>
          </cell>
        </row>
        <row r="61">
          <cell r="A61">
            <v>60</v>
          </cell>
          <cell r="B61">
            <v>1.2E-2</v>
          </cell>
        </row>
        <row r="62">
          <cell r="A62">
            <v>61</v>
          </cell>
          <cell r="B62">
            <v>1.2E-2</v>
          </cell>
        </row>
        <row r="63">
          <cell r="A63">
            <v>62</v>
          </cell>
          <cell r="B63">
            <v>1.2E-2</v>
          </cell>
        </row>
        <row r="64">
          <cell r="A64">
            <v>63</v>
          </cell>
          <cell r="B64">
            <v>1.2E-2</v>
          </cell>
        </row>
        <row r="65">
          <cell r="A65">
            <v>64</v>
          </cell>
          <cell r="B65">
            <v>1.2E-2</v>
          </cell>
        </row>
        <row r="66">
          <cell r="A66">
            <v>65</v>
          </cell>
          <cell r="B66">
            <v>1.2E-2</v>
          </cell>
        </row>
        <row r="67">
          <cell r="A67">
            <v>66</v>
          </cell>
          <cell r="B67">
            <v>1.2E-2</v>
          </cell>
        </row>
        <row r="68">
          <cell r="A68">
            <v>67</v>
          </cell>
          <cell r="B68">
            <v>1.2E-2</v>
          </cell>
        </row>
        <row r="69">
          <cell r="A69">
            <v>68</v>
          </cell>
          <cell r="B69">
            <v>1.2E-2</v>
          </cell>
        </row>
        <row r="70">
          <cell r="A70">
            <v>69</v>
          </cell>
          <cell r="B70">
            <v>1.2E-2</v>
          </cell>
        </row>
        <row r="71">
          <cell r="A71">
            <v>70</v>
          </cell>
          <cell r="B71">
            <v>1.2E-2</v>
          </cell>
        </row>
        <row r="72">
          <cell r="A72">
            <v>71</v>
          </cell>
          <cell r="B72">
            <v>1.2E-2</v>
          </cell>
        </row>
        <row r="73">
          <cell r="A73">
            <v>72</v>
          </cell>
          <cell r="B73">
            <v>1.2E-2</v>
          </cell>
        </row>
        <row r="74">
          <cell r="A74">
            <v>73</v>
          </cell>
          <cell r="B74">
            <v>1.2E-2</v>
          </cell>
        </row>
        <row r="75">
          <cell r="A75">
            <v>74</v>
          </cell>
          <cell r="B75">
            <v>1.2E-2</v>
          </cell>
        </row>
        <row r="76">
          <cell r="A76">
            <v>75</v>
          </cell>
          <cell r="B76">
            <v>1.2E-2</v>
          </cell>
        </row>
        <row r="77">
          <cell r="A77">
            <v>76</v>
          </cell>
          <cell r="B77">
            <v>1.2E-2</v>
          </cell>
        </row>
        <row r="78">
          <cell r="A78">
            <v>77</v>
          </cell>
          <cell r="B78">
            <v>1.2E-2</v>
          </cell>
        </row>
        <row r="79">
          <cell r="A79">
            <v>78</v>
          </cell>
          <cell r="B79">
            <v>1.2E-2</v>
          </cell>
        </row>
        <row r="80">
          <cell r="A80">
            <v>79</v>
          </cell>
          <cell r="B80">
            <v>1.2E-2</v>
          </cell>
        </row>
        <row r="81">
          <cell r="A81">
            <v>80</v>
          </cell>
          <cell r="B81">
            <v>1.2E-2</v>
          </cell>
        </row>
        <row r="82">
          <cell r="A82">
            <v>81</v>
          </cell>
          <cell r="B82">
            <v>1.2E-2</v>
          </cell>
        </row>
        <row r="83">
          <cell r="A83">
            <v>82</v>
          </cell>
          <cell r="B83">
            <v>1.2E-2</v>
          </cell>
        </row>
        <row r="84">
          <cell r="A84">
            <v>83</v>
          </cell>
          <cell r="B84">
            <v>1.2E-2</v>
          </cell>
        </row>
        <row r="85">
          <cell r="A85">
            <v>84</v>
          </cell>
          <cell r="B85">
            <v>1.2E-2</v>
          </cell>
        </row>
        <row r="86">
          <cell r="A86">
            <v>85</v>
          </cell>
          <cell r="B86">
            <v>1.2E-2</v>
          </cell>
        </row>
        <row r="87">
          <cell r="A87">
            <v>86</v>
          </cell>
          <cell r="B87">
            <v>1.2E-2</v>
          </cell>
        </row>
        <row r="88">
          <cell r="A88">
            <v>87</v>
          </cell>
          <cell r="B88">
            <v>1.2E-2</v>
          </cell>
        </row>
        <row r="89">
          <cell r="A89">
            <v>88</v>
          </cell>
          <cell r="B89">
            <v>1.2E-2</v>
          </cell>
        </row>
        <row r="90">
          <cell r="A90">
            <v>89</v>
          </cell>
          <cell r="B90">
            <v>1.2E-2</v>
          </cell>
        </row>
        <row r="91">
          <cell r="A91">
            <v>90</v>
          </cell>
          <cell r="B91">
            <v>1.2E-2</v>
          </cell>
        </row>
        <row r="92">
          <cell r="A92">
            <v>91</v>
          </cell>
          <cell r="B92">
            <v>1.2E-2</v>
          </cell>
        </row>
        <row r="93">
          <cell r="A93">
            <v>92</v>
          </cell>
          <cell r="B93">
            <v>1.2E-2</v>
          </cell>
        </row>
        <row r="94">
          <cell r="A94">
            <v>93</v>
          </cell>
          <cell r="B94">
            <v>1.2E-2</v>
          </cell>
        </row>
        <row r="95">
          <cell r="A95">
            <v>94</v>
          </cell>
          <cell r="B95">
            <v>1.2E-2</v>
          </cell>
        </row>
        <row r="96">
          <cell r="A96">
            <v>95</v>
          </cell>
          <cell r="B96">
            <v>1.2E-2</v>
          </cell>
        </row>
        <row r="97">
          <cell r="A97">
            <v>96</v>
          </cell>
          <cell r="B97">
            <v>1.2E-2</v>
          </cell>
        </row>
        <row r="98">
          <cell r="A98">
            <v>97</v>
          </cell>
          <cell r="B98">
            <v>1.2E-2</v>
          </cell>
        </row>
        <row r="99">
          <cell r="A99">
            <v>98</v>
          </cell>
          <cell r="B99">
            <v>1.2E-2</v>
          </cell>
        </row>
        <row r="100">
          <cell r="A100">
            <v>99</v>
          </cell>
          <cell r="B100">
            <v>1.2E-2</v>
          </cell>
        </row>
        <row r="101">
          <cell r="A101">
            <v>100</v>
          </cell>
          <cell r="B101">
            <v>1.2E-2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s_sample_product_cf"/>
    </sheetNames>
    <sheetDataSet>
      <sheetData sheetId="0">
        <row r="2">
          <cell r="G2">
            <v>0</v>
          </cell>
          <cell r="H2">
            <v>1523724.24655537</v>
          </cell>
        </row>
        <row r="3">
          <cell r="G3">
            <v>0</v>
          </cell>
          <cell r="H3">
            <v>1524988.2338936401</v>
          </cell>
        </row>
        <row r="4">
          <cell r="G4">
            <v>0</v>
          </cell>
          <cell r="H4">
            <v>1526253.26975758</v>
          </cell>
        </row>
        <row r="5">
          <cell r="G5">
            <v>0</v>
          </cell>
          <cell r="H5">
            <v>1527519.3550169901</v>
          </cell>
        </row>
        <row r="6">
          <cell r="G6">
            <v>0</v>
          </cell>
          <cell r="H6">
            <v>1528786.4905423799</v>
          </cell>
        </row>
        <row r="7">
          <cell r="G7">
            <v>0</v>
          </cell>
          <cell r="H7">
            <v>1530054.67720498</v>
          </cell>
        </row>
        <row r="8">
          <cell r="G8">
            <v>0</v>
          </cell>
          <cell r="H8">
            <v>1531323.9158767599</v>
          </cell>
        </row>
        <row r="9">
          <cell r="G9">
            <v>0</v>
          </cell>
          <cell r="H9">
            <v>1532594.2074303899</v>
          </cell>
        </row>
        <row r="10">
          <cell r="G10">
            <v>395547.25641703699</v>
          </cell>
          <cell r="H10">
            <v>1137990.1747970199</v>
          </cell>
        </row>
        <row r="11">
          <cell r="G11">
            <v>0</v>
          </cell>
          <cell r="H11">
            <v>1138934.18102076</v>
          </cell>
        </row>
        <row r="12">
          <cell r="G12">
            <v>0</v>
          </cell>
          <cell r="H12">
            <v>1139878.97033365</v>
          </cell>
        </row>
        <row r="13">
          <cell r="G13">
            <v>0</v>
          </cell>
          <cell r="H13">
            <v>1140824.5433852801</v>
          </cell>
        </row>
        <row r="14">
          <cell r="G14">
            <v>0</v>
          </cell>
          <cell r="H14">
            <v>1141770.9008257999</v>
          </cell>
        </row>
        <row r="15">
          <cell r="G15">
            <v>0</v>
          </cell>
          <cell r="H15">
            <v>1142718.0433058899</v>
          </cell>
        </row>
        <row r="16">
          <cell r="G16">
            <v>0</v>
          </cell>
          <cell r="H16">
            <v>1143665.97147676</v>
          </cell>
        </row>
        <row r="17">
          <cell r="G17">
            <v>0</v>
          </cell>
          <cell r="H17">
            <v>1144614.6859901799</v>
          </cell>
        </row>
        <row r="18">
          <cell r="G18">
            <v>0</v>
          </cell>
          <cell r="H18">
            <v>1145564.18749845</v>
          </cell>
        </row>
        <row r="19">
          <cell r="G19">
            <v>0</v>
          </cell>
          <cell r="H19">
            <v>1146514.4766544099</v>
          </cell>
        </row>
        <row r="20">
          <cell r="G20">
            <v>0</v>
          </cell>
          <cell r="H20">
            <v>1147465.55411145</v>
          </cell>
        </row>
        <row r="21">
          <cell r="G21">
            <v>0</v>
          </cell>
          <cell r="H21">
            <v>1148417.42052348</v>
          </cell>
        </row>
        <row r="22">
          <cell r="G22">
            <v>390705.30546260002</v>
          </cell>
          <cell r="H22">
            <v>758340.66614003095</v>
          </cell>
        </row>
        <row r="23">
          <cell r="G23">
            <v>0</v>
          </cell>
          <cell r="H23">
            <v>758969.73862625298</v>
          </cell>
        </row>
        <row r="24">
          <cell r="G24">
            <v>0</v>
          </cell>
          <cell r="H24">
            <v>759599.33295207901</v>
          </cell>
        </row>
        <row r="25">
          <cell r="G25">
            <v>0</v>
          </cell>
          <cell r="H25">
            <v>760229.44955039502</v>
          </cell>
        </row>
        <row r="26">
          <cell r="G26">
            <v>0</v>
          </cell>
          <cell r="H26">
            <v>760860.08885444503</v>
          </cell>
        </row>
        <row r="27">
          <cell r="G27">
            <v>0</v>
          </cell>
          <cell r="H27">
            <v>761491.25129783503</v>
          </cell>
        </row>
        <row r="28">
          <cell r="G28">
            <v>0</v>
          </cell>
          <cell r="H28">
            <v>762122.93731452804</v>
          </cell>
        </row>
        <row r="29">
          <cell r="G29">
            <v>0</v>
          </cell>
          <cell r="H29">
            <v>762755.14733884705</v>
          </cell>
        </row>
        <row r="30">
          <cell r="G30">
            <v>0</v>
          </cell>
          <cell r="H30">
            <v>763387.88180547894</v>
          </cell>
        </row>
        <row r="31">
          <cell r="G31">
            <v>0</v>
          </cell>
          <cell r="H31">
            <v>764021.14114946604</v>
          </cell>
        </row>
        <row r="32">
          <cell r="G32">
            <v>0</v>
          </cell>
          <cell r="H32">
            <v>764654.92580621596</v>
          </cell>
        </row>
        <row r="33">
          <cell r="G33">
            <v>0</v>
          </cell>
          <cell r="H33">
            <v>765289.23621149501</v>
          </cell>
        </row>
        <row r="34">
          <cell r="G34">
            <v>386695.29891274398</v>
          </cell>
          <cell r="H34">
            <v>378907.99539959902</v>
          </cell>
        </row>
        <row r="35">
          <cell r="G35">
            <v>0</v>
          </cell>
          <cell r="H35">
            <v>379222.31402361399</v>
          </cell>
        </row>
        <row r="36">
          <cell r="G36">
            <v>0</v>
          </cell>
          <cell r="H36">
            <v>379536.893386907</v>
          </cell>
        </row>
        <row r="37">
          <cell r="G37">
            <v>0</v>
          </cell>
          <cell r="H37">
            <v>379851.73370577203</v>
          </cell>
        </row>
        <row r="38">
          <cell r="G38">
            <v>0</v>
          </cell>
          <cell r="H38">
            <v>380166.83519668202</v>
          </cell>
        </row>
        <row r="39">
          <cell r="G39">
            <v>0</v>
          </cell>
          <cell r="H39">
            <v>380482.19807628798</v>
          </cell>
        </row>
        <row r="40">
          <cell r="G40">
            <v>0</v>
          </cell>
          <cell r="H40">
            <v>380797.82256142201</v>
          </cell>
        </row>
        <row r="41">
          <cell r="G41">
            <v>0</v>
          </cell>
          <cell r="H41">
            <v>381113.708869097</v>
          </cell>
        </row>
        <row r="42">
          <cell r="G42">
            <v>0</v>
          </cell>
          <cell r="H42">
            <v>381429.85721650301</v>
          </cell>
        </row>
        <row r="43">
          <cell r="G43">
            <v>0</v>
          </cell>
          <cell r="H43">
            <v>381746.26782101399</v>
          </cell>
        </row>
        <row r="44">
          <cell r="G44">
            <v>0</v>
          </cell>
          <cell r="H44">
            <v>382062.94090018101</v>
          </cell>
        </row>
        <row r="45">
          <cell r="G45">
            <v>0</v>
          </cell>
          <cell r="H45">
            <v>382379.876671737</v>
          </cell>
        </row>
        <row r="46">
          <cell r="G46">
            <v>382379.876671737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0</v>
          </cell>
          <cell r="H51">
            <v>0</v>
          </cell>
        </row>
        <row r="52">
          <cell r="G52">
            <v>0</v>
          </cell>
          <cell r="H52">
            <v>0</v>
          </cell>
        </row>
        <row r="53">
          <cell r="G53">
            <v>0</v>
          </cell>
          <cell r="H53">
            <v>0</v>
          </cell>
        </row>
        <row r="54">
          <cell r="G54">
            <v>0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0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0</v>
          </cell>
          <cell r="H78">
            <v>0</v>
          </cell>
        </row>
        <row r="79">
          <cell r="G79">
            <v>0</v>
          </cell>
          <cell r="H79">
            <v>0</v>
          </cell>
        </row>
        <row r="80">
          <cell r="G80">
            <v>0</v>
          </cell>
          <cell r="H80">
            <v>0</v>
          </cell>
        </row>
        <row r="81">
          <cell r="G81">
            <v>0</v>
          </cell>
          <cell r="H81">
            <v>0</v>
          </cell>
        </row>
        <row r="82">
          <cell r="G82">
            <v>0</v>
          </cell>
          <cell r="H82">
            <v>0</v>
          </cell>
        </row>
        <row r="83">
          <cell r="G83">
            <v>0</v>
          </cell>
          <cell r="H83">
            <v>0</v>
          </cell>
        </row>
        <row r="84">
          <cell r="G84">
            <v>0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0</v>
          </cell>
        </row>
        <row r="88">
          <cell r="G88">
            <v>0</v>
          </cell>
          <cell r="H88">
            <v>0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0</v>
          </cell>
        </row>
        <row r="94">
          <cell r="G94">
            <v>0</v>
          </cell>
          <cell r="H94">
            <v>0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0</v>
          </cell>
        </row>
        <row r="105">
          <cell r="G105">
            <v>0</v>
          </cell>
          <cell r="H105">
            <v>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0</v>
          </cell>
        </row>
        <row r="158">
          <cell r="G158">
            <v>0</v>
          </cell>
          <cell r="H158">
            <v>0</v>
          </cell>
        </row>
        <row r="159">
          <cell r="G159">
            <v>0</v>
          </cell>
          <cell r="H159">
            <v>0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0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0</v>
          </cell>
        </row>
        <row r="183">
          <cell r="G183">
            <v>0</v>
          </cell>
          <cell r="H183">
            <v>0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0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0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0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0</v>
          </cell>
          <cell r="H212">
            <v>0</v>
          </cell>
        </row>
        <row r="213">
          <cell r="G213">
            <v>0</v>
          </cell>
          <cell r="H213">
            <v>0</v>
          </cell>
        </row>
        <row r="214">
          <cell r="G214">
            <v>0</v>
          </cell>
          <cell r="H214">
            <v>0</v>
          </cell>
        </row>
        <row r="215">
          <cell r="G215">
            <v>0</v>
          </cell>
          <cell r="H215">
            <v>0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0</v>
          </cell>
          <cell r="H232">
            <v>0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0</v>
          </cell>
          <cell r="H235">
            <v>0</v>
          </cell>
        </row>
        <row r="236">
          <cell r="G236">
            <v>0</v>
          </cell>
          <cell r="H236">
            <v>0</v>
          </cell>
        </row>
        <row r="237">
          <cell r="G237">
            <v>0</v>
          </cell>
          <cell r="H237">
            <v>0</v>
          </cell>
        </row>
        <row r="238">
          <cell r="G238">
            <v>0</v>
          </cell>
          <cell r="H238">
            <v>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0</v>
          </cell>
          <cell r="H245">
            <v>0</v>
          </cell>
        </row>
        <row r="246">
          <cell r="G246">
            <v>0</v>
          </cell>
          <cell r="H246">
            <v>0</v>
          </cell>
        </row>
        <row r="247">
          <cell r="G247">
            <v>0</v>
          </cell>
          <cell r="H247">
            <v>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0</v>
          </cell>
        </row>
        <row r="260">
          <cell r="G260">
            <v>0</v>
          </cell>
          <cell r="H260">
            <v>0</v>
          </cell>
        </row>
        <row r="261">
          <cell r="G261">
            <v>0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0</v>
          </cell>
          <cell r="H286">
            <v>0</v>
          </cell>
        </row>
        <row r="287">
          <cell r="G287">
            <v>0</v>
          </cell>
          <cell r="H287">
            <v>0</v>
          </cell>
        </row>
        <row r="288">
          <cell r="G288">
            <v>0</v>
          </cell>
          <cell r="H288">
            <v>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0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0</v>
          </cell>
          <cell r="H295">
            <v>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0</v>
          </cell>
          <cell r="H298">
            <v>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0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0</v>
          </cell>
          <cell r="H308">
            <v>0</v>
          </cell>
        </row>
        <row r="309">
          <cell r="G309">
            <v>0</v>
          </cell>
          <cell r="H309">
            <v>0</v>
          </cell>
        </row>
        <row r="310">
          <cell r="G310">
            <v>0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0</v>
          </cell>
          <cell r="H314">
            <v>0</v>
          </cell>
        </row>
        <row r="315">
          <cell r="G315">
            <v>0</v>
          </cell>
          <cell r="H315">
            <v>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0</v>
          </cell>
        </row>
        <row r="328">
          <cell r="G328">
            <v>0</v>
          </cell>
          <cell r="H328">
            <v>0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0</v>
          </cell>
          <cell r="H336">
            <v>0</v>
          </cell>
        </row>
        <row r="337">
          <cell r="G337">
            <v>0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0</v>
          </cell>
          <cell r="H357">
            <v>0</v>
          </cell>
        </row>
        <row r="358">
          <cell r="G358">
            <v>0</v>
          </cell>
          <cell r="H358">
            <v>0</v>
          </cell>
        </row>
        <row r="359">
          <cell r="G359">
            <v>0</v>
          </cell>
          <cell r="H359">
            <v>0</v>
          </cell>
        </row>
        <row r="360">
          <cell r="G360">
            <v>0</v>
          </cell>
          <cell r="H360">
            <v>0</v>
          </cell>
        </row>
        <row r="361">
          <cell r="G361">
            <v>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  <row r="502">
          <cell r="G502">
            <v>0</v>
          </cell>
          <cell r="H502">
            <v>0</v>
          </cell>
        </row>
        <row r="503">
          <cell r="G503">
            <v>0</v>
          </cell>
          <cell r="H503">
            <v>0</v>
          </cell>
        </row>
        <row r="504">
          <cell r="G504">
            <v>0</v>
          </cell>
          <cell r="H504">
            <v>0</v>
          </cell>
        </row>
        <row r="505">
          <cell r="G505">
            <v>0</v>
          </cell>
          <cell r="H505">
            <v>0</v>
          </cell>
        </row>
        <row r="506">
          <cell r="G506">
            <v>0</v>
          </cell>
          <cell r="H506">
            <v>0</v>
          </cell>
        </row>
        <row r="507">
          <cell r="G507">
            <v>0</v>
          </cell>
          <cell r="H507">
            <v>0</v>
          </cell>
        </row>
        <row r="508">
          <cell r="G508">
            <v>0</v>
          </cell>
          <cell r="H508">
            <v>0</v>
          </cell>
        </row>
        <row r="509">
          <cell r="G509">
            <v>0</v>
          </cell>
          <cell r="H509">
            <v>0</v>
          </cell>
        </row>
        <row r="510">
          <cell r="G510">
            <v>0</v>
          </cell>
          <cell r="H510">
            <v>0</v>
          </cell>
        </row>
        <row r="511">
          <cell r="G511">
            <v>0</v>
          </cell>
          <cell r="H511">
            <v>0</v>
          </cell>
        </row>
        <row r="512">
          <cell r="G512">
            <v>0</v>
          </cell>
          <cell r="H512">
            <v>0</v>
          </cell>
        </row>
        <row r="513">
          <cell r="G513">
            <v>0</v>
          </cell>
          <cell r="H513">
            <v>0</v>
          </cell>
        </row>
        <row r="514">
          <cell r="G514">
            <v>0</v>
          </cell>
          <cell r="H514">
            <v>0</v>
          </cell>
        </row>
        <row r="515">
          <cell r="G515">
            <v>0</v>
          </cell>
          <cell r="H515">
            <v>0</v>
          </cell>
        </row>
        <row r="516">
          <cell r="G516">
            <v>0</v>
          </cell>
          <cell r="H516">
            <v>0</v>
          </cell>
        </row>
        <row r="517">
          <cell r="G517">
            <v>0</v>
          </cell>
          <cell r="H517">
            <v>0</v>
          </cell>
        </row>
        <row r="518">
          <cell r="G518">
            <v>0</v>
          </cell>
          <cell r="H518">
            <v>0</v>
          </cell>
        </row>
        <row r="519">
          <cell r="G519">
            <v>0</v>
          </cell>
          <cell r="H519">
            <v>0</v>
          </cell>
        </row>
        <row r="520">
          <cell r="G520">
            <v>0</v>
          </cell>
          <cell r="H520">
            <v>0</v>
          </cell>
        </row>
        <row r="521">
          <cell r="G521">
            <v>0</v>
          </cell>
          <cell r="H521">
            <v>0</v>
          </cell>
        </row>
        <row r="522">
          <cell r="G522">
            <v>0</v>
          </cell>
          <cell r="H522">
            <v>0</v>
          </cell>
        </row>
        <row r="523">
          <cell r="G523">
            <v>0</v>
          </cell>
          <cell r="H523">
            <v>0</v>
          </cell>
        </row>
        <row r="524">
          <cell r="G524">
            <v>0</v>
          </cell>
          <cell r="H524">
            <v>0</v>
          </cell>
        </row>
        <row r="525">
          <cell r="G525">
            <v>0</v>
          </cell>
          <cell r="H525">
            <v>0</v>
          </cell>
        </row>
        <row r="526">
          <cell r="G526">
            <v>0</v>
          </cell>
          <cell r="H526">
            <v>0</v>
          </cell>
        </row>
        <row r="527">
          <cell r="G527">
            <v>0</v>
          </cell>
          <cell r="H527">
            <v>0</v>
          </cell>
        </row>
        <row r="528">
          <cell r="G528">
            <v>0</v>
          </cell>
          <cell r="H528">
            <v>0</v>
          </cell>
        </row>
        <row r="529">
          <cell r="G529">
            <v>0</v>
          </cell>
          <cell r="H529">
            <v>0</v>
          </cell>
        </row>
        <row r="530">
          <cell r="G530">
            <v>0</v>
          </cell>
          <cell r="H530">
            <v>0</v>
          </cell>
        </row>
        <row r="531">
          <cell r="G531">
            <v>0</v>
          </cell>
          <cell r="H531">
            <v>0</v>
          </cell>
        </row>
        <row r="532">
          <cell r="G532">
            <v>0</v>
          </cell>
          <cell r="H532">
            <v>0</v>
          </cell>
        </row>
        <row r="533">
          <cell r="G533">
            <v>0</v>
          </cell>
          <cell r="H533">
            <v>0</v>
          </cell>
        </row>
        <row r="534">
          <cell r="G534">
            <v>0</v>
          </cell>
          <cell r="H534">
            <v>0</v>
          </cell>
        </row>
        <row r="535">
          <cell r="G535">
            <v>0</v>
          </cell>
          <cell r="H535">
            <v>0</v>
          </cell>
        </row>
        <row r="536">
          <cell r="G536">
            <v>0</v>
          </cell>
          <cell r="H536">
            <v>0</v>
          </cell>
        </row>
        <row r="537">
          <cell r="G537">
            <v>0</v>
          </cell>
          <cell r="H537">
            <v>0</v>
          </cell>
        </row>
        <row r="538">
          <cell r="G538">
            <v>0</v>
          </cell>
          <cell r="H538">
            <v>0</v>
          </cell>
        </row>
        <row r="539">
          <cell r="G539">
            <v>0</v>
          </cell>
          <cell r="H539">
            <v>0</v>
          </cell>
        </row>
        <row r="540">
          <cell r="G540">
            <v>0</v>
          </cell>
          <cell r="H540">
            <v>0</v>
          </cell>
        </row>
        <row r="541">
          <cell r="G541">
            <v>0</v>
          </cell>
          <cell r="H541">
            <v>0</v>
          </cell>
        </row>
        <row r="542">
          <cell r="G542">
            <v>0</v>
          </cell>
          <cell r="H542">
            <v>0</v>
          </cell>
        </row>
        <row r="543">
          <cell r="G543">
            <v>0</v>
          </cell>
          <cell r="H543">
            <v>0</v>
          </cell>
        </row>
        <row r="544">
          <cell r="G544">
            <v>0</v>
          </cell>
          <cell r="H544">
            <v>0</v>
          </cell>
        </row>
        <row r="545">
          <cell r="G545">
            <v>0</v>
          </cell>
          <cell r="H545">
            <v>0</v>
          </cell>
        </row>
        <row r="546">
          <cell r="G546">
            <v>0</v>
          </cell>
          <cell r="H546">
            <v>0</v>
          </cell>
        </row>
        <row r="547">
          <cell r="G547">
            <v>0</v>
          </cell>
          <cell r="H547">
            <v>0</v>
          </cell>
        </row>
        <row r="548">
          <cell r="G548">
            <v>0</v>
          </cell>
          <cell r="H548">
            <v>0</v>
          </cell>
        </row>
        <row r="549">
          <cell r="G549">
            <v>0</v>
          </cell>
          <cell r="H549">
            <v>0</v>
          </cell>
        </row>
        <row r="550">
          <cell r="G550">
            <v>0</v>
          </cell>
          <cell r="H550">
            <v>0</v>
          </cell>
        </row>
        <row r="551">
          <cell r="G551">
            <v>0</v>
          </cell>
          <cell r="H551">
            <v>0</v>
          </cell>
        </row>
        <row r="552">
          <cell r="G552">
            <v>0</v>
          </cell>
          <cell r="H552">
            <v>0</v>
          </cell>
        </row>
        <row r="553">
          <cell r="G553">
            <v>0</v>
          </cell>
          <cell r="H553">
            <v>0</v>
          </cell>
        </row>
        <row r="554">
          <cell r="G554">
            <v>0</v>
          </cell>
          <cell r="H554">
            <v>0</v>
          </cell>
        </row>
        <row r="555">
          <cell r="G555">
            <v>0</v>
          </cell>
          <cell r="H555">
            <v>0</v>
          </cell>
        </row>
        <row r="556">
          <cell r="G556">
            <v>0</v>
          </cell>
          <cell r="H556">
            <v>0</v>
          </cell>
        </row>
        <row r="557">
          <cell r="G557">
            <v>0</v>
          </cell>
          <cell r="H557">
            <v>0</v>
          </cell>
        </row>
        <row r="558">
          <cell r="G558">
            <v>0</v>
          </cell>
          <cell r="H558">
            <v>0</v>
          </cell>
        </row>
        <row r="559">
          <cell r="G559">
            <v>0</v>
          </cell>
          <cell r="H559">
            <v>0</v>
          </cell>
        </row>
        <row r="560">
          <cell r="G560">
            <v>0</v>
          </cell>
          <cell r="H560">
            <v>0</v>
          </cell>
        </row>
        <row r="561">
          <cell r="G561">
            <v>0</v>
          </cell>
          <cell r="H561">
            <v>0</v>
          </cell>
        </row>
        <row r="562">
          <cell r="G562">
            <v>0</v>
          </cell>
          <cell r="H562">
            <v>0</v>
          </cell>
        </row>
        <row r="563">
          <cell r="G563">
            <v>0</v>
          </cell>
          <cell r="H563">
            <v>0</v>
          </cell>
        </row>
        <row r="564">
          <cell r="G564">
            <v>0</v>
          </cell>
          <cell r="H564">
            <v>0</v>
          </cell>
        </row>
        <row r="565">
          <cell r="G565">
            <v>0</v>
          </cell>
          <cell r="H565">
            <v>0</v>
          </cell>
        </row>
        <row r="566">
          <cell r="G566">
            <v>0</v>
          </cell>
          <cell r="H566">
            <v>0</v>
          </cell>
        </row>
        <row r="567">
          <cell r="G567">
            <v>0</v>
          </cell>
          <cell r="H567">
            <v>0</v>
          </cell>
        </row>
        <row r="568">
          <cell r="G568">
            <v>0</v>
          </cell>
          <cell r="H568">
            <v>0</v>
          </cell>
        </row>
        <row r="569">
          <cell r="G569">
            <v>0</v>
          </cell>
          <cell r="H569">
            <v>0</v>
          </cell>
        </row>
        <row r="570">
          <cell r="G570">
            <v>0</v>
          </cell>
          <cell r="H570">
            <v>0</v>
          </cell>
        </row>
        <row r="571">
          <cell r="G571">
            <v>0</v>
          </cell>
          <cell r="H571">
            <v>0</v>
          </cell>
        </row>
        <row r="572">
          <cell r="G572">
            <v>0</v>
          </cell>
          <cell r="H572">
            <v>0</v>
          </cell>
        </row>
        <row r="573">
          <cell r="G573">
            <v>0</v>
          </cell>
          <cell r="H573">
            <v>0</v>
          </cell>
        </row>
        <row r="574">
          <cell r="G574">
            <v>0</v>
          </cell>
          <cell r="H574">
            <v>0</v>
          </cell>
        </row>
        <row r="575">
          <cell r="G575">
            <v>0</v>
          </cell>
          <cell r="H575">
            <v>0</v>
          </cell>
        </row>
        <row r="576">
          <cell r="G576">
            <v>0</v>
          </cell>
          <cell r="H576">
            <v>0</v>
          </cell>
        </row>
        <row r="577">
          <cell r="G577">
            <v>0</v>
          </cell>
          <cell r="H577">
            <v>0</v>
          </cell>
        </row>
        <row r="578">
          <cell r="G578">
            <v>0</v>
          </cell>
          <cell r="H578">
            <v>0</v>
          </cell>
        </row>
        <row r="579">
          <cell r="G579">
            <v>0</v>
          </cell>
          <cell r="H579">
            <v>0</v>
          </cell>
        </row>
        <row r="580">
          <cell r="G580">
            <v>0</v>
          </cell>
          <cell r="H580">
            <v>0</v>
          </cell>
        </row>
        <row r="581">
          <cell r="G581">
            <v>0</v>
          </cell>
          <cell r="H581">
            <v>0</v>
          </cell>
        </row>
        <row r="582">
          <cell r="G582">
            <v>0</v>
          </cell>
          <cell r="H582">
            <v>0</v>
          </cell>
        </row>
        <row r="583">
          <cell r="G583">
            <v>0</v>
          </cell>
          <cell r="H583">
            <v>0</v>
          </cell>
        </row>
        <row r="584">
          <cell r="G584">
            <v>0</v>
          </cell>
          <cell r="H584">
            <v>0</v>
          </cell>
        </row>
        <row r="585">
          <cell r="G585">
            <v>0</v>
          </cell>
          <cell r="H585">
            <v>0</v>
          </cell>
        </row>
        <row r="586">
          <cell r="G586">
            <v>0</v>
          </cell>
          <cell r="H586">
            <v>0</v>
          </cell>
        </row>
        <row r="587">
          <cell r="G587">
            <v>0</v>
          </cell>
          <cell r="H587">
            <v>0</v>
          </cell>
        </row>
        <row r="588">
          <cell r="G588">
            <v>0</v>
          </cell>
          <cell r="H588">
            <v>0</v>
          </cell>
        </row>
        <row r="589">
          <cell r="G589">
            <v>0</v>
          </cell>
          <cell r="H589">
            <v>0</v>
          </cell>
        </row>
        <row r="590">
          <cell r="G590">
            <v>0</v>
          </cell>
          <cell r="H590">
            <v>0</v>
          </cell>
        </row>
        <row r="591">
          <cell r="G591">
            <v>0</v>
          </cell>
          <cell r="H591">
            <v>0</v>
          </cell>
        </row>
        <row r="592">
          <cell r="G592">
            <v>0</v>
          </cell>
          <cell r="H592">
            <v>0</v>
          </cell>
        </row>
        <row r="593">
          <cell r="G593">
            <v>0</v>
          </cell>
          <cell r="H593">
            <v>0</v>
          </cell>
        </row>
        <row r="594">
          <cell r="G594">
            <v>0</v>
          </cell>
          <cell r="H594">
            <v>0</v>
          </cell>
        </row>
        <row r="595">
          <cell r="G595">
            <v>0</v>
          </cell>
          <cell r="H595">
            <v>0</v>
          </cell>
        </row>
        <row r="596">
          <cell r="G596">
            <v>0</v>
          </cell>
          <cell r="H596">
            <v>0</v>
          </cell>
        </row>
        <row r="597">
          <cell r="G597">
            <v>0</v>
          </cell>
          <cell r="H597">
            <v>0</v>
          </cell>
        </row>
        <row r="598">
          <cell r="G598">
            <v>0</v>
          </cell>
          <cell r="H598">
            <v>0</v>
          </cell>
        </row>
        <row r="599">
          <cell r="G599">
            <v>0</v>
          </cell>
          <cell r="H599">
            <v>0</v>
          </cell>
        </row>
        <row r="600">
          <cell r="G600">
            <v>0</v>
          </cell>
          <cell r="H600">
            <v>0</v>
          </cell>
        </row>
        <row r="601">
          <cell r="G601">
            <v>0</v>
          </cell>
          <cell r="H601">
            <v>0</v>
          </cell>
        </row>
        <row r="602">
          <cell r="G602">
            <v>0</v>
          </cell>
          <cell r="H602">
            <v>0</v>
          </cell>
        </row>
        <row r="603">
          <cell r="G603">
            <v>0</v>
          </cell>
          <cell r="H603">
            <v>0</v>
          </cell>
        </row>
        <row r="604">
          <cell r="G604">
            <v>0</v>
          </cell>
          <cell r="H604">
            <v>0</v>
          </cell>
        </row>
        <row r="605">
          <cell r="G605">
            <v>0</v>
          </cell>
          <cell r="H605">
            <v>0</v>
          </cell>
        </row>
        <row r="606">
          <cell r="G606">
            <v>0</v>
          </cell>
          <cell r="H606">
            <v>0</v>
          </cell>
        </row>
        <row r="607">
          <cell r="G607">
            <v>0</v>
          </cell>
          <cell r="H607">
            <v>0</v>
          </cell>
        </row>
        <row r="608">
          <cell r="G608">
            <v>0</v>
          </cell>
          <cell r="H608">
            <v>0</v>
          </cell>
        </row>
        <row r="609">
          <cell r="G609">
            <v>0</v>
          </cell>
          <cell r="H609">
            <v>0</v>
          </cell>
        </row>
        <row r="610">
          <cell r="G610">
            <v>0</v>
          </cell>
          <cell r="H610">
            <v>0</v>
          </cell>
        </row>
        <row r="611">
          <cell r="G611">
            <v>0</v>
          </cell>
          <cell r="H611">
            <v>0</v>
          </cell>
        </row>
        <row r="612">
          <cell r="G612">
            <v>0</v>
          </cell>
          <cell r="H612">
            <v>0</v>
          </cell>
        </row>
        <row r="613">
          <cell r="G613">
            <v>0</v>
          </cell>
          <cell r="H613">
            <v>0</v>
          </cell>
        </row>
        <row r="614">
          <cell r="G614">
            <v>0</v>
          </cell>
          <cell r="H614">
            <v>0</v>
          </cell>
        </row>
        <row r="615">
          <cell r="G615">
            <v>0</v>
          </cell>
          <cell r="H615">
            <v>0</v>
          </cell>
        </row>
        <row r="616">
          <cell r="G616">
            <v>0</v>
          </cell>
          <cell r="H616">
            <v>0</v>
          </cell>
        </row>
        <row r="617">
          <cell r="G617">
            <v>0</v>
          </cell>
          <cell r="H617">
            <v>0</v>
          </cell>
        </row>
        <row r="618">
          <cell r="G618">
            <v>0</v>
          </cell>
          <cell r="H618">
            <v>0</v>
          </cell>
        </row>
        <row r="619">
          <cell r="G619">
            <v>0</v>
          </cell>
          <cell r="H619">
            <v>0</v>
          </cell>
        </row>
        <row r="620">
          <cell r="G620">
            <v>0</v>
          </cell>
          <cell r="H620">
            <v>0</v>
          </cell>
        </row>
        <row r="621">
          <cell r="G621">
            <v>0</v>
          </cell>
          <cell r="H621">
            <v>0</v>
          </cell>
        </row>
        <row r="622">
          <cell r="G622">
            <v>0</v>
          </cell>
          <cell r="H622">
            <v>0</v>
          </cell>
        </row>
        <row r="623">
          <cell r="G623">
            <v>0</v>
          </cell>
          <cell r="H623">
            <v>0</v>
          </cell>
        </row>
        <row r="624">
          <cell r="G624">
            <v>0</v>
          </cell>
          <cell r="H624">
            <v>0</v>
          </cell>
        </row>
        <row r="625">
          <cell r="G625">
            <v>0</v>
          </cell>
          <cell r="H625">
            <v>0</v>
          </cell>
        </row>
        <row r="626">
          <cell r="G626">
            <v>0</v>
          </cell>
          <cell r="H626">
            <v>0</v>
          </cell>
        </row>
        <row r="627">
          <cell r="G627">
            <v>0</v>
          </cell>
          <cell r="H627">
            <v>0</v>
          </cell>
        </row>
        <row r="628">
          <cell r="G628">
            <v>0</v>
          </cell>
          <cell r="H628">
            <v>0</v>
          </cell>
        </row>
        <row r="629">
          <cell r="G629">
            <v>0</v>
          </cell>
          <cell r="H629">
            <v>0</v>
          </cell>
        </row>
        <row r="630">
          <cell r="G630">
            <v>0</v>
          </cell>
          <cell r="H630">
            <v>0</v>
          </cell>
        </row>
        <row r="631">
          <cell r="G631">
            <v>0</v>
          </cell>
          <cell r="H631">
            <v>0</v>
          </cell>
        </row>
        <row r="632">
          <cell r="G632">
            <v>0</v>
          </cell>
          <cell r="H632">
            <v>0</v>
          </cell>
        </row>
        <row r="633">
          <cell r="G633">
            <v>0</v>
          </cell>
          <cell r="H633">
            <v>0</v>
          </cell>
        </row>
        <row r="634">
          <cell r="G634">
            <v>0</v>
          </cell>
          <cell r="H634">
            <v>0</v>
          </cell>
        </row>
        <row r="635">
          <cell r="G635">
            <v>0</v>
          </cell>
          <cell r="H635">
            <v>0</v>
          </cell>
        </row>
        <row r="636">
          <cell r="G636">
            <v>0</v>
          </cell>
          <cell r="H636">
            <v>0</v>
          </cell>
        </row>
        <row r="637">
          <cell r="G637">
            <v>0</v>
          </cell>
          <cell r="H637">
            <v>0</v>
          </cell>
        </row>
        <row r="638">
          <cell r="G638">
            <v>0</v>
          </cell>
          <cell r="H638">
            <v>0</v>
          </cell>
        </row>
        <row r="639">
          <cell r="G639">
            <v>0</v>
          </cell>
          <cell r="H639">
            <v>0</v>
          </cell>
        </row>
        <row r="640">
          <cell r="G640">
            <v>0</v>
          </cell>
          <cell r="H640">
            <v>0</v>
          </cell>
        </row>
        <row r="641">
          <cell r="G641">
            <v>0</v>
          </cell>
          <cell r="H641">
            <v>0</v>
          </cell>
        </row>
        <row r="642">
          <cell r="G642">
            <v>0</v>
          </cell>
          <cell r="H642">
            <v>0</v>
          </cell>
        </row>
        <row r="643">
          <cell r="G643">
            <v>0</v>
          </cell>
          <cell r="H643">
            <v>0</v>
          </cell>
        </row>
        <row r="644">
          <cell r="G644">
            <v>0</v>
          </cell>
          <cell r="H644">
            <v>0</v>
          </cell>
        </row>
        <row r="645">
          <cell r="G645">
            <v>0</v>
          </cell>
          <cell r="H645">
            <v>0</v>
          </cell>
        </row>
        <row r="646">
          <cell r="G646">
            <v>0</v>
          </cell>
          <cell r="H646">
            <v>0</v>
          </cell>
        </row>
        <row r="647">
          <cell r="G647">
            <v>0</v>
          </cell>
          <cell r="H647">
            <v>0</v>
          </cell>
        </row>
        <row r="648">
          <cell r="G648">
            <v>0</v>
          </cell>
          <cell r="H648">
            <v>0</v>
          </cell>
        </row>
        <row r="649">
          <cell r="G649">
            <v>0</v>
          </cell>
          <cell r="H649">
            <v>0</v>
          </cell>
        </row>
        <row r="650">
          <cell r="G650">
            <v>0</v>
          </cell>
          <cell r="H650">
            <v>0</v>
          </cell>
        </row>
        <row r="651">
          <cell r="G651">
            <v>0</v>
          </cell>
          <cell r="H651">
            <v>0</v>
          </cell>
        </row>
        <row r="652">
          <cell r="G652">
            <v>0</v>
          </cell>
          <cell r="H652">
            <v>0</v>
          </cell>
        </row>
        <row r="653">
          <cell r="G653">
            <v>0</v>
          </cell>
          <cell r="H653">
            <v>0</v>
          </cell>
        </row>
        <row r="654">
          <cell r="G654">
            <v>0</v>
          </cell>
          <cell r="H654">
            <v>0</v>
          </cell>
        </row>
        <row r="655">
          <cell r="G655">
            <v>0</v>
          </cell>
          <cell r="H655">
            <v>0</v>
          </cell>
        </row>
        <row r="656">
          <cell r="G656">
            <v>0</v>
          </cell>
          <cell r="H656">
            <v>0</v>
          </cell>
        </row>
        <row r="657">
          <cell r="G657">
            <v>0</v>
          </cell>
          <cell r="H657">
            <v>0</v>
          </cell>
        </row>
        <row r="658">
          <cell r="G658">
            <v>0</v>
          </cell>
          <cell r="H658">
            <v>0</v>
          </cell>
        </row>
        <row r="659">
          <cell r="G659">
            <v>0</v>
          </cell>
          <cell r="H659">
            <v>0</v>
          </cell>
        </row>
        <row r="660">
          <cell r="G660">
            <v>0</v>
          </cell>
          <cell r="H660">
            <v>0</v>
          </cell>
        </row>
        <row r="661">
          <cell r="G661">
            <v>0</v>
          </cell>
          <cell r="H661">
            <v>0</v>
          </cell>
        </row>
        <row r="662">
          <cell r="G662">
            <v>0</v>
          </cell>
          <cell r="H662">
            <v>0</v>
          </cell>
        </row>
        <row r="663">
          <cell r="G663">
            <v>0</v>
          </cell>
          <cell r="H663">
            <v>0</v>
          </cell>
        </row>
        <row r="664">
          <cell r="G664">
            <v>0</v>
          </cell>
          <cell r="H664">
            <v>0</v>
          </cell>
        </row>
        <row r="665">
          <cell r="G665">
            <v>0</v>
          </cell>
          <cell r="H665">
            <v>0</v>
          </cell>
        </row>
        <row r="666">
          <cell r="G666">
            <v>0</v>
          </cell>
          <cell r="H666">
            <v>0</v>
          </cell>
        </row>
        <row r="667">
          <cell r="G667">
            <v>0</v>
          </cell>
          <cell r="H667">
            <v>0</v>
          </cell>
        </row>
        <row r="668">
          <cell r="G668">
            <v>0</v>
          </cell>
          <cell r="H668">
            <v>0</v>
          </cell>
        </row>
        <row r="669">
          <cell r="G669">
            <v>0</v>
          </cell>
          <cell r="H669">
            <v>0</v>
          </cell>
        </row>
        <row r="670">
          <cell r="G670">
            <v>0</v>
          </cell>
          <cell r="H670">
            <v>0</v>
          </cell>
        </row>
        <row r="671">
          <cell r="G671">
            <v>0</v>
          </cell>
          <cell r="H671">
            <v>0</v>
          </cell>
        </row>
        <row r="672">
          <cell r="G672">
            <v>0</v>
          </cell>
          <cell r="H672">
            <v>0</v>
          </cell>
        </row>
        <row r="673">
          <cell r="G673">
            <v>0</v>
          </cell>
          <cell r="H673">
            <v>0</v>
          </cell>
        </row>
        <row r="674">
          <cell r="G674">
            <v>0</v>
          </cell>
          <cell r="H674">
            <v>0</v>
          </cell>
        </row>
        <row r="675">
          <cell r="G675">
            <v>0</v>
          </cell>
          <cell r="H675">
            <v>0</v>
          </cell>
        </row>
        <row r="676">
          <cell r="G676">
            <v>0</v>
          </cell>
          <cell r="H676">
            <v>0</v>
          </cell>
        </row>
        <row r="677">
          <cell r="G677">
            <v>0</v>
          </cell>
          <cell r="H677">
            <v>0</v>
          </cell>
        </row>
        <row r="678">
          <cell r="G678">
            <v>0</v>
          </cell>
          <cell r="H678">
            <v>0</v>
          </cell>
        </row>
        <row r="679">
          <cell r="G679">
            <v>0</v>
          </cell>
          <cell r="H679">
            <v>0</v>
          </cell>
        </row>
        <row r="680">
          <cell r="G680">
            <v>0</v>
          </cell>
          <cell r="H680">
            <v>0</v>
          </cell>
        </row>
        <row r="681">
          <cell r="G681">
            <v>0</v>
          </cell>
          <cell r="H681">
            <v>0</v>
          </cell>
        </row>
        <row r="682">
          <cell r="G682">
            <v>0</v>
          </cell>
          <cell r="H682">
            <v>0</v>
          </cell>
        </row>
        <row r="683">
          <cell r="G683">
            <v>0</v>
          </cell>
          <cell r="H683">
            <v>0</v>
          </cell>
        </row>
        <row r="684">
          <cell r="G684">
            <v>0</v>
          </cell>
          <cell r="H684">
            <v>0</v>
          </cell>
        </row>
        <row r="685">
          <cell r="G685">
            <v>0</v>
          </cell>
          <cell r="H685">
            <v>0</v>
          </cell>
        </row>
        <row r="686">
          <cell r="G686">
            <v>0</v>
          </cell>
          <cell r="H686">
            <v>0</v>
          </cell>
        </row>
        <row r="687">
          <cell r="G687">
            <v>0</v>
          </cell>
          <cell r="H687">
            <v>0</v>
          </cell>
        </row>
        <row r="688">
          <cell r="G688">
            <v>0</v>
          </cell>
          <cell r="H688">
            <v>0</v>
          </cell>
        </row>
        <row r="689">
          <cell r="G689">
            <v>0</v>
          </cell>
          <cell r="H689">
            <v>0</v>
          </cell>
        </row>
        <row r="690">
          <cell r="G690">
            <v>0</v>
          </cell>
          <cell r="H690">
            <v>0</v>
          </cell>
        </row>
        <row r="691">
          <cell r="G691">
            <v>0</v>
          </cell>
          <cell r="H691">
            <v>0</v>
          </cell>
        </row>
        <row r="692">
          <cell r="G692">
            <v>0</v>
          </cell>
          <cell r="H692">
            <v>0</v>
          </cell>
        </row>
        <row r="693">
          <cell r="G693">
            <v>0</v>
          </cell>
          <cell r="H693">
            <v>0</v>
          </cell>
        </row>
        <row r="694">
          <cell r="G694">
            <v>0</v>
          </cell>
          <cell r="H694">
            <v>0</v>
          </cell>
        </row>
        <row r="695">
          <cell r="G695">
            <v>0</v>
          </cell>
          <cell r="H695">
            <v>0</v>
          </cell>
        </row>
        <row r="696">
          <cell r="G696">
            <v>0</v>
          </cell>
          <cell r="H696">
            <v>0</v>
          </cell>
        </row>
        <row r="697">
          <cell r="G697">
            <v>0</v>
          </cell>
          <cell r="H697">
            <v>0</v>
          </cell>
        </row>
        <row r="698">
          <cell r="G698">
            <v>0</v>
          </cell>
          <cell r="H698">
            <v>0</v>
          </cell>
        </row>
        <row r="699">
          <cell r="G699">
            <v>0</v>
          </cell>
          <cell r="H699">
            <v>0</v>
          </cell>
        </row>
        <row r="700">
          <cell r="G700">
            <v>0</v>
          </cell>
          <cell r="H700">
            <v>0</v>
          </cell>
        </row>
        <row r="701">
          <cell r="G701">
            <v>0</v>
          </cell>
          <cell r="H701">
            <v>0</v>
          </cell>
        </row>
        <row r="702">
          <cell r="G702">
            <v>0</v>
          </cell>
          <cell r="H702">
            <v>0</v>
          </cell>
        </row>
        <row r="703">
          <cell r="G703">
            <v>0</v>
          </cell>
          <cell r="H703">
            <v>0</v>
          </cell>
        </row>
        <row r="704">
          <cell r="G704">
            <v>0</v>
          </cell>
          <cell r="H704">
            <v>0</v>
          </cell>
        </row>
        <row r="705">
          <cell r="G705">
            <v>0</v>
          </cell>
          <cell r="H705">
            <v>0</v>
          </cell>
        </row>
        <row r="706">
          <cell r="G706">
            <v>0</v>
          </cell>
          <cell r="H706">
            <v>0</v>
          </cell>
        </row>
        <row r="707">
          <cell r="G707">
            <v>0</v>
          </cell>
          <cell r="H707">
            <v>0</v>
          </cell>
        </row>
        <row r="708">
          <cell r="G708">
            <v>0</v>
          </cell>
          <cell r="H708">
            <v>0</v>
          </cell>
        </row>
        <row r="709">
          <cell r="G709">
            <v>0</v>
          </cell>
          <cell r="H709">
            <v>0</v>
          </cell>
        </row>
        <row r="710">
          <cell r="G710">
            <v>0</v>
          </cell>
          <cell r="H710">
            <v>0</v>
          </cell>
        </row>
        <row r="711">
          <cell r="G711">
            <v>0</v>
          </cell>
          <cell r="H711">
            <v>0</v>
          </cell>
        </row>
        <row r="712">
          <cell r="G712">
            <v>0</v>
          </cell>
          <cell r="H712">
            <v>0</v>
          </cell>
        </row>
        <row r="713">
          <cell r="G713">
            <v>0</v>
          </cell>
          <cell r="H713">
            <v>0</v>
          </cell>
        </row>
        <row r="714">
          <cell r="G714">
            <v>0</v>
          </cell>
          <cell r="H714">
            <v>0</v>
          </cell>
        </row>
        <row r="715">
          <cell r="G715">
            <v>0</v>
          </cell>
          <cell r="H715">
            <v>0</v>
          </cell>
        </row>
        <row r="716">
          <cell r="G716">
            <v>0</v>
          </cell>
          <cell r="H716">
            <v>0</v>
          </cell>
        </row>
        <row r="717">
          <cell r="G717">
            <v>0</v>
          </cell>
          <cell r="H717">
            <v>0</v>
          </cell>
        </row>
        <row r="718">
          <cell r="G718">
            <v>0</v>
          </cell>
          <cell r="H718">
            <v>0</v>
          </cell>
        </row>
        <row r="719">
          <cell r="G719">
            <v>0</v>
          </cell>
          <cell r="H719">
            <v>0</v>
          </cell>
        </row>
        <row r="720">
          <cell r="G720">
            <v>0</v>
          </cell>
          <cell r="H720">
            <v>0</v>
          </cell>
        </row>
        <row r="721">
          <cell r="G721">
            <v>0</v>
          </cell>
          <cell r="H721">
            <v>0</v>
          </cell>
        </row>
        <row r="722">
          <cell r="G722">
            <v>0</v>
          </cell>
          <cell r="H722">
            <v>0</v>
          </cell>
        </row>
        <row r="723">
          <cell r="G723">
            <v>0</v>
          </cell>
          <cell r="H723">
            <v>0</v>
          </cell>
        </row>
        <row r="724">
          <cell r="G724">
            <v>0</v>
          </cell>
          <cell r="H724">
            <v>0</v>
          </cell>
        </row>
        <row r="725">
          <cell r="G725">
            <v>0</v>
          </cell>
          <cell r="H725">
            <v>0</v>
          </cell>
        </row>
        <row r="726">
          <cell r="G726">
            <v>0</v>
          </cell>
          <cell r="H726">
            <v>0</v>
          </cell>
        </row>
        <row r="727">
          <cell r="G727">
            <v>0</v>
          </cell>
          <cell r="H727">
            <v>0</v>
          </cell>
        </row>
        <row r="728">
          <cell r="G728">
            <v>0</v>
          </cell>
          <cell r="H728">
            <v>0</v>
          </cell>
        </row>
        <row r="729">
          <cell r="G729">
            <v>0</v>
          </cell>
          <cell r="H729">
            <v>0</v>
          </cell>
        </row>
        <row r="730">
          <cell r="G730">
            <v>0</v>
          </cell>
          <cell r="H730">
            <v>0</v>
          </cell>
        </row>
        <row r="731">
          <cell r="G731">
            <v>0</v>
          </cell>
          <cell r="H731">
            <v>0</v>
          </cell>
        </row>
        <row r="732">
          <cell r="G732">
            <v>0</v>
          </cell>
          <cell r="H732">
            <v>0</v>
          </cell>
        </row>
        <row r="733">
          <cell r="G733">
            <v>0</v>
          </cell>
          <cell r="H733">
            <v>0</v>
          </cell>
        </row>
        <row r="734">
          <cell r="G734">
            <v>0</v>
          </cell>
          <cell r="H734">
            <v>0</v>
          </cell>
        </row>
        <row r="735">
          <cell r="G735">
            <v>0</v>
          </cell>
          <cell r="H735">
            <v>0</v>
          </cell>
        </row>
        <row r="736">
          <cell r="G736">
            <v>0</v>
          </cell>
          <cell r="H736">
            <v>0</v>
          </cell>
        </row>
        <row r="737">
          <cell r="G737">
            <v>0</v>
          </cell>
          <cell r="H737">
            <v>0</v>
          </cell>
        </row>
        <row r="738">
          <cell r="G738">
            <v>0</v>
          </cell>
          <cell r="H738">
            <v>0</v>
          </cell>
        </row>
        <row r="739">
          <cell r="G739">
            <v>0</v>
          </cell>
          <cell r="H739">
            <v>0</v>
          </cell>
        </row>
        <row r="740">
          <cell r="G740">
            <v>0</v>
          </cell>
          <cell r="H740">
            <v>0</v>
          </cell>
        </row>
        <row r="741">
          <cell r="G741">
            <v>0</v>
          </cell>
          <cell r="H741">
            <v>0</v>
          </cell>
        </row>
        <row r="742">
          <cell r="G742">
            <v>0</v>
          </cell>
          <cell r="H742">
            <v>0</v>
          </cell>
        </row>
        <row r="743">
          <cell r="G743">
            <v>0</v>
          </cell>
          <cell r="H743">
            <v>0</v>
          </cell>
        </row>
        <row r="744">
          <cell r="G744">
            <v>0</v>
          </cell>
          <cell r="H744">
            <v>0</v>
          </cell>
        </row>
        <row r="745">
          <cell r="G745">
            <v>0</v>
          </cell>
          <cell r="H745">
            <v>0</v>
          </cell>
        </row>
        <row r="746">
          <cell r="G746">
            <v>0</v>
          </cell>
          <cell r="H746">
            <v>0</v>
          </cell>
        </row>
        <row r="747">
          <cell r="G747">
            <v>0</v>
          </cell>
          <cell r="H747">
            <v>0</v>
          </cell>
        </row>
        <row r="748">
          <cell r="G748">
            <v>0</v>
          </cell>
          <cell r="H748">
            <v>0</v>
          </cell>
        </row>
        <row r="749">
          <cell r="G749">
            <v>0</v>
          </cell>
          <cell r="H749">
            <v>0</v>
          </cell>
        </row>
        <row r="750">
          <cell r="G750">
            <v>0</v>
          </cell>
          <cell r="H750">
            <v>0</v>
          </cell>
        </row>
        <row r="751">
          <cell r="G751">
            <v>0</v>
          </cell>
          <cell r="H751">
            <v>0</v>
          </cell>
        </row>
        <row r="752">
          <cell r="G752">
            <v>0</v>
          </cell>
          <cell r="H752">
            <v>0</v>
          </cell>
        </row>
        <row r="753">
          <cell r="G753">
            <v>0</v>
          </cell>
          <cell r="H753">
            <v>0</v>
          </cell>
        </row>
        <row r="754">
          <cell r="G754">
            <v>0</v>
          </cell>
          <cell r="H754">
            <v>0</v>
          </cell>
        </row>
        <row r="755">
          <cell r="G755">
            <v>0</v>
          </cell>
          <cell r="H755">
            <v>0</v>
          </cell>
        </row>
        <row r="756">
          <cell r="G756">
            <v>0</v>
          </cell>
          <cell r="H756">
            <v>0</v>
          </cell>
        </row>
        <row r="757">
          <cell r="G757">
            <v>0</v>
          </cell>
          <cell r="H757">
            <v>0</v>
          </cell>
        </row>
        <row r="758">
          <cell r="G758">
            <v>0</v>
          </cell>
          <cell r="H758">
            <v>0</v>
          </cell>
        </row>
        <row r="759">
          <cell r="G759">
            <v>0</v>
          </cell>
          <cell r="H759">
            <v>0</v>
          </cell>
        </row>
        <row r="760">
          <cell r="G760">
            <v>0</v>
          </cell>
          <cell r="H760">
            <v>0</v>
          </cell>
        </row>
        <row r="761">
          <cell r="G761">
            <v>0</v>
          </cell>
          <cell r="H761">
            <v>0</v>
          </cell>
        </row>
        <row r="762">
          <cell r="G762">
            <v>0</v>
          </cell>
          <cell r="H762">
            <v>0</v>
          </cell>
        </row>
        <row r="763">
          <cell r="G763">
            <v>0</v>
          </cell>
          <cell r="H763">
            <v>0</v>
          </cell>
        </row>
        <row r="764">
          <cell r="G764">
            <v>0</v>
          </cell>
          <cell r="H764">
            <v>0</v>
          </cell>
        </row>
        <row r="765">
          <cell r="G765">
            <v>0</v>
          </cell>
          <cell r="H765">
            <v>0</v>
          </cell>
        </row>
        <row r="766">
          <cell r="G766">
            <v>0</v>
          </cell>
          <cell r="H766">
            <v>0</v>
          </cell>
        </row>
        <row r="767">
          <cell r="G767">
            <v>0</v>
          </cell>
          <cell r="H767">
            <v>0</v>
          </cell>
        </row>
        <row r="768">
          <cell r="G768">
            <v>0</v>
          </cell>
          <cell r="H768">
            <v>0</v>
          </cell>
        </row>
        <row r="769">
          <cell r="G769">
            <v>0</v>
          </cell>
          <cell r="H769">
            <v>0</v>
          </cell>
        </row>
        <row r="770">
          <cell r="G770">
            <v>0</v>
          </cell>
          <cell r="H770">
            <v>0</v>
          </cell>
        </row>
        <row r="771">
          <cell r="G771">
            <v>0</v>
          </cell>
          <cell r="H771">
            <v>0</v>
          </cell>
        </row>
        <row r="772">
          <cell r="G772">
            <v>0</v>
          </cell>
          <cell r="H772">
            <v>0</v>
          </cell>
        </row>
        <row r="773">
          <cell r="G773">
            <v>0</v>
          </cell>
          <cell r="H773">
            <v>0</v>
          </cell>
        </row>
        <row r="774">
          <cell r="G774">
            <v>0</v>
          </cell>
          <cell r="H774">
            <v>0</v>
          </cell>
        </row>
        <row r="775">
          <cell r="G775">
            <v>0</v>
          </cell>
          <cell r="H775">
            <v>0</v>
          </cell>
        </row>
        <row r="776">
          <cell r="G776">
            <v>0</v>
          </cell>
          <cell r="H776">
            <v>0</v>
          </cell>
        </row>
        <row r="777">
          <cell r="G777">
            <v>0</v>
          </cell>
          <cell r="H777">
            <v>0</v>
          </cell>
        </row>
        <row r="778">
          <cell r="G778">
            <v>0</v>
          </cell>
          <cell r="H778">
            <v>0</v>
          </cell>
        </row>
        <row r="779">
          <cell r="G779">
            <v>0</v>
          </cell>
          <cell r="H779">
            <v>0</v>
          </cell>
        </row>
        <row r="780">
          <cell r="G780">
            <v>0</v>
          </cell>
          <cell r="H780">
            <v>0</v>
          </cell>
        </row>
        <row r="781">
          <cell r="G781">
            <v>0</v>
          </cell>
          <cell r="H781">
            <v>0</v>
          </cell>
        </row>
        <row r="782">
          <cell r="G782">
            <v>0</v>
          </cell>
          <cell r="H782">
            <v>0</v>
          </cell>
        </row>
        <row r="783">
          <cell r="G783">
            <v>0</v>
          </cell>
          <cell r="H783">
            <v>0</v>
          </cell>
        </row>
        <row r="784">
          <cell r="G784">
            <v>0</v>
          </cell>
          <cell r="H784">
            <v>0</v>
          </cell>
        </row>
        <row r="785">
          <cell r="G785">
            <v>0</v>
          </cell>
          <cell r="H785">
            <v>0</v>
          </cell>
        </row>
        <row r="786">
          <cell r="G786">
            <v>0</v>
          </cell>
          <cell r="H786">
            <v>0</v>
          </cell>
        </row>
        <row r="787">
          <cell r="G787">
            <v>0</v>
          </cell>
          <cell r="H787">
            <v>0</v>
          </cell>
        </row>
        <row r="788">
          <cell r="G788">
            <v>0</v>
          </cell>
          <cell r="H788">
            <v>0</v>
          </cell>
        </row>
        <row r="789">
          <cell r="G789">
            <v>0</v>
          </cell>
          <cell r="H789">
            <v>0</v>
          </cell>
        </row>
        <row r="790">
          <cell r="G790">
            <v>0</v>
          </cell>
          <cell r="H790">
            <v>0</v>
          </cell>
        </row>
        <row r="791">
          <cell r="G791">
            <v>0</v>
          </cell>
          <cell r="H791">
            <v>0</v>
          </cell>
        </row>
        <row r="792">
          <cell r="G792">
            <v>0</v>
          </cell>
          <cell r="H792">
            <v>0</v>
          </cell>
        </row>
        <row r="793">
          <cell r="G793">
            <v>0</v>
          </cell>
          <cell r="H793">
            <v>0</v>
          </cell>
        </row>
        <row r="794">
          <cell r="G794">
            <v>0</v>
          </cell>
          <cell r="H794">
            <v>0</v>
          </cell>
        </row>
        <row r="795">
          <cell r="G795">
            <v>0</v>
          </cell>
          <cell r="H795">
            <v>0</v>
          </cell>
        </row>
        <row r="796">
          <cell r="G796">
            <v>0</v>
          </cell>
          <cell r="H796">
            <v>0</v>
          </cell>
        </row>
        <row r="797">
          <cell r="G797">
            <v>0</v>
          </cell>
          <cell r="H797">
            <v>0</v>
          </cell>
        </row>
        <row r="798">
          <cell r="G798">
            <v>0</v>
          </cell>
          <cell r="H798">
            <v>0</v>
          </cell>
        </row>
        <row r="799">
          <cell r="G799">
            <v>0</v>
          </cell>
          <cell r="H799">
            <v>0</v>
          </cell>
        </row>
        <row r="800">
          <cell r="G800">
            <v>0</v>
          </cell>
          <cell r="H800">
            <v>0</v>
          </cell>
        </row>
        <row r="801">
          <cell r="G801">
            <v>0</v>
          </cell>
          <cell r="H801">
            <v>0</v>
          </cell>
        </row>
        <row r="802">
          <cell r="G802">
            <v>0</v>
          </cell>
          <cell r="H802">
            <v>0</v>
          </cell>
        </row>
        <row r="803">
          <cell r="G803">
            <v>0</v>
          </cell>
          <cell r="H803">
            <v>0</v>
          </cell>
        </row>
        <row r="804">
          <cell r="G804">
            <v>0</v>
          </cell>
          <cell r="H804">
            <v>0</v>
          </cell>
        </row>
        <row r="805">
          <cell r="G805">
            <v>0</v>
          </cell>
          <cell r="H805">
            <v>0</v>
          </cell>
        </row>
        <row r="806">
          <cell r="G806">
            <v>0</v>
          </cell>
          <cell r="H806">
            <v>0</v>
          </cell>
        </row>
        <row r="807">
          <cell r="G807">
            <v>0</v>
          </cell>
          <cell r="H807">
            <v>0</v>
          </cell>
        </row>
        <row r="808">
          <cell r="G808">
            <v>0</v>
          </cell>
          <cell r="H808">
            <v>0</v>
          </cell>
        </row>
        <row r="809">
          <cell r="G809">
            <v>0</v>
          </cell>
          <cell r="H809">
            <v>0</v>
          </cell>
        </row>
        <row r="810">
          <cell r="G810">
            <v>0</v>
          </cell>
          <cell r="H810">
            <v>0</v>
          </cell>
        </row>
        <row r="811">
          <cell r="G811">
            <v>0</v>
          </cell>
          <cell r="H811">
            <v>0</v>
          </cell>
        </row>
        <row r="812">
          <cell r="G812">
            <v>0</v>
          </cell>
          <cell r="H812">
            <v>0</v>
          </cell>
        </row>
        <row r="813">
          <cell r="G813">
            <v>0</v>
          </cell>
          <cell r="H813">
            <v>0</v>
          </cell>
        </row>
        <row r="814">
          <cell r="G814">
            <v>0</v>
          </cell>
          <cell r="H814">
            <v>0</v>
          </cell>
        </row>
        <row r="815">
          <cell r="G815">
            <v>0</v>
          </cell>
          <cell r="H815">
            <v>0</v>
          </cell>
        </row>
        <row r="816">
          <cell r="G816">
            <v>0</v>
          </cell>
          <cell r="H816">
            <v>0</v>
          </cell>
        </row>
        <row r="817">
          <cell r="G817">
            <v>0</v>
          </cell>
          <cell r="H817">
            <v>0</v>
          </cell>
        </row>
        <row r="818">
          <cell r="G818">
            <v>0</v>
          </cell>
          <cell r="H818">
            <v>0</v>
          </cell>
        </row>
        <row r="819">
          <cell r="G819">
            <v>0</v>
          </cell>
          <cell r="H819">
            <v>0</v>
          </cell>
        </row>
        <row r="820">
          <cell r="G820">
            <v>0</v>
          </cell>
          <cell r="H820">
            <v>0</v>
          </cell>
        </row>
        <row r="821">
          <cell r="G821">
            <v>0</v>
          </cell>
          <cell r="H821">
            <v>0</v>
          </cell>
        </row>
        <row r="822">
          <cell r="G822">
            <v>0</v>
          </cell>
          <cell r="H822">
            <v>0</v>
          </cell>
        </row>
        <row r="823">
          <cell r="G823">
            <v>0</v>
          </cell>
          <cell r="H823">
            <v>0</v>
          </cell>
        </row>
        <row r="824">
          <cell r="G824">
            <v>0</v>
          </cell>
          <cell r="H824">
            <v>0</v>
          </cell>
        </row>
        <row r="825">
          <cell r="G825">
            <v>0</v>
          </cell>
          <cell r="H825">
            <v>0</v>
          </cell>
        </row>
        <row r="826">
          <cell r="G826">
            <v>0</v>
          </cell>
          <cell r="H826">
            <v>0</v>
          </cell>
        </row>
        <row r="827">
          <cell r="G827">
            <v>0</v>
          </cell>
          <cell r="H827">
            <v>0</v>
          </cell>
        </row>
        <row r="828">
          <cell r="G828">
            <v>0</v>
          </cell>
          <cell r="H828">
            <v>0</v>
          </cell>
        </row>
        <row r="829">
          <cell r="G829">
            <v>0</v>
          </cell>
          <cell r="H829">
            <v>0</v>
          </cell>
        </row>
        <row r="830">
          <cell r="G830">
            <v>0</v>
          </cell>
          <cell r="H830">
            <v>0</v>
          </cell>
        </row>
        <row r="831">
          <cell r="G831">
            <v>0</v>
          </cell>
          <cell r="H831">
            <v>0</v>
          </cell>
        </row>
        <row r="832">
          <cell r="G832">
            <v>0</v>
          </cell>
          <cell r="H832">
            <v>0</v>
          </cell>
        </row>
        <row r="833">
          <cell r="G833">
            <v>0</v>
          </cell>
          <cell r="H833">
            <v>0</v>
          </cell>
        </row>
        <row r="834">
          <cell r="G834">
            <v>0</v>
          </cell>
          <cell r="H834">
            <v>0</v>
          </cell>
        </row>
        <row r="835">
          <cell r="G835">
            <v>0</v>
          </cell>
          <cell r="H835">
            <v>0</v>
          </cell>
        </row>
        <row r="836">
          <cell r="G836">
            <v>0</v>
          </cell>
          <cell r="H836">
            <v>0</v>
          </cell>
        </row>
        <row r="837">
          <cell r="G837">
            <v>0</v>
          </cell>
          <cell r="H837">
            <v>0</v>
          </cell>
        </row>
        <row r="838">
          <cell r="G838">
            <v>0</v>
          </cell>
          <cell r="H838">
            <v>0</v>
          </cell>
        </row>
        <row r="839">
          <cell r="G839">
            <v>0</v>
          </cell>
          <cell r="H839">
            <v>0</v>
          </cell>
        </row>
        <row r="840">
          <cell r="G840">
            <v>0</v>
          </cell>
          <cell r="H840">
            <v>0</v>
          </cell>
        </row>
        <row r="841">
          <cell r="G841">
            <v>0</v>
          </cell>
          <cell r="H841">
            <v>0</v>
          </cell>
        </row>
        <row r="842">
          <cell r="G842">
            <v>0</v>
          </cell>
          <cell r="H842">
            <v>0</v>
          </cell>
        </row>
        <row r="843">
          <cell r="G843">
            <v>0</v>
          </cell>
          <cell r="H843">
            <v>0</v>
          </cell>
        </row>
        <row r="844">
          <cell r="G844">
            <v>0</v>
          </cell>
          <cell r="H844">
            <v>0</v>
          </cell>
        </row>
        <row r="845">
          <cell r="G845">
            <v>0</v>
          </cell>
          <cell r="H845">
            <v>0</v>
          </cell>
        </row>
        <row r="846">
          <cell r="G846">
            <v>0</v>
          </cell>
          <cell r="H846">
            <v>0</v>
          </cell>
        </row>
        <row r="847">
          <cell r="G847">
            <v>0</v>
          </cell>
          <cell r="H847">
            <v>0</v>
          </cell>
        </row>
        <row r="848">
          <cell r="G848">
            <v>0</v>
          </cell>
          <cell r="H848">
            <v>0</v>
          </cell>
        </row>
        <row r="849">
          <cell r="G849">
            <v>0</v>
          </cell>
          <cell r="H849">
            <v>0</v>
          </cell>
        </row>
        <row r="850">
          <cell r="G850">
            <v>0</v>
          </cell>
          <cell r="H850">
            <v>0</v>
          </cell>
        </row>
        <row r="851">
          <cell r="G851">
            <v>0</v>
          </cell>
          <cell r="H851">
            <v>0</v>
          </cell>
        </row>
        <row r="852">
          <cell r="G852">
            <v>0</v>
          </cell>
          <cell r="H852">
            <v>0</v>
          </cell>
        </row>
        <row r="853">
          <cell r="G853">
            <v>0</v>
          </cell>
          <cell r="H853">
            <v>0</v>
          </cell>
        </row>
        <row r="854">
          <cell r="G854">
            <v>0</v>
          </cell>
          <cell r="H854">
            <v>0</v>
          </cell>
        </row>
        <row r="855">
          <cell r="G855">
            <v>0</v>
          </cell>
          <cell r="H855">
            <v>0</v>
          </cell>
        </row>
        <row r="856">
          <cell r="G856">
            <v>0</v>
          </cell>
          <cell r="H856">
            <v>0</v>
          </cell>
        </row>
        <row r="857">
          <cell r="G857">
            <v>0</v>
          </cell>
          <cell r="H857">
            <v>0</v>
          </cell>
        </row>
        <row r="858">
          <cell r="G858">
            <v>0</v>
          </cell>
          <cell r="H858">
            <v>0</v>
          </cell>
        </row>
        <row r="859">
          <cell r="G859">
            <v>0</v>
          </cell>
          <cell r="H859">
            <v>0</v>
          </cell>
        </row>
        <row r="860">
          <cell r="G860">
            <v>0</v>
          </cell>
          <cell r="H860">
            <v>0</v>
          </cell>
        </row>
        <row r="861">
          <cell r="G861">
            <v>0</v>
          </cell>
          <cell r="H861">
            <v>0</v>
          </cell>
        </row>
        <row r="862">
          <cell r="G862">
            <v>0</v>
          </cell>
          <cell r="H862">
            <v>0</v>
          </cell>
        </row>
        <row r="863">
          <cell r="G863">
            <v>0</v>
          </cell>
          <cell r="H863">
            <v>0</v>
          </cell>
        </row>
        <row r="864">
          <cell r="G864">
            <v>0</v>
          </cell>
          <cell r="H864">
            <v>0</v>
          </cell>
        </row>
        <row r="865">
          <cell r="G865">
            <v>0</v>
          </cell>
          <cell r="H865">
            <v>0</v>
          </cell>
        </row>
        <row r="866">
          <cell r="G866">
            <v>0</v>
          </cell>
          <cell r="H866">
            <v>0</v>
          </cell>
        </row>
        <row r="867">
          <cell r="G867">
            <v>0</v>
          </cell>
          <cell r="H867">
            <v>0</v>
          </cell>
        </row>
        <row r="868">
          <cell r="G868">
            <v>0</v>
          </cell>
          <cell r="H868">
            <v>0</v>
          </cell>
        </row>
        <row r="869">
          <cell r="G869">
            <v>0</v>
          </cell>
          <cell r="H869">
            <v>0</v>
          </cell>
        </row>
        <row r="870">
          <cell r="G870">
            <v>0</v>
          </cell>
          <cell r="H870">
            <v>0</v>
          </cell>
        </row>
        <row r="871">
          <cell r="G871">
            <v>0</v>
          </cell>
          <cell r="H871">
            <v>0</v>
          </cell>
        </row>
        <row r="872">
          <cell r="G872">
            <v>0</v>
          </cell>
          <cell r="H872">
            <v>0</v>
          </cell>
        </row>
        <row r="873">
          <cell r="G873">
            <v>0</v>
          </cell>
          <cell r="H873">
            <v>0</v>
          </cell>
        </row>
        <row r="874">
          <cell r="G874">
            <v>0</v>
          </cell>
          <cell r="H874">
            <v>0</v>
          </cell>
        </row>
        <row r="875">
          <cell r="G875">
            <v>0</v>
          </cell>
          <cell r="H875">
            <v>0</v>
          </cell>
        </row>
        <row r="876">
          <cell r="G876">
            <v>0</v>
          </cell>
          <cell r="H876">
            <v>0</v>
          </cell>
        </row>
        <row r="877">
          <cell r="G877">
            <v>0</v>
          </cell>
          <cell r="H877">
            <v>0</v>
          </cell>
        </row>
        <row r="878">
          <cell r="G878">
            <v>0</v>
          </cell>
          <cell r="H878">
            <v>0</v>
          </cell>
        </row>
        <row r="879">
          <cell r="G879">
            <v>0</v>
          </cell>
          <cell r="H879">
            <v>0</v>
          </cell>
        </row>
        <row r="880">
          <cell r="G880">
            <v>0</v>
          </cell>
          <cell r="H880">
            <v>0</v>
          </cell>
        </row>
        <row r="881">
          <cell r="G881">
            <v>0</v>
          </cell>
          <cell r="H881">
            <v>0</v>
          </cell>
        </row>
        <row r="882">
          <cell r="G882">
            <v>0</v>
          </cell>
          <cell r="H882">
            <v>0</v>
          </cell>
        </row>
        <row r="883">
          <cell r="G883">
            <v>0</v>
          </cell>
          <cell r="H883">
            <v>0</v>
          </cell>
        </row>
        <row r="884">
          <cell r="G884">
            <v>0</v>
          </cell>
          <cell r="H884">
            <v>0</v>
          </cell>
        </row>
        <row r="885">
          <cell r="G885">
            <v>0</v>
          </cell>
          <cell r="H885">
            <v>0</v>
          </cell>
        </row>
        <row r="886">
          <cell r="G886">
            <v>0</v>
          </cell>
          <cell r="H886">
            <v>0</v>
          </cell>
        </row>
        <row r="887">
          <cell r="G887">
            <v>0</v>
          </cell>
          <cell r="H887">
            <v>0</v>
          </cell>
        </row>
        <row r="888">
          <cell r="G888">
            <v>0</v>
          </cell>
          <cell r="H888">
            <v>0</v>
          </cell>
        </row>
        <row r="889">
          <cell r="G889">
            <v>0</v>
          </cell>
          <cell r="H889">
            <v>0</v>
          </cell>
        </row>
        <row r="890">
          <cell r="G890">
            <v>0</v>
          </cell>
          <cell r="H890">
            <v>0</v>
          </cell>
        </row>
        <row r="891">
          <cell r="G891">
            <v>0</v>
          </cell>
          <cell r="H891">
            <v>0</v>
          </cell>
        </row>
        <row r="892">
          <cell r="G892">
            <v>0</v>
          </cell>
          <cell r="H892">
            <v>0</v>
          </cell>
        </row>
        <row r="893">
          <cell r="G893">
            <v>0</v>
          </cell>
          <cell r="H893">
            <v>0</v>
          </cell>
        </row>
        <row r="894">
          <cell r="G894">
            <v>0</v>
          </cell>
          <cell r="H894">
            <v>0</v>
          </cell>
        </row>
        <row r="895">
          <cell r="G895">
            <v>0</v>
          </cell>
          <cell r="H895">
            <v>0</v>
          </cell>
        </row>
        <row r="896">
          <cell r="G896">
            <v>0</v>
          </cell>
          <cell r="H896">
            <v>0</v>
          </cell>
        </row>
        <row r="897">
          <cell r="G897">
            <v>0</v>
          </cell>
          <cell r="H897">
            <v>0</v>
          </cell>
        </row>
        <row r="898">
          <cell r="G898">
            <v>0</v>
          </cell>
          <cell r="H898">
            <v>0</v>
          </cell>
        </row>
        <row r="899">
          <cell r="G899">
            <v>0</v>
          </cell>
          <cell r="H899">
            <v>0</v>
          </cell>
        </row>
        <row r="900">
          <cell r="G900">
            <v>0</v>
          </cell>
          <cell r="H900">
            <v>0</v>
          </cell>
        </row>
        <row r="901">
          <cell r="G901">
            <v>0</v>
          </cell>
          <cell r="H901">
            <v>0</v>
          </cell>
        </row>
        <row r="902">
          <cell r="G902">
            <v>0</v>
          </cell>
          <cell r="H902">
            <v>0</v>
          </cell>
        </row>
        <row r="903">
          <cell r="G903">
            <v>0</v>
          </cell>
          <cell r="H903">
            <v>0</v>
          </cell>
        </row>
        <row r="904">
          <cell r="G904">
            <v>0</v>
          </cell>
          <cell r="H904">
            <v>0</v>
          </cell>
        </row>
        <row r="905">
          <cell r="G905">
            <v>0</v>
          </cell>
          <cell r="H905">
            <v>0</v>
          </cell>
        </row>
        <row r="906">
          <cell r="G906">
            <v>0</v>
          </cell>
          <cell r="H906">
            <v>0</v>
          </cell>
        </row>
        <row r="907">
          <cell r="G907">
            <v>0</v>
          </cell>
          <cell r="H907">
            <v>0</v>
          </cell>
        </row>
        <row r="908">
          <cell r="G908">
            <v>0</v>
          </cell>
          <cell r="H908">
            <v>0</v>
          </cell>
        </row>
        <row r="909">
          <cell r="G909">
            <v>0</v>
          </cell>
          <cell r="H909">
            <v>0</v>
          </cell>
        </row>
        <row r="910">
          <cell r="G910">
            <v>0</v>
          </cell>
          <cell r="H910">
            <v>0</v>
          </cell>
        </row>
        <row r="911">
          <cell r="G911">
            <v>0</v>
          </cell>
          <cell r="H911">
            <v>0</v>
          </cell>
        </row>
        <row r="912">
          <cell r="G912">
            <v>0</v>
          </cell>
          <cell r="H912">
            <v>0</v>
          </cell>
        </row>
        <row r="913">
          <cell r="G913">
            <v>0</v>
          </cell>
          <cell r="H913">
            <v>0</v>
          </cell>
        </row>
        <row r="914">
          <cell r="G914">
            <v>0</v>
          </cell>
          <cell r="H914">
            <v>0</v>
          </cell>
        </row>
        <row r="915">
          <cell r="G915">
            <v>0</v>
          </cell>
          <cell r="H915">
            <v>0</v>
          </cell>
        </row>
        <row r="916">
          <cell r="G916">
            <v>0</v>
          </cell>
          <cell r="H916">
            <v>0</v>
          </cell>
        </row>
        <row r="917">
          <cell r="G917">
            <v>0</v>
          </cell>
          <cell r="H917">
            <v>0</v>
          </cell>
        </row>
        <row r="918">
          <cell r="G918">
            <v>0</v>
          </cell>
          <cell r="H918">
            <v>0</v>
          </cell>
        </row>
        <row r="919">
          <cell r="G919">
            <v>0</v>
          </cell>
          <cell r="H919">
            <v>0</v>
          </cell>
        </row>
        <row r="920">
          <cell r="G920">
            <v>0</v>
          </cell>
          <cell r="H920">
            <v>0</v>
          </cell>
        </row>
        <row r="921">
          <cell r="G921">
            <v>0</v>
          </cell>
          <cell r="H921">
            <v>0</v>
          </cell>
        </row>
        <row r="922">
          <cell r="G922">
            <v>0</v>
          </cell>
          <cell r="H922">
            <v>0</v>
          </cell>
        </row>
        <row r="923">
          <cell r="G923">
            <v>0</v>
          </cell>
          <cell r="H923">
            <v>0</v>
          </cell>
        </row>
        <row r="924">
          <cell r="G924">
            <v>0</v>
          </cell>
          <cell r="H924">
            <v>0</v>
          </cell>
        </row>
        <row r="925">
          <cell r="G925">
            <v>0</v>
          </cell>
          <cell r="H925">
            <v>0</v>
          </cell>
        </row>
        <row r="926">
          <cell r="G926">
            <v>0</v>
          </cell>
          <cell r="H926">
            <v>0</v>
          </cell>
        </row>
        <row r="927">
          <cell r="G927">
            <v>0</v>
          </cell>
          <cell r="H927">
            <v>0</v>
          </cell>
        </row>
        <row r="928">
          <cell r="G928">
            <v>0</v>
          </cell>
          <cell r="H928">
            <v>0</v>
          </cell>
        </row>
        <row r="929">
          <cell r="G929">
            <v>0</v>
          </cell>
          <cell r="H929">
            <v>0</v>
          </cell>
        </row>
        <row r="930">
          <cell r="G930">
            <v>0</v>
          </cell>
          <cell r="H930">
            <v>0</v>
          </cell>
        </row>
        <row r="931">
          <cell r="G931">
            <v>0</v>
          </cell>
          <cell r="H931">
            <v>0</v>
          </cell>
        </row>
        <row r="932">
          <cell r="G932">
            <v>0</v>
          </cell>
          <cell r="H932">
            <v>0</v>
          </cell>
        </row>
        <row r="933">
          <cell r="G933">
            <v>0</v>
          </cell>
          <cell r="H933">
            <v>0</v>
          </cell>
        </row>
        <row r="934">
          <cell r="G934">
            <v>0</v>
          </cell>
          <cell r="H934">
            <v>0</v>
          </cell>
        </row>
        <row r="935">
          <cell r="G935">
            <v>0</v>
          </cell>
          <cell r="H935">
            <v>0</v>
          </cell>
        </row>
        <row r="936">
          <cell r="G936">
            <v>0</v>
          </cell>
          <cell r="H936">
            <v>0</v>
          </cell>
        </row>
        <row r="937">
          <cell r="G937">
            <v>0</v>
          </cell>
          <cell r="H937">
            <v>0</v>
          </cell>
        </row>
        <row r="938">
          <cell r="G938">
            <v>0</v>
          </cell>
          <cell r="H938">
            <v>0</v>
          </cell>
        </row>
        <row r="939">
          <cell r="G939">
            <v>0</v>
          </cell>
          <cell r="H939">
            <v>0</v>
          </cell>
        </row>
        <row r="940">
          <cell r="G940">
            <v>0</v>
          </cell>
          <cell r="H940">
            <v>0</v>
          </cell>
        </row>
        <row r="941">
          <cell r="G941">
            <v>0</v>
          </cell>
          <cell r="H941">
            <v>0</v>
          </cell>
        </row>
        <row r="942">
          <cell r="G942">
            <v>0</v>
          </cell>
          <cell r="H942">
            <v>0</v>
          </cell>
        </row>
        <row r="943">
          <cell r="G943">
            <v>0</v>
          </cell>
          <cell r="H943">
            <v>0</v>
          </cell>
        </row>
        <row r="944">
          <cell r="G944">
            <v>0</v>
          </cell>
          <cell r="H944">
            <v>0</v>
          </cell>
        </row>
        <row r="945">
          <cell r="G945">
            <v>0</v>
          </cell>
          <cell r="H945">
            <v>0</v>
          </cell>
        </row>
        <row r="946">
          <cell r="G946">
            <v>0</v>
          </cell>
          <cell r="H946">
            <v>0</v>
          </cell>
        </row>
        <row r="947">
          <cell r="G947">
            <v>0</v>
          </cell>
          <cell r="H947">
            <v>0</v>
          </cell>
        </row>
        <row r="948">
          <cell r="G948">
            <v>0</v>
          </cell>
          <cell r="H948">
            <v>0</v>
          </cell>
        </row>
        <row r="949">
          <cell r="G949">
            <v>0</v>
          </cell>
          <cell r="H949">
            <v>0</v>
          </cell>
        </row>
        <row r="950">
          <cell r="G950">
            <v>0</v>
          </cell>
          <cell r="H950">
            <v>0</v>
          </cell>
        </row>
        <row r="951">
          <cell r="G951">
            <v>0</v>
          </cell>
          <cell r="H951">
            <v>0</v>
          </cell>
        </row>
        <row r="952">
          <cell r="G952">
            <v>0</v>
          </cell>
          <cell r="H952">
            <v>0</v>
          </cell>
        </row>
        <row r="953">
          <cell r="G953">
            <v>0</v>
          </cell>
          <cell r="H953">
            <v>0</v>
          </cell>
        </row>
        <row r="954">
          <cell r="G954">
            <v>0</v>
          </cell>
          <cell r="H954">
            <v>0</v>
          </cell>
        </row>
        <row r="955">
          <cell r="G955">
            <v>0</v>
          </cell>
          <cell r="H955">
            <v>0</v>
          </cell>
        </row>
        <row r="956">
          <cell r="G956">
            <v>0</v>
          </cell>
          <cell r="H956">
            <v>0</v>
          </cell>
        </row>
        <row r="957">
          <cell r="G957">
            <v>0</v>
          </cell>
          <cell r="H957">
            <v>0</v>
          </cell>
        </row>
        <row r="958">
          <cell r="G958">
            <v>0</v>
          </cell>
          <cell r="H958">
            <v>0</v>
          </cell>
        </row>
        <row r="959">
          <cell r="G959">
            <v>0</v>
          </cell>
          <cell r="H959">
            <v>0</v>
          </cell>
        </row>
        <row r="960">
          <cell r="G960">
            <v>0</v>
          </cell>
          <cell r="H960">
            <v>0</v>
          </cell>
        </row>
        <row r="961">
          <cell r="G961">
            <v>0</v>
          </cell>
          <cell r="H961">
            <v>0</v>
          </cell>
        </row>
        <row r="962">
          <cell r="G962">
            <v>0</v>
          </cell>
          <cell r="H962">
            <v>0</v>
          </cell>
        </row>
        <row r="963">
          <cell r="G963">
            <v>0</v>
          </cell>
          <cell r="H963">
            <v>0</v>
          </cell>
        </row>
        <row r="964">
          <cell r="G964">
            <v>0</v>
          </cell>
          <cell r="H964">
            <v>0</v>
          </cell>
        </row>
        <row r="965">
          <cell r="G965">
            <v>0</v>
          </cell>
          <cell r="H965">
            <v>0</v>
          </cell>
        </row>
        <row r="966">
          <cell r="G966">
            <v>0</v>
          </cell>
          <cell r="H966">
            <v>0</v>
          </cell>
        </row>
        <row r="967">
          <cell r="G967">
            <v>0</v>
          </cell>
          <cell r="H967">
            <v>0</v>
          </cell>
        </row>
        <row r="968">
          <cell r="G968">
            <v>0</v>
          </cell>
          <cell r="H968">
            <v>0</v>
          </cell>
        </row>
        <row r="969">
          <cell r="G969">
            <v>0</v>
          </cell>
          <cell r="H969">
            <v>0</v>
          </cell>
        </row>
        <row r="970">
          <cell r="G970">
            <v>0</v>
          </cell>
          <cell r="H970">
            <v>0</v>
          </cell>
        </row>
        <row r="971">
          <cell r="G971">
            <v>0</v>
          </cell>
          <cell r="H971">
            <v>0</v>
          </cell>
        </row>
        <row r="972">
          <cell r="G972">
            <v>0</v>
          </cell>
          <cell r="H972">
            <v>0</v>
          </cell>
        </row>
        <row r="973">
          <cell r="G973">
            <v>0</v>
          </cell>
          <cell r="H973">
            <v>0</v>
          </cell>
        </row>
        <row r="974">
          <cell r="G974">
            <v>0</v>
          </cell>
          <cell r="H974">
            <v>0</v>
          </cell>
        </row>
        <row r="975">
          <cell r="G975">
            <v>0</v>
          </cell>
          <cell r="H975">
            <v>0</v>
          </cell>
        </row>
        <row r="976">
          <cell r="G976">
            <v>0</v>
          </cell>
          <cell r="H976">
            <v>0</v>
          </cell>
        </row>
        <row r="977">
          <cell r="G977">
            <v>0</v>
          </cell>
          <cell r="H977">
            <v>0</v>
          </cell>
        </row>
        <row r="978">
          <cell r="G978">
            <v>0</v>
          </cell>
          <cell r="H978">
            <v>0</v>
          </cell>
        </row>
        <row r="979">
          <cell r="G979">
            <v>0</v>
          </cell>
          <cell r="H979">
            <v>0</v>
          </cell>
        </row>
        <row r="980">
          <cell r="G980">
            <v>0</v>
          </cell>
          <cell r="H980">
            <v>0</v>
          </cell>
        </row>
        <row r="981">
          <cell r="G981">
            <v>0</v>
          </cell>
          <cell r="H981">
            <v>0</v>
          </cell>
        </row>
        <row r="982">
          <cell r="G982">
            <v>0</v>
          </cell>
          <cell r="H982">
            <v>0</v>
          </cell>
        </row>
        <row r="983">
          <cell r="G983">
            <v>0</v>
          </cell>
          <cell r="H983">
            <v>0</v>
          </cell>
        </row>
        <row r="984">
          <cell r="G984">
            <v>0</v>
          </cell>
          <cell r="H984">
            <v>0</v>
          </cell>
        </row>
        <row r="985">
          <cell r="G985">
            <v>0</v>
          </cell>
          <cell r="H985">
            <v>0</v>
          </cell>
        </row>
        <row r="986">
          <cell r="G986">
            <v>0</v>
          </cell>
          <cell r="H986">
            <v>0</v>
          </cell>
        </row>
        <row r="987">
          <cell r="G987">
            <v>0</v>
          </cell>
          <cell r="H987">
            <v>0</v>
          </cell>
        </row>
        <row r="988">
          <cell r="G988">
            <v>0</v>
          </cell>
          <cell r="H988">
            <v>0</v>
          </cell>
        </row>
        <row r="989">
          <cell r="G989">
            <v>0</v>
          </cell>
          <cell r="H989">
            <v>0</v>
          </cell>
        </row>
        <row r="990">
          <cell r="G990">
            <v>0</v>
          </cell>
          <cell r="H990">
            <v>0</v>
          </cell>
        </row>
        <row r="991">
          <cell r="G991">
            <v>0</v>
          </cell>
          <cell r="H991">
            <v>0</v>
          </cell>
        </row>
        <row r="992">
          <cell r="G992">
            <v>0</v>
          </cell>
          <cell r="H992">
            <v>0</v>
          </cell>
        </row>
        <row r="993">
          <cell r="G993">
            <v>0</v>
          </cell>
          <cell r="H993">
            <v>0</v>
          </cell>
        </row>
        <row r="994">
          <cell r="G994">
            <v>0</v>
          </cell>
          <cell r="H994">
            <v>0</v>
          </cell>
        </row>
        <row r="995">
          <cell r="G995">
            <v>0</v>
          </cell>
          <cell r="H995">
            <v>0</v>
          </cell>
        </row>
        <row r="996">
          <cell r="G996">
            <v>0</v>
          </cell>
          <cell r="H996">
            <v>0</v>
          </cell>
        </row>
        <row r="997">
          <cell r="G997">
            <v>0</v>
          </cell>
          <cell r="H997">
            <v>0</v>
          </cell>
        </row>
        <row r="998">
          <cell r="G998">
            <v>0</v>
          </cell>
          <cell r="H998">
            <v>0</v>
          </cell>
        </row>
        <row r="999">
          <cell r="G999">
            <v>0</v>
          </cell>
          <cell r="H999">
            <v>0</v>
          </cell>
        </row>
        <row r="1000">
          <cell r="G1000">
            <v>0</v>
          </cell>
          <cell r="H1000">
            <v>0</v>
          </cell>
        </row>
        <row r="1001">
          <cell r="G1001">
            <v>0</v>
          </cell>
          <cell r="H1001">
            <v>0</v>
          </cell>
        </row>
        <row r="1002">
          <cell r="G1002">
            <v>0</v>
          </cell>
          <cell r="H1002">
            <v>0</v>
          </cell>
        </row>
        <row r="1003">
          <cell r="G1003">
            <v>0</v>
          </cell>
          <cell r="H1003">
            <v>0</v>
          </cell>
        </row>
        <row r="1004">
          <cell r="G1004">
            <v>0</v>
          </cell>
          <cell r="H1004">
            <v>0</v>
          </cell>
        </row>
        <row r="1005">
          <cell r="G1005">
            <v>0</v>
          </cell>
          <cell r="H1005">
            <v>0</v>
          </cell>
        </row>
        <row r="1006">
          <cell r="G1006">
            <v>0</v>
          </cell>
          <cell r="H1006">
            <v>0</v>
          </cell>
        </row>
        <row r="1007">
          <cell r="G1007">
            <v>0</v>
          </cell>
          <cell r="H1007">
            <v>0</v>
          </cell>
        </row>
        <row r="1008">
          <cell r="G1008">
            <v>0</v>
          </cell>
          <cell r="H1008">
            <v>0</v>
          </cell>
        </row>
        <row r="1009">
          <cell r="G1009">
            <v>0</v>
          </cell>
          <cell r="H1009">
            <v>0</v>
          </cell>
        </row>
        <row r="1010">
          <cell r="G1010">
            <v>0</v>
          </cell>
          <cell r="H1010">
            <v>0</v>
          </cell>
        </row>
        <row r="1011">
          <cell r="G1011">
            <v>0</v>
          </cell>
          <cell r="H1011">
            <v>0</v>
          </cell>
        </row>
        <row r="1012">
          <cell r="G1012">
            <v>0</v>
          </cell>
          <cell r="H1012">
            <v>0</v>
          </cell>
        </row>
        <row r="1013">
          <cell r="G1013">
            <v>0</v>
          </cell>
          <cell r="H1013">
            <v>0</v>
          </cell>
        </row>
        <row r="1014">
          <cell r="G1014">
            <v>0</v>
          </cell>
          <cell r="H1014">
            <v>0</v>
          </cell>
        </row>
        <row r="1015">
          <cell r="G1015">
            <v>0</v>
          </cell>
          <cell r="H1015">
            <v>0</v>
          </cell>
        </row>
        <row r="1016">
          <cell r="G1016">
            <v>0</v>
          </cell>
          <cell r="H1016">
            <v>0</v>
          </cell>
        </row>
        <row r="1017">
          <cell r="G1017">
            <v>0</v>
          </cell>
          <cell r="H1017">
            <v>0</v>
          </cell>
        </row>
        <row r="1018">
          <cell r="G1018">
            <v>0</v>
          </cell>
          <cell r="H1018">
            <v>0</v>
          </cell>
        </row>
        <row r="1019">
          <cell r="G1019">
            <v>0</v>
          </cell>
          <cell r="H1019">
            <v>0</v>
          </cell>
        </row>
        <row r="1020">
          <cell r="G1020">
            <v>0</v>
          </cell>
          <cell r="H1020">
            <v>0</v>
          </cell>
        </row>
        <row r="1021">
          <cell r="G1021">
            <v>0</v>
          </cell>
          <cell r="H1021">
            <v>0</v>
          </cell>
        </row>
        <row r="1022">
          <cell r="G1022">
            <v>0</v>
          </cell>
          <cell r="H1022">
            <v>0</v>
          </cell>
        </row>
        <row r="1023">
          <cell r="G1023">
            <v>0</v>
          </cell>
          <cell r="H1023">
            <v>0</v>
          </cell>
        </row>
        <row r="1024">
          <cell r="G1024">
            <v>0</v>
          </cell>
          <cell r="H1024">
            <v>0</v>
          </cell>
        </row>
        <row r="1025">
          <cell r="G1025">
            <v>0</v>
          </cell>
          <cell r="H1025">
            <v>0</v>
          </cell>
        </row>
        <row r="1026">
          <cell r="G1026">
            <v>0</v>
          </cell>
          <cell r="H1026">
            <v>0</v>
          </cell>
        </row>
        <row r="1027">
          <cell r="G1027">
            <v>0</v>
          </cell>
          <cell r="H1027">
            <v>0</v>
          </cell>
        </row>
        <row r="1028">
          <cell r="G1028">
            <v>0</v>
          </cell>
          <cell r="H1028">
            <v>0</v>
          </cell>
        </row>
        <row r="1029">
          <cell r="G1029">
            <v>0</v>
          </cell>
          <cell r="H1029">
            <v>0</v>
          </cell>
        </row>
        <row r="1030">
          <cell r="G1030">
            <v>0</v>
          </cell>
          <cell r="H1030">
            <v>0</v>
          </cell>
        </row>
        <row r="1031">
          <cell r="G1031">
            <v>0</v>
          </cell>
          <cell r="H1031">
            <v>0</v>
          </cell>
        </row>
        <row r="1032">
          <cell r="G1032">
            <v>0</v>
          </cell>
          <cell r="H1032">
            <v>0</v>
          </cell>
        </row>
        <row r="1033">
          <cell r="G1033">
            <v>0</v>
          </cell>
          <cell r="H1033">
            <v>0</v>
          </cell>
        </row>
        <row r="1034">
          <cell r="G1034">
            <v>0</v>
          </cell>
          <cell r="H1034">
            <v>0</v>
          </cell>
        </row>
        <row r="1035">
          <cell r="G1035">
            <v>0</v>
          </cell>
          <cell r="H1035">
            <v>0</v>
          </cell>
        </row>
        <row r="1036">
          <cell r="G1036">
            <v>0</v>
          </cell>
          <cell r="H1036">
            <v>0</v>
          </cell>
        </row>
        <row r="1037">
          <cell r="G1037">
            <v>0</v>
          </cell>
          <cell r="H1037">
            <v>0</v>
          </cell>
        </row>
        <row r="1038">
          <cell r="G1038">
            <v>0</v>
          </cell>
          <cell r="H1038">
            <v>0</v>
          </cell>
        </row>
        <row r="1039">
          <cell r="G1039">
            <v>0</v>
          </cell>
          <cell r="H1039">
            <v>0</v>
          </cell>
        </row>
        <row r="1040">
          <cell r="G1040">
            <v>0</v>
          </cell>
          <cell r="H1040">
            <v>0</v>
          </cell>
        </row>
        <row r="1041">
          <cell r="G1041">
            <v>0</v>
          </cell>
          <cell r="H1041">
            <v>0</v>
          </cell>
        </row>
        <row r="1042">
          <cell r="G1042">
            <v>0</v>
          </cell>
          <cell r="H1042">
            <v>0</v>
          </cell>
        </row>
        <row r="1043">
          <cell r="G1043">
            <v>0</v>
          </cell>
          <cell r="H1043">
            <v>0</v>
          </cell>
        </row>
        <row r="1044">
          <cell r="G1044">
            <v>0</v>
          </cell>
          <cell r="H1044">
            <v>0</v>
          </cell>
        </row>
        <row r="1045">
          <cell r="G1045">
            <v>0</v>
          </cell>
          <cell r="H1045">
            <v>0</v>
          </cell>
        </row>
        <row r="1046">
          <cell r="G1046">
            <v>0</v>
          </cell>
          <cell r="H1046">
            <v>0</v>
          </cell>
        </row>
        <row r="1047">
          <cell r="G1047">
            <v>0</v>
          </cell>
          <cell r="H1047">
            <v>0</v>
          </cell>
        </row>
        <row r="1048">
          <cell r="G1048">
            <v>0</v>
          </cell>
          <cell r="H1048">
            <v>0</v>
          </cell>
        </row>
        <row r="1049">
          <cell r="G1049">
            <v>0</v>
          </cell>
          <cell r="H1049">
            <v>0</v>
          </cell>
        </row>
        <row r="1050">
          <cell r="G1050">
            <v>0</v>
          </cell>
          <cell r="H1050">
            <v>0</v>
          </cell>
        </row>
        <row r="1051">
          <cell r="G1051">
            <v>0</v>
          </cell>
          <cell r="H1051">
            <v>0</v>
          </cell>
        </row>
        <row r="1052">
          <cell r="G1052">
            <v>0</v>
          </cell>
          <cell r="H1052">
            <v>0</v>
          </cell>
        </row>
        <row r="1053">
          <cell r="G1053">
            <v>0</v>
          </cell>
          <cell r="H1053">
            <v>0</v>
          </cell>
        </row>
        <row r="1054">
          <cell r="G1054">
            <v>0</v>
          </cell>
          <cell r="H1054">
            <v>0</v>
          </cell>
        </row>
        <row r="1055">
          <cell r="G1055">
            <v>0</v>
          </cell>
          <cell r="H1055">
            <v>0</v>
          </cell>
        </row>
        <row r="1056">
          <cell r="G1056">
            <v>0</v>
          </cell>
          <cell r="H1056">
            <v>0</v>
          </cell>
        </row>
        <row r="1057">
          <cell r="G1057">
            <v>0</v>
          </cell>
          <cell r="H1057">
            <v>0</v>
          </cell>
        </row>
        <row r="1058">
          <cell r="G1058">
            <v>0</v>
          </cell>
          <cell r="H1058">
            <v>0</v>
          </cell>
        </row>
        <row r="1059">
          <cell r="G1059">
            <v>0</v>
          </cell>
          <cell r="H1059">
            <v>0</v>
          </cell>
        </row>
        <row r="1060">
          <cell r="G1060">
            <v>0</v>
          </cell>
          <cell r="H1060">
            <v>0</v>
          </cell>
        </row>
        <row r="1061">
          <cell r="G1061">
            <v>0</v>
          </cell>
          <cell r="H1061">
            <v>0</v>
          </cell>
        </row>
        <row r="1062">
          <cell r="G1062">
            <v>0</v>
          </cell>
          <cell r="H1062">
            <v>0</v>
          </cell>
        </row>
        <row r="1063">
          <cell r="G1063">
            <v>0</v>
          </cell>
          <cell r="H1063">
            <v>0</v>
          </cell>
        </row>
        <row r="1064">
          <cell r="G1064">
            <v>0</v>
          </cell>
          <cell r="H1064">
            <v>0</v>
          </cell>
        </row>
        <row r="1065">
          <cell r="G1065">
            <v>0</v>
          </cell>
          <cell r="H1065">
            <v>0</v>
          </cell>
        </row>
        <row r="1066">
          <cell r="G1066">
            <v>0</v>
          </cell>
          <cell r="H1066">
            <v>0</v>
          </cell>
        </row>
        <row r="1067">
          <cell r="G1067">
            <v>0</v>
          </cell>
          <cell r="H1067">
            <v>0</v>
          </cell>
        </row>
        <row r="1068">
          <cell r="G1068">
            <v>0</v>
          </cell>
          <cell r="H1068">
            <v>0</v>
          </cell>
        </row>
        <row r="1069">
          <cell r="G1069">
            <v>0</v>
          </cell>
          <cell r="H1069">
            <v>0</v>
          </cell>
        </row>
        <row r="1070">
          <cell r="G1070">
            <v>0</v>
          </cell>
          <cell r="H1070">
            <v>0</v>
          </cell>
        </row>
        <row r="1071">
          <cell r="G1071">
            <v>0</v>
          </cell>
          <cell r="H1071">
            <v>0</v>
          </cell>
        </row>
        <row r="1072">
          <cell r="G1072">
            <v>0</v>
          </cell>
          <cell r="H1072">
            <v>0</v>
          </cell>
        </row>
        <row r="1073">
          <cell r="G1073">
            <v>0</v>
          </cell>
          <cell r="H1073">
            <v>0</v>
          </cell>
        </row>
        <row r="1074">
          <cell r="G1074">
            <v>0</v>
          </cell>
          <cell r="H1074">
            <v>0</v>
          </cell>
        </row>
        <row r="1075">
          <cell r="G1075">
            <v>0</v>
          </cell>
          <cell r="H1075">
            <v>0</v>
          </cell>
        </row>
        <row r="1076">
          <cell r="G1076">
            <v>0</v>
          </cell>
          <cell r="H1076">
            <v>0</v>
          </cell>
        </row>
        <row r="1077">
          <cell r="G1077">
            <v>0</v>
          </cell>
          <cell r="H1077">
            <v>0</v>
          </cell>
        </row>
        <row r="1078">
          <cell r="G1078">
            <v>0</v>
          </cell>
          <cell r="H1078">
            <v>0</v>
          </cell>
        </row>
        <row r="1079">
          <cell r="G1079">
            <v>0</v>
          </cell>
          <cell r="H1079">
            <v>0</v>
          </cell>
        </row>
        <row r="1080">
          <cell r="G1080">
            <v>0</v>
          </cell>
          <cell r="H1080">
            <v>0</v>
          </cell>
        </row>
        <row r="1081">
          <cell r="G1081">
            <v>0</v>
          </cell>
          <cell r="H1081">
            <v>0</v>
          </cell>
        </row>
        <row r="1082">
          <cell r="G1082">
            <v>0</v>
          </cell>
          <cell r="H1082">
            <v>0</v>
          </cell>
        </row>
        <row r="1083">
          <cell r="G1083">
            <v>0</v>
          </cell>
          <cell r="H1083">
            <v>0</v>
          </cell>
        </row>
        <row r="1084">
          <cell r="G1084">
            <v>0</v>
          </cell>
          <cell r="H1084">
            <v>0</v>
          </cell>
        </row>
        <row r="1085">
          <cell r="G1085">
            <v>0</v>
          </cell>
          <cell r="H1085">
            <v>0</v>
          </cell>
        </row>
        <row r="1086">
          <cell r="G1086">
            <v>0</v>
          </cell>
          <cell r="H1086">
            <v>0</v>
          </cell>
        </row>
        <row r="1087">
          <cell r="G1087">
            <v>0</v>
          </cell>
          <cell r="H1087">
            <v>0</v>
          </cell>
        </row>
        <row r="1088">
          <cell r="G1088">
            <v>0</v>
          </cell>
          <cell r="H1088">
            <v>0</v>
          </cell>
        </row>
        <row r="1089">
          <cell r="G1089">
            <v>0</v>
          </cell>
          <cell r="H1089">
            <v>0</v>
          </cell>
        </row>
        <row r="1090">
          <cell r="G1090">
            <v>0</v>
          </cell>
          <cell r="H1090">
            <v>0</v>
          </cell>
        </row>
        <row r="1091">
          <cell r="G1091">
            <v>0</v>
          </cell>
          <cell r="H1091">
            <v>0</v>
          </cell>
        </row>
        <row r="1092">
          <cell r="G1092">
            <v>0</v>
          </cell>
          <cell r="H1092">
            <v>0</v>
          </cell>
        </row>
        <row r="1093">
          <cell r="G1093">
            <v>0</v>
          </cell>
          <cell r="H1093">
            <v>0</v>
          </cell>
        </row>
        <row r="1094">
          <cell r="G1094">
            <v>0</v>
          </cell>
          <cell r="H1094">
            <v>0</v>
          </cell>
        </row>
        <row r="1095">
          <cell r="G1095">
            <v>0</v>
          </cell>
          <cell r="H1095">
            <v>0</v>
          </cell>
        </row>
        <row r="1096">
          <cell r="G1096">
            <v>0</v>
          </cell>
          <cell r="H1096">
            <v>0</v>
          </cell>
        </row>
        <row r="1097">
          <cell r="G1097">
            <v>0</v>
          </cell>
          <cell r="H1097">
            <v>0</v>
          </cell>
        </row>
        <row r="1098">
          <cell r="G1098">
            <v>0</v>
          </cell>
          <cell r="H1098">
            <v>0</v>
          </cell>
        </row>
        <row r="1099">
          <cell r="G1099">
            <v>0</v>
          </cell>
          <cell r="H1099">
            <v>0</v>
          </cell>
        </row>
        <row r="1100">
          <cell r="G1100">
            <v>0</v>
          </cell>
          <cell r="H1100">
            <v>0</v>
          </cell>
        </row>
        <row r="1101">
          <cell r="G1101">
            <v>0</v>
          </cell>
          <cell r="H1101">
            <v>0</v>
          </cell>
        </row>
        <row r="1102">
          <cell r="G1102">
            <v>0</v>
          </cell>
          <cell r="H1102">
            <v>0</v>
          </cell>
        </row>
        <row r="1103">
          <cell r="G1103">
            <v>0</v>
          </cell>
          <cell r="H1103">
            <v>0</v>
          </cell>
        </row>
        <row r="1104">
          <cell r="G1104">
            <v>0</v>
          </cell>
          <cell r="H1104">
            <v>0</v>
          </cell>
        </row>
        <row r="1105">
          <cell r="G1105">
            <v>0</v>
          </cell>
          <cell r="H1105">
            <v>0</v>
          </cell>
        </row>
        <row r="1106">
          <cell r="G1106">
            <v>0</v>
          </cell>
          <cell r="H1106">
            <v>0</v>
          </cell>
        </row>
        <row r="1107">
          <cell r="G1107">
            <v>0</v>
          </cell>
          <cell r="H1107">
            <v>0</v>
          </cell>
        </row>
        <row r="1108">
          <cell r="G1108">
            <v>0</v>
          </cell>
          <cell r="H1108">
            <v>0</v>
          </cell>
        </row>
        <row r="1109">
          <cell r="G1109">
            <v>0</v>
          </cell>
          <cell r="H1109">
            <v>0</v>
          </cell>
        </row>
        <row r="1110">
          <cell r="G1110">
            <v>0</v>
          </cell>
          <cell r="H1110">
            <v>0</v>
          </cell>
        </row>
        <row r="1111">
          <cell r="G1111">
            <v>0</v>
          </cell>
          <cell r="H1111">
            <v>0</v>
          </cell>
        </row>
        <row r="1112">
          <cell r="G1112">
            <v>0</v>
          </cell>
          <cell r="H1112">
            <v>0</v>
          </cell>
        </row>
        <row r="1113">
          <cell r="G1113">
            <v>0</v>
          </cell>
          <cell r="H1113">
            <v>0</v>
          </cell>
        </row>
        <row r="1114">
          <cell r="G1114">
            <v>0</v>
          </cell>
          <cell r="H1114">
            <v>0</v>
          </cell>
        </row>
        <row r="1115">
          <cell r="G1115">
            <v>0</v>
          </cell>
          <cell r="H1115">
            <v>0</v>
          </cell>
        </row>
        <row r="1116">
          <cell r="G1116">
            <v>0</v>
          </cell>
          <cell r="H1116">
            <v>0</v>
          </cell>
        </row>
        <row r="1117">
          <cell r="G1117">
            <v>0</v>
          </cell>
          <cell r="H1117">
            <v>0</v>
          </cell>
        </row>
        <row r="1118">
          <cell r="G1118">
            <v>0</v>
          </cell>
          <cell r="H1118">
            <v>0</v>
          </cell>
        </row>
        <row r="1119">
          <cell r="G1119">
            <v>0</v>
          </cell>
          <cell r="H1119">
            <v>0</v>
          </cell>
        </row>
        <row r="1120">
          <cell r="G1120">
            <v>0</v>
          </cell>
          <cell r="H1120">
            <v>0</v>
          </cell>
        </row>
        <row r="1121">
          <cell r="G1121">
            <v>0</v>
          </cell>
          <cell r="H1121">
            <v>0</v>
          </cell>
        </row>
        <row r="1122">
          <cell r="G1122">
            <v>0</v>
          </cell>
          <cell r="H1122">
            <v>0</v>
          </cell>
        </row>
        <row r="1123">
          <cell r="G1123">
            <v>0</v>
          </cell>
          <cell r="H1123">
            <v>0</v>
          </cell>
        </row>
        <row r="1124">
          <cell r="G1124">
            <v>0</v>
          </cell>
          <cell r="H1124">
            <v>0</v>
          </cell>
        </row>
        <row r="1125">
          <cell r="G1125">
            <v>0</v>
          </cell>
          <cell r="H1125">
            <v>0</v>
          </cell>
        </row>
        <row r="1126">
          <cell r="G1126">
            <v>0</v>
          </cell>
          <cell r="H1126">
            <v>0</v>
          </cell>
        </row>
        <row r="1127">
          <cell r="G1127">
            <v>0</v>
          </cell>
          <cell r="H1127">
            <v>0</v>
          </cell>
        </row>
        <row r="1128">
          <cell r="G1128">
            <v>0</v>
          </cell>
          <cell r="H1128">
            <v>0</v>
          </cell>
        </row>
        <row r="1129">
          <cell r="G1129">
            <v>0</v>
          </cell>
          <cell r="H1129">
            <v>0</v>
          </cell>
        </row>
        <row r="1130">
          <cell r="G1130">
            <v>0</v>
          </cell>
          <cell r="H1130">
            <v>0</v>
          </cell>
        </row>
        <row r="1131">
          <cell r="G1131">
            <v>0</v>
          </cell>
          <cell r="H1131">
            <v>0</v>
          </cell>
        </row>
        <row r="1132">
          <cell r="G1132">
            <v>0</v>
          </cell>
          <cell r="H1132">
            <v>0</v>
          </cell>
        </row>
        <row r="1133">
          <cell r="G1133">
            <v>0</v>
          </cell>
          <cell r="H1133">
            <v>0</v>
          </cell>
        </row>
        <row r="1134">
          <cell r="G1134">
            <v>0</v>
          </cell>
          <cell r="H1134">
            <v>0</v>
          </cell>
        </row>
        <row r="1135">
          <cell r="G1135">
            <v>0</v>
          </cell>
          <cell r="H1135">
            <v>0</v>
          </cell>
        </row>
        <row r="1136">
          <cell r="G1136">
            <v>0</v>
          </cell>
          <cell r="H1136">
            <v>0</v>
          </cell>
        </row>
        <row r="1137">
          <cell r="G1137">
            <v>0</v>
          </cell>
          <cell r="H1137">
            <v>0</v>
          </cell>
        </row>
        <row r="1138">
          <cell r="G1138">
            <v>0</v>
          </cell>
          <cell r="H1138">
            <v>0</v>
          </cell>
        </row>
        <row r="1139">
          <cell r="G1139">
            <v>0</v>
          </cell>
          <cell r="H1139">
            <v>0</v>
          </cell>
        </row>
        <row r="1140">
          <cell r="G1140">
            <v>0</v>
          </cell>
          <cell r="H1140">
            <v>0</v>
          </cell>
        </row>
        <row r="1141">
          <cell r="G1141">
            <v>0</v>
          </cell>
          <cell r="H1141">
            <v>0</v>
          </cell>
        </row>
        <row r="1142">
          <cell r="G1142">
            <v>0</v>
          </cell>
          <cell r="H1142">
            <v>0</v>
          </cell>
        </row>
        <row r="1143">
          <cell r="G1143">
            <v>0</v>
          </cell>
          <cell r="H1143">
            <v>0</v>
          </cell>
        </row>
        <row r="1144">
          <cell r="G1144">
            <v>0</v>
          </cell>
          <cell r="H1144">
            <v>0</v>
          </cell>
        </row>
        <row r="1145">
          <cell r="G1145">
            <v>0</v>
          </cell>
          <cell r="H1145">
            <v>0</v>
          </cell>
        </row>
        <row r="1146">
          <cell r="G1146">
            <v>0</v>
          </cell>
          <cell r="H1146">
            <v>0</v>
          </cell>
        </row>
        <row r="1147">
          <cell r="G1147">
            <v>0</v>
          </cell>
          <cell r="H1147">
            <v>0</v>
          </cell>
        </row>
        <row r="1148">
          <cell r="G1148">
            <v>0</v>
          </cell>
          <cell r="H1148">
            <v>0</v>
          </cell>
        </row>
        <row r="1149">
          <cell r="G1149">
            <v>0</v>
          </cell>
          <cell r="H1149">
            <v>0</v>
          </cell>
        </row>
        <row r="1150">
          <cell r="G1150">
            <v>0</v>
          </cell>
          <cell r="H1150">
            <v>0</v>
          </cell>
        </row>
        <row r="1151">
          <cell r="G1151">
            <v>0</v>
          </cell>
          <cell r="H1151">
            <v>0</v>
          </cell>
        </row>
        <row r="1152">
          <cell r="G1152">
            <v>0</v>
          </cell>
          <cell r="H1152">
            <v>0</v>
          </cell>
        </row>
        <row r="1153">
          <cell r="G1153">
            <v>0</v>
          </cell>
          <cell r="H1153">
            <v>0</v>
          </cell>
        </row>
        <row r="1154">
          <cell r="G1154">
            <v>0</v>
          </cell>
          <cell r="H1154">
            <v>0</v>
          </cell>
        </row>
        <row r="1155">
          <cell r="G1155">
            <v>0</v>
          </cell>
          <cell r="H1155">
            <v>0</v>
          </cell>
        </row>
        <row r="1156">
          <cell r="G1156">
            <v>0</v>
          </cell>
          <cell r="H1156">
            <v>0</v>
          </cell>
        </row>
        <row r="1157">
          <cell r="G1157">
            <v>0</v>
          </cell>
          <cell r="H1157">
            <v>0</v>
          </cell>
        </row>
        <row r="1158">
          <cell r="G1158">
            <v>0</v>
          </cell>
          <cell r="H1158">
            <v>0</v>
          </cell>
        </row>
        <row r="1159">
          <cell r="G1159">
            <v>0</v>
          </cell>
          <cell r="H1159">
            <v>0</v>
          </cell>
        </row>
        <row r="1160">
          <cell r="G1160">
            <v>0</v>
          </cell>
          <cell r="H1160">
            <v>0</v>
          </cell>
        </row>
        <row r="1161">
          <cell r="G1161">
            <v>0</v>
          </cell>
          <cell r="H1161">
            <v>0</v>
          </cell>
        </row>
        <row r="1162">
          <cell r="G1162">
            <v>0</v>
          </cell>
          <cell r="H1162">
            <v>0</v>
          </cell>
        </row>
        <row r="1163">
          <cell r="G1163">
            <v>0</v>
          </cell>
          <cell r="H1163">
            <v>0</v>
          </cell>
        </row>
        <row r="1164">
          <cell r="G1164">
            <v>0</v>
          </cell>
          <cell r="H1164">
            <v>0</v>
          </cell>
        </row>
        <row r="1165">
          <cell r="G1165">
            <v>0</v>
          </cell>
          <cell r="H1165">
            <v>0</v>
          </cell>
        </row>
        <row r="1166">
          <cell r="G1166">
            <v>0</v>
          </cell>
          <cell r="H1166">
            <v>0</v>
          </cell>
        </row>
        <row r="1167">
          <cell r="G1167">
            <v>0</v>
          </cell>
          <cell r="H1167">
            <v>0</v>
          </cell>
        </row>
        <row r="1168">
          <cell r="G1168">
            <v>0</v>
          </cell>
          <cell r="H1168">
            <v>0</v>
          </cell>
        </row>
        <row r="1169">
          <cell r="G1169">
            <v>0</v>
          </cell>
          <cell r="H1169">
            <v>0</v>
          </cell>
        </row>
        <row r="1170">
          <cell r="G1170">
            <v>0</v>
          </cell>
          <cell r="H1170">
            <v>0</v>
          </cell>
        </row>
        <row r="1171">
          <cell r="G1171">
            <v>0</v>
          </cell>
          <cell r="H1171">
            <v>0</v>
          </cell>
        </row>
        <row r="1172">
          <cell r="G1172">
            <v>0</v>
          </cell>
          <cell r="H1172">
            <v>0</v>
          </cell>
        </row>
        <row r="1173">
          <cell r="G1173">
            <v>0</v>
          </cell>
          <cell r="H1173">
            <v>0</v>
          </cell>
        </row>
        <row r="1174">
          <cell r="G1174">
            <v>0</v>
          </cell>
          <cell r="H1174">
            <v>0</v>
          </cell>
        </row>
        <row r="1175">
          <cell r="G1175">
            <v>0</v>
          </cell>
          <cell r="H1175">
            <v>0</v>
          </cell>
        </row>
        <row r="1176">
          <cell r="G1176">
            <v>0</v>
          </cell>
          <cell r="H1176">
            <v>0</v>
          </cell>
        </row>
        <row r="1177">
          <cell r="G1177">
            <v>0</v>
          </cell>
          <cell r="H1177">
            <v>0</v>
          </cell>
        </row>
        <row r="1178">
          <cell r="G1178">
            <v>0</v>
          </cell>
          <cell r="H1178">
            <v>0</v>
          </cell>
        </row>
        <row r="1179">
          <cell r="G1179">
            <v>0</v>
          </cell>
          <cell r="H1179">
            <v>0</v>
          </cell>
        </row>
        <row r="1180">
          <cell r="G1180">
            <v>0</v>
          </cell>
          <cell r="H1180">
            <v>0</v>
          </cell>
        </row>
        <row r="1181">
          <cell r="G1181">
            <v>0</v>
          </cell>
          <cell r="H1181">
            <v>0</v>
          </cell>
        </row>
        <row r="1182">
          <cell r="G1182">
            <v>0</v>
          </cell>
          <cell r="H1182">
            <v>0</v>
          </cell>
        </row>
        <row r="1183">
          <cell r="G1183">
            <v>0</v>
          </cell>
          <cell r="H1183">
            <v>0</v>
          </cell>
        </row>
        <row r="1184">
          <cell r="G1184">
            <v>0</v>
          </cell>
          <cell r="H1184">
            <v>0</v>
          </cell>
        </row>
        <row r="1185">
          <cell r="G1185">
            <v>0</v>
          </cell>
          <cell r="H1185">
            <v>0</v>
          </cell>
        </row>
        <row r="1186">
          <cell r="G1186">
            <v>0</v>
          </cell>
          <cell r="H1186">
            <v>0</v>
          </cell>
        </row>
        <row r="1187">
          <cell r="G1187">
            <v>0</v>
          </cell>
          <cell r="H1187">
            <v>0</v>
          </cell>
        </row>
        <row r="1188">
          <cell r="G1188">
            <v>0</v>
          </cell>
          <cell r="H1188">
            <v>0</v>
          </cell>
        </row>
        <row r="1189">
          <cell r="G1189">
            <v>0</v>
          </cell>
          <cell r="H1189">
            <v>0</v>
          </cell>
        </row>
        <row r="1190">
          <cell r="G1190">
            <v>0</v>
          </cell>
          <cell r="H1190">
            <v>0</v>
          </cell>
        </row>
        <row r="1191">
          <cell r="G1191">
            <v>0</v>
          </cell>
          <cell r="H1191">
            <v>0</v>
          </cell>
        </row>
        <row r="1192">
          <cell r="G1192">
            <v>0</v>
          </cell>
          <cell r="H1192">
            <v>0</v>
          </cell>
        </row>
        <row r="1193">
          <cell r="G1193">
            <v>0</v>
          </cell>
          <cell r="H1193">
            <v>0</v>
          </cell>
        </row>
        <row r="1194">
          <cell r="G1194">
            <v>0</v>
          </cell>
          <cell r="H1194">
            <v>0</v>
          </cell>
        </row>
        <row r="1195">
          <cell r="G1195">
            <v>0</v>
          </cell>
          <cell r="H1195">
            <v>0</v>
          </cell>
        </row>
        <row r="1196">
          <cell r="G1196">
            <v>0</v>
          </cell>
          <cell r="H1196">
            <v>0</v>
          </cell>
        </row>
        <row r="1197">
          <cell r="G1197">
            <v>0</v>
          </cell>
          <cell r="H1197">
            <v>0</v>
          </cell>
        </row>
        <row r="1198">
          <cell r="G1198">
            <v>0</v>
          </cell>
          <cell r="H1198">
            <v>0</v>
          </cell>
        </row>
        <row r="1199">
          <cell r="G1199">
            <v>0</v>
          </cell>
          <cell r="H1199">
            <v>0</v>
          </cell>
        </row>
        <row r="1200">
          <cell r="G1200">
            <v>0</v>
          </cell>
          <cell r="H1200">
            <v>0</v>
          </cell>
        </row>
        <row r="1201">
          <cell r="G1201">
            <v>0</v>
          </cell>
          <cell r="H1201">
            <v>0</v>
          </cell>
        </row>
        <row r="1202">
          <cell r="G1202">
            <v>0</v>
          </cell>
          <cell r="H12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174D-9A4E-4099-A52C-51C305067172}">
  <dimension ref="A1:R1203"/>
  <sheetViews>
    <sheetView tabSelected="1" workbookViewId="0">
      <selection activeCell="O3" sqref="O3:P1203"/>
    </sheetView>
  </sheetViews>
  <sheetFormatPr defaultRowHeight="14.4" x14ac:dyDescent="0.3"/>
  <cols>
    <col min="14" max="14" width="11" bestFit="1" customWidth="1"/>
  </cols>
  <sheetData>
    <row r="1" spans="1:18" x14ac:dyDescent="0.3">
      <c r="O1" t="s">
        <v>17</v>
      </c>
      <c r="Q1" t="s">
        <v>16</v>
      </c>
    </row>
    <row r="2" spans="1:18" x14ac:dyDescent="0.3">
      <c r="A2" t="s">
        <v>0</v>
      </c>
      <c r="B2" t="s">
        <v>8</v>
      </c>
      <c r="C2" t="s">
        <v>1</v>
      </c>
      <c r="D2" t="s">
        <v>2</v>
      </c>
      <c r="E2" t="s">
        <v>7</v>
      </c>
      <c r="F2" t="s">
        <v>4</v>
      </c>
      <c r="G2" t="s">
        <v>5</v>
      </c>
      <c r="H2" t="s">
        <v>6</v>
      </c>
      <c r="I2" t="s">
        <v>3</v>
      </c>
      <c r="J2" t="s">
        <v>10</v>
      </c>
      <c r="K2" t="s">
        <v>11</v>
      </c>
      <c r="L2" t="s">
        <v>12</v>
      </c>
      <c r="M2" t="s">
        <v>9</v>
      </c>
      <c r="N2" t="s">
        <v>13</v>
      </c>
      <c r="O2" t="s">
        <v>14</v>
      </c>
      <c r="P2" t="s">
        <v>15</v>
      </c>
      <c r="Q2" t="s">
        <v>14</v>
      </c>
      <c r="R2" t="s">
        <v>15</v>
      </c>
    </row>
    <row r="3" spans="1:18" x14ac:dyDescent="0.3">
      <c r="A3">
        <v>0</v>
      </c>
      <c r="C3">
        <f>[1]model_point!$E$2</f>
        <v>5</v>
      </c>
      <c r="D3">
        <f>TRUNC((C3-1)/12,0)+1</f>
        <v>1</v>
      </c>
      <c r="E3">
        <f>[1]model_point!$C$2+D3-1</f>
        <v>5</v>
      </c>
      <c r="F3">
        <f>VLOOKUP(E3,'[1]202512 BE mortality'!$A:$C,3,0)</f>
        <v>2.3417643661255306E-3</v>
      </c>
      <c r="G3">
        <f>VLOOKUP(D3,'[1]202512 BE lapse'!$C:$D,2,0)</f>
        <v>9.778526841816633E-3</v>
      </c>
      <c r="I3">
        <f>[1]model_point!$F$2</f>
        <v>2</v>
      </c>
      <c r="L3">
        <v>1</v>
      </c>
      <c r="N3">
        <f>SUMPRODUCT(L3:L1202,M4:M1203)/L3</f>
        <v>1523724.2465553735</v>
      </c>
      <c r="O3">
        <f>[2]results_sample_product_cf!G2</f>
        <v>0</v>
      </c>
      <c r="P3">
        <f>[2]results_sample_product_cf!H2</f>
        <v>1523724.24655537</v>
      </c>
      <c r="Q3">
        <f>ROUND(M3-O3,6)</f>
        <v>0</v>
      </c>
      <c r="R3">
        <f t="shared" ref="R3:R66" si="0">ROUND(N3-P3,6)</f>
        <v>0</v>
      </c>
    </row>
    <row r="4" spans="1:18" x14ac:dyDescent="0.3">
      <c r="A4">
        <f>A3+1</f>
        <v>1</v>
      </c>
      <c r="B4">
        <f>INT((A4-1)/12)+1</f>
        <v>1</v>
      </c>
      <c r="C4">
        <f>C3+1</f>
        <v>6</v>
      </c>
      <c r="D4">
        <f t="shared" ref="D4:D67" si="1">TRUNC((C4-1)/12,0)+1</f>
        <v>1</v>
      </c>
      <c r="E4">
        <f>[1]model_point!$C$2+D4-1</f>
        <v>5</v>
      </c>
      <c r="F4">
        <f>VLOOKUP(E4,'[1]202512 BE mortality'!$A:$C,3,0)</f>
        <v>2.3417643661255306E-3</v>
      </c>
      <c r="G4">
        <f>VLOOKUP(D4,'[1]202512 BE lapse'!$C:$D,2,0)</f>
        <v>9.778526841816633E-3</v>
      </c>
      <c r="H4">
        <f>VLOOKUP($B4,'[1]202512 RFR'!$A:$B,2,0)</f>
        <v>0.01</v>
      </c>
      <c r="I4">
        <f>I3-J4-K4</f>
        <v>1.9996092864051715</v>
      </c>
      <c r="J4">
        <f>I3*(1-(1-F4)^(1/12))</f>
        <v>3.9071359482845125E-4</v>
      </c>
      <c r="K4">
        <f>(I3-J4)*IF(MOD(C4,12)=0,G4,0)</f>
        <v>0</v>
      </c>
      <c r="L4">
        <f t="shared" ref="L4:L67" si="2">L3/(1+H4)^(1/12)</f>
        <v>0.99917114944877716</v>
      </c>
      <c r="M4">
        <f>IF(AND(MOD(C4,12)=1,D4&lt;='[1]Product parameters'!$C$2),I3*[1]model_point!$G$2,0)</f>
        <v>0</v>
      </c>
      <c r="N4">
        <f t="shared" ref="N4:N67" si="3">SUMPRODUCT(L4:L1203,M5:M1204)/L4</f>
        <v>1524988.2338936445</v>
      </c>
      <c r="O4">
        <f>[2]results_sample_product_cf!G3</f>
        <v>0</v>
      </c>
      <c r="P4">
        <f>[2]results_sample_product_cf!H3</f>
        <v>1524988.2338936401</v>
      </c>
      <c r="Q4">
        <f t="shared" ref="Q4:Q67" si="4">ROUND(M4-O4,6)</f>
        <v>0</v>
      </c>
      <c r="R4">
        <f t="shared" si="0"/>
        <v>0</v>
      </c>
    </row>
    <row r="5" spans="1:18" x14ac:dyDescent="0.3">
      <c r="A5">
        <f t="shared" ref="A5:A68" si="5">A4+1</f>
        <v>2</v>
      </c>
      <c r="B5">
        <f t="shared" ref="B5:B68" si="6">INT((A5-1)/12)+1</f>
        <v>1</v>
      </c>
      <c r="C5">
        <f t="shared" ref="C5:C68" si="7">C4+1</f>
        <v>7</v>
      </c>
      <c r="D5">
        <f t="shared" si="1"/>
        <v>1</v>
      </c>
      <c r="E5">
        <f>[1]model_point!$C$2+D5-1</f>
        <v>5</v>
      </c>
      <c r="F5">
        <f>VLOOKUP(E5,'[1]202512 BE mortality'!$A:$C,3,0)</f>
        <v>2.3417643661255306E-3</v>
      </c>
      <c r="G5">
        <f>VLOOKUP(D5,'[1]202512 BE lapse'!$C:$D,2,0)</f>
        <v>9.778526841816633E-3</v>
      </c>
      <c r="H5">
        <f>VLOOKUP($B5,'[1]202512 RFR'!$A:$B,2,0)</f>
        <v>0.01</v>
      </c>
      <c r="I5">
        <f t="shared" ref="I5:I68" si="8">I4-J5-K5</f>
        <v>1.9992186491388997</v>
      </c>
      <c r="J5">
        <f t="shared" ref="J5:J68" si="9">I4*(1-(1-F5)^(1/12))</f>
        <v>3.9063726627185937E-4</v>
      </c>
      <c r="K5">
        <f t="shared" ref="K5:K68" si="10">(I4-J5)*IF(MOD(C5,12)=0,G5,0)</f>
        <v>0</v>
      </c>
      <c r="L5">
        <f t="shared" si="2"/>
        <v>0.99834298589079062</v>
      </c>
      <c r="M5">
        <f>IF(AND(MOD(C5,12)=1,D5&lt;='[1]Product parameters'!$C$2),I4*[1]model_point!$G$2,0)</f>
        <v>0</v>
      </c>
      <c r="N5">
        <f t="shared" si="3"/>
        <v>1526253.2697575889</v>
      </c>
      <c r="O5">
        <f>[2]results_sample_product_cf!G4</f>
        <v>0</v>
      </c>
      <c r="P5">
        <f>[2]results_sample_product_cf!H4</f>
        <v>1526253.26975758</v>
      </c>
      <c r="Q5">
        <f t="shared" si="4"/>
        <v>0</v>
      </c>
      <c r="R5">
        <f t="shared" si="0"/>
        <v>0</v>
      </c>
    </row>
    <row r="6" spans="1:18" x14ac:dyDescent="0.3">
      <c r="A6">
        <f t="shared" si="5"/>
        <v>3</v>
      </c>
      <c r="B6">
        <f t="shared" si="6"/>
        <v>1</v>
      </c>
      <c r="C6">
        <f t="shared" si="7"/>
        <v>8</v>
      </c>
      <c r="D6">
        <f t="shared" si="1"/>
        <v>1</v>
      </c>
      <c r="E6">
        <f>[1]model_point!$C$2+D6-1</f>
        <v>5</v>
      </c>
      <c r="F6">
        <f>VLOOKUP(E6,'[1]202512 BE mortality'!$A:$C,3,0)</f>
        <v>2.3417643661255306E-3</v>
      </c>
      <c r="G6">
        <f>VLOOKUP(D6,'[1]202512 BE lapse'!$C:$D,2,0)</f>
        <v>9.778526841816633E-3</v>
      </c>
      <c r="H6">
        <f>VLOOKUP($B6,'[1]202512 RFR'!$A:$B,2,0)</f>
        <v>0.01</v>
      </c>
      <c r="I6">
        <f t="shared" si="8"/>
        <v>1.9988280881862732</v>
      </c>
      <c r="J6">
        <f t="shared" si="9"/>
        <v>3.9056095262656983E-4</v>
      </c>
      <c r="K6">
        <f t="shared" si="10"/>
        <v>0</v>
      </c>
      <c r="L6">
        <f t="shared" si="2"/>
        <v>0.99751550875662565</v>
      </c>
      <c r="M6">
        <f>IF(AND(MOD(C6,12)=1,D6&lt;='[1]Product parameters'!$C$2),I5*[1]model_point!$G$2,0)</f>
        <v>0</v>
      </c>
      <c r="N6">
        <f t="shared" si="3"/>
        <v>1527519.355016998</v>
      </c>
      <c r="O6">
        <f>[2]results_sample_product_cf!G5</f>
        <v>0</v>
      </c>
      <c r="P6">
        <f>[2]results_sample_product_cf!H5</f>
        <v>1527519.3550169901</v>
      </c>
      <c r="Q6">
        <f t="shared" si="4"/>
        <v>0</v>
      </c>
      <c r="R6">
        <f t="shared" si="0"/>
        <v>0</v>
      </c>
    </row>
    <row r="7" spans="1:18" x14ac:dyDescent="0.3">
      <c r="A7">
        <f t="shared" si="5"/>
        <v>4</v>
      </c>
      <c r="B7">
        <f t="shared" si="6"/>
        <v>1</v>
      </c>
      <c r="C7">
        <f t="shared" si="7"/>
        <v>9</v>
      </c>
      <c r="D7">
        <f t="shared" si="1"/>
        <v>1</v>
      </c>
      <c r="E7">
        <f>[1]model_point!$C$2+D7-1</f>
        <v>5</v>
      </c>
      <c r="F7">
        <f>VLOOKUP(E7,'[1]202512 BE mortality'!$A:$C,3,0)</f>
        <v>2.3417643661255306E-3</v>
      </c>
      <c r="G7">
        <f>VLOOKUP(D7,'[1]202512 BE lapse'!$C:$D,2,0)</f>
        <v>9.778526841816633E-3</v>
      </c>
      <c r="H7">
        <f>VLOOKUP($B7,'[1]202512 RFR'!$A:$B,2,0)</f>
        <v>0.01</v>
      </c>
      <c r="I7">
        <f t="shared" si="8"/>
        <v>1.9984376035323836</v>
      </c>
      <c r="J7">
        <f t="shared" si="9"/>
        <v>3.904846538896697E-4</v>
      </c>
      <c r="K7">
        <f t="shared" si="10"/>
        <v>0</v>
      </c>
      <c r="L7">
        <f t="shared" si="2"/>
        <v>0.99668871747733945</v>
      </c>
      <c r="M7">
        <f>IF(AND(MOD(C7,12)=1,D7&lt;='[1]Product parameters'!$C$2),I6*[1]model_point!$G$2,0)</f>
        <v>0</v>
      </c>
      <c r="N7">
        <f t="shared" si="3"/>
        <v>1528786.4905423862</v>
      </c>
      <c r="O7">
        <f>[2]results_sample_product_cf!G6</f>
        <v>0</v>
      </c>
      <c r="P7">
        <f>[2]results_sample_product_cf!H6</f>
        <v>1528786.4905423799</v>
      </c>
      <c r="Q7">
        <f t="shared" si="4"/>
        <v>0</v>
      </c>
      <c r="R7">
        <f t="shared" si="0"/>
        <v>0</v>
      </c>
    </row>
    <row r="8" spans="1:18" x14ac:dyDescent="0.3">
      <c r="A8">
        <f t="shared" si="5"/>
        <v>5</v>
      </c>
      <c r="B8">
        <f t="shared" si="6"/>
        <v>1</v>
      </c>
      <c r="C8">
        <f t="shared" si="7"/>
        <v>10</v>
      </c>
      <c r="D8">
        <f t="shared" si="1"/>
        <v>1</v>
      </c>
      <c r="E8">
        <f>[1]model_point!$C$2+D8-1</f>
        <v>5</v>
      </c>
      <c r="F8">
        <f>VLOOKUP(E8,'[1]202512 BE mortality'!$A:$C,3,0)</f>
        <v>2.3417643661255306E-3</v>
      </c>
      <c r="G8">
        <f>VLOOKUP(D8,'[1]202512 BE lapse'!$C:$D,2,0)</f>
        <v>9.778526841816633E-3</v>
      </c>
      <c r="H8">
        <f>VLOOKUP($B8,'[1]202512 RFR'!$A:$B,2,0)</f>
        <v>0.01</v>
      </c>
      <c r="I8">
        <f t="shared" si="8"/>
        <v>1.9980471951623253</v>
      </c>
      <c r="J8">
        <f t="shared" si="9"/>
        <v>3.9040837005824644E-4</v>
      </c>
      <c r="K8">
        <f t="shared" si="10"/>
        <v>0</v>
      </c>
      <c r="L8">
        <f t="shared" si="2"/>
        <v>0.99586261148446076</v>
      </c>
      <c r="M8">
        <f>IF(AND(MOD(C8,12)=1,D8&lt;='[1]Product parameters'!$C$2),I7*[1]model_point!$G$2,0)</f>
        <v>0</v>
      </c>
      <c r="N8">
        <f t="shared" si="3"/>
        <v>1530054.6772049887</v>
      </c>
      <c r="O8">
        <f>[2]results_sample_product_cf!G7</f>
        <v>0</v>
      </c>
      <c r="P8">
        <f>[2]results_sample_product_cf!H7</f>
        <v>1530054.67720498</v>
      </c>
      <c r="Q8">
        <f t="shared" si="4"/>
        <v>0</v>
      </c>
      <c r="R8">
        <f t="shared" si="0"/>
        <v>0</v>
      </c>
    </row>
    <row r="9" spans="1:18" x14ac:dyDescent="0.3">
      <c r="A9">
        <f t="shared" si="5"/>
        <v>6</v>
      </c>
      <c r="B9">
        <f t="shared" si="6"/>
        <v>1</v>
      </c>
      <c r="C9">
        <f t="shared" si="7"/>
        <v>11</v>
      </c>
      <c r="D9">
        <f t="shared" si="1"/>
        <v>1</v>
      </c>
      <c r="E9">
        <f>[1]model_point!$C$2+D9-1</f>
        <v>5</v>
      </c>
      <c r="F9">
        <f>VLOOKUP(E9,'[1]202512 BE mortality'!$A:$C,3,0)</f>
        <v>2.3417643661255306E-3</v>
      </c>
      <c r="G9">
        <f>VLOOKUP(D9,'[1]202512 BE lapse'!$C:$D,2,0)</f>
        <v>9.778526841816633E-3</v>
      </c>
      <c r="H9">
        <f>VLOOKUP($B9,'[1]202512 RFR'!$A:$B,2,0)</f>
        <v>0.01</v>
      </c>
      <c r="I9">
        <f t="shared" si="8"/>
        <v>1.9976568630611959</v>
      </c>
      <c r="J9">
        <f t="shared" si="9"/>
        <v>3.9033210112938814E-4</v>
      </c>
      <c r="K9">
        <f t="shared" si="10"/>
        <v>0</v>
      </c>
      <c r="L9">
        <f t="shared" si="2"/>
        <v>0.99503719020998971</v>
      </c>
      <c r="M9">
        <f>IF(AND(MOD(C9,12)=1,D9&lt;='[1]Product parameters'!$C$2),I8*[1]model_point!$G$2,0)</f>
        <v>0</v>
      </c>
      <c r="N9">
        <f t="shared" si="3"/>
        <v>1531323.9158767636</v>
      </c>
      <c r="O9">
        <f>[2]results_sample_product_cf!G8</f>
        <v>0</v>
      </c>
      <c r="P9">
        <f>[2]results_sample_product_cf!H8</f>
        <v>1531323.9158767599</v>
      </c>
      <c r="Q9">
        <f t="shared" si="4"/>
        <v>0</v>
      </c>
      <c r="R9">
        <f t="shared" si="0"/>
        <v>0</v>
      </c>
    </row>
    <row r="10" spans="1:18" x14ac:dyDescent="0.3">
      <c r="A10">
        <f t="shared" si="5"/>
        <v>7</v>
      </c>
      <c r="B10">
        <f t="shared" si="6"/>
        <v>1</v>
      </c>
      <c r="C10">
        <f t="shared" si="7"/>
        <v>12</v>
      </c>
      <c r="D10">
        <f t="shared" si="1"/>
        <v>1</v>
      </c>
      <c r="E10">
        <f>[1]model_point!$C$2+D10-1</f>
        <v>5</v>
      </c>
      <c r="F10">
        <f>VLOOKUP(E10,'[1]202512 BE mortality'!$A:$C,3,0)</f>
        <v>2.3417643661255306E-3</v>
      </c>
      <c r="G10">
        <f>VLOOKUP(D10,'[1]202512 BE lapse'!$C:$D,2,0)</f>
        <v>9.778526841816633E-3</v>
      </c>
      <c r="H10">
        <f>VLOOKUP($B10,'[1]202512 RFR'!$A:$B,2,0)</f>
        <v>0.01</v>
      </c>
      <c r="I10">
        <f t="shared" si="8"/>
        <v>1.9777362820851885</v>
      </c>
      <c r="J10">
        <f t="shared" si="9"/>
        <v>3.9025584710018351E-4</v>
      </c>
      <c r="K10">
        <f t="shared" si="10"/>
        <v>1.9530325128907074E-2</v>
      </c>
      <c r="L10">
        <f t="shared" si="2"/>
        <v>0.99421245308639694</v>
      </c>
      <c r="M10">
        <f>IF(AND(MOD(C10,12)=1,D10&lt;='[1]Product parameters'!$C$2),I9*[1]model_point!$G$2,0)</f>
        <v>0</v>
      </c>
      <c r="N10">
        <f t="shared" si="3"/>
        <v>1532594.2074303932</v>
      </c>
      <c r="O10">
        <f>[2]results_sample_product_cf!G9</f>
        <v>0</v>
      </c>
      <c r="P10">
        <f>[2]results_sample_product_cf!H9</f>
        <v>1532594.2074303899</v>
      </c>
      <c r="Q10">
        <f t="shared" si="4"/>
        <v>0</v>
      </c>
      <c r="R10">
        <f t="shared" si="0"/>
        <v>0</v>
      </c>
    </row>
    <row r="11" spans="1:18" x14ac:dyDescent="0.3">
      <c r="A11">
        <f t="shared" si="5"/>
        <v>8</v>
      </c>
      <c r="B11">
        <f t="shared" si="6"/>
        <v>1</v>
      </c>
      <c r="C11">
        <f t="shared" si="7"/>
        <v>13</v>
      </c>
      <c r="D11">
        <f t="shared" si="1"/>
        <v>2</v>
      </c>
      <c r="E11">
        <f>[1]model_point!$C$2+D11-1</f>
        <v>6</v>
      </c>
      <c r="F11">
        <f>VLOOKUP(E11,'[1]202512 BE mortality'!$A:$C,3,0)</f>
        <v>9.9960692575303319E-3</v>
      </c>
      <c r="G11">
        <f>VLOOKUP(D11,'[1]202512 BE lapse'!$C:$D,2,0)</f>
        <v>2.2677433373451093E-3</v>
      </c>
      <c r="H11">
        <f>VLOOKUP($B11,'[1]202512 RFR'!$A:$B,2,0)</f>
        <v>0.01</v>
      </c>
      <c r="I11">
        <f t="shared" si="8"/>
        <v>1.9760812198732451</v>
      </c>
      <c r="J11">
        <f t="shared" si="9"/>
        <v>1.6550622119432361E-3</v>
      </c>
      <c r="K11">
        <f t="shared" si="10"/>
        <v>0</v>
      </c>
      <c r="L11">
        <f t="shared" si="2"/>
        <v>0.99338839954662372</v>
      </c>
      <c r="M11">
        <f>IF(AND(MOD(C11,12)=1,D11&lt;='[1]Product parameters'!$C$2),I10*[1]model_point!$G$2,0)</f>
        <v>395547.25641703769</v>
      </c>
      <c r="N11">
        <f t="shared" si="3"/>
        <v>1137990.174797022</v>
      </c>
      <c r="O11">
        <f>[2]results_sample_product_cf!G10</f>
        <v>395547.25641703699</v>
      </c>
      <c r="P11">
        <f>[2]results_sample_product_cf!H10</f>
        <v>1137990.1747970199</v>
      </c>
      <c r="Q11">
        <f t="shared" si="4"/>
        <v>0</v>
      </c>
      <c r="R11">
        <f t="shared" si="0"/>
        <v>0</v>
      </c>
    </row>
    <row r="12" spans="1:18" x14ac:dyDescent="0.3">
      <c r="A12">
        <f t="shared" si="5"/>
        <v>9</v>
      </c>
      <c r="B12">
        <f t="shared" si="6"/>
        <v>1</v>
      </c>
      <c r="C12">
        <f t="shared" si="7"/>
        <v>14</v>
      </c>
      <c r="D12">
        <f t="shared" si="1"/>
        <v>2</v>
      </c>
      <c r="E12">
        <f>[1]model_point!$C$2+D12-1</f>
        <v>6</v>
      </c>
      <c r="F12">
        <f>VLOOKUP(E12,'[1]202512 BE mortality'!$A:$C,3,0)</f>
        <v>9.9960692575303319E-3</v>
      </c>
      <c r="G12">
        <f>VLOOKUP(D12,'[1]202512 BE lapse'!$C:$D,2,0)</f>
        <v>2.2677433373451093E-3</v>
      </c>
      <c r="H12">
        <f>VLOOKUP($B12,'[1]202512 RFR'!$A:$B,2,0)</f>
        <v>0.01</v>
      </c>
      <c r="I12">
        <f t="shared" si="8"/>
        <v>1.9744275426947617</v>
      </c>
      <c r="J12">
        <f t="shared" si="9"/>
        <v>1.6536771784834087E-3</v>
      </c>
      <c r="K12">
        <f t="shared" si="10"/>
        <v>0</v>
      </c>
      <c r="L12">
        <f t="shared" si="2"/>
        <v>0.99256502902408117</v>
      </c>
      <c r="M12">
        <f>IF(AND(MOD(C12,12)=1,D12&lt;='[1]Product parameters'!$C$2),I11*[1]model_point!$G$2,0)</f>
        <v>0</v>
      </c>
      <c r="N12">
        <f t="shared" si="3"/>
        <v>1138934.1810207677</v>
      </c>
      <c r="O12">
        <f>[2]results_sample_product_cf!G11</f>
        <v>0</v>
      </c>
      <c r="P12">
        <f>[2]results_sample_product_cf!H11</f>
        <v>1138934.18102076</v>
      </c>
      <c r="Q12">
        <f t="shared" si="4"/>
        <v>0</v>
      </c>
      <c r="R12">
        <f t="shared" si="0"/>
        <v>0</v>
      </c>
    </row>
    <row r="13" spans="1:18" x14ac:dyDescent="0.3">
      <c r="A13">
        <f t="shared" si="5"/>
        <v>10</v>
      </c>
      <c r="B13">
        <f t="shared" si="6"/>
        <v>1</v>
      </c>
      <c r="C13">
        <f t="shared" si="7"/>
        <v>15</v>
      </c>
      <c r="D13">
        <f t="shared" si="1"/>
        <v>2</v>
      </c>
      <c r="E13">
        <f>[1]model_point!$C$2+D13-1</f>
        <v>6</v>
      </c>
      <c r="F13">
        <f>VLOOKUP(E13,'[1]202512 BE mortality'!$A:$C,3,0)</f>
        <v>9.9960692575303319E-3</v>
      </c>
      <c r="G13">
        <f>VLOOKUP(D13,'[1]202512 BE lapse'!$C:$D,2,0)</f>
        <v>2.2677433373451093E-3</v>
      </c>
      <c r="H13">
        <f>VLOOKUP($B13,'[1]202512 RFR'!$A:$B,2,0)</f>
        <v>0.01</v>
      </c>
      <c r="I13">
        <f t="shared" si="8"/>
        <v>1.9727752493906774</v>
      </c>
      <c r="J13">
        <f t="shared" si="9"/>
        <v>1.6522933040843534E-3</v>
      </c>
      <c r="K13">
        <f t="shared" si="10"/>
        <v>0</v>
      </c>
      <c r="L13">
        <f t="shared" si="2"/>
        <v>0.99174234095265001</v>
      </c>
      <c r="M13">
        <f>IF(AND(MOD(C13,12)=1,D13&lt;='[1]Product parameters'!$C$2),I12*[1]model_point!$G$2,0)</f>
        <v>0</v>
      </c>
      <c r="N13">
        <f t="shared" si="3"/>
        <v>1139878.9703336561</v>
      </c>
      <c r="O13">
        <f>[2]results_sample_product_cf!G12</f>
        <v>0</v>
      </c>
      <c r="P13">
        <f>[2]results_sample_product_cf!H12</f>
        <v>1139878.97033365</v>
      </c>
      <c r="Q13">
        <f t="shared" si="4"/>
        <v>0</v>
      </c>
      <c r="R13">
        <f t="shared" si="0"/>
        <v>0</v>
      </c>
    </row>
    <row r="14" spans="1:18" x14ac:dyDescent="0.3">
      <c r="A14">
        <f t="shared" si="5"/>
        <v>11</v>
      </c>
      <c r="B14">
        <f t="shared" si="6"/>
        <v>1</v>
      </c>
      <c r="C14">
        <f t="shared" si="7"/>
        <v>16</v>
      </c>
      <c r="D14">
        <f t="shared" si="1"/>
        <v>2</v>
      </c>
      <c r="E14">
        <f>[1]model_point!$C$2+D14-1</f>
        <v>6</v>
      </c>
      <c r="F14">
        <f>VLOOKUP(E14,'[1]202512 BE mortality'!$A:$C,3,0)</f>
        <v>9.9960692575303319E-3</v>
      </c>
      <c r="G14">
        <f>VLOOKUP(D14,'[1]202512 BE lapse'!$C:$D,2,0)</f>
        <v>2.2677433373451093E-3</v>
      </c>
      <c r="H14">
        <f>VLOOKUP($B14,'[1]202512 RFR'!$A:$B,2,0)</f>
        <v>0.01</v>
      </c>
      <c r="I14">
        <f t="shared" si="8"/>
        <v>1.9711243388029012</v>
      </c>
      <c r="J14">
        <f t="shared" si="9"/>
        <v>1.6509105877761134E-3</v>
      </c>
      <c r="K14">
        <f t="shared" si="10"/>
        <v>0</v>
      </c>
      <c r="L14">
        <f t="shared" si="2"/>
        <v>0.9909203347666804</v>
      </c>
      <c r="M14">
        <f>IF(AND(MOD(C14,12)=1,D14&lt;='[1]Product parameters'!$C$2),I13*[1]model_point!$G$2,0)</f>
        <v>0</v>
      </c>
      <c r="N14">
        <f t="shared" si="3"/>
        <v>1140824.5433852894</v>
      </c>
      <c r="O14">
        <f>[2]results_sample_product_cf!G13</f>
        <v>0</v>
      </c>
      <c r="P14">
        <f>[2]results_sample_product_cf!H13</f>
        <v>1140824.5433852801</v>
      </c>
      <c r="Q14">
        <f t="shared" si="4"/>
        <v>0</v>
      </c>
      <c r="R14">
        <f t="shared" si="0"/>
        <v>0</v>
      </c>
    </row>
    <row r="15" spans="1:18" x14ac:dyDescent="0.3">
      <c r="A15">
        <f t="shared" si="5"/>
        <v>12</v>
      </c>
      <c r="B15">
        <f t="shared" si="6"/>
        <v>1</v>
      </c>
      <c r="C15">
        <f t="shared" si="7"/>
        <v>17</v>
      </c>
      <c r="D15">
        <f t="shared" si="1"/>
        <v>2</v>
      </c>
      <c r="E15">
        <f>[1]model_point!$C$2+D15-1</f>
        <v>6</v>
      </c>
      <c r="F15">
        <f>VLOOKUP(E15,'[1]202512 BE mortality'!$A:$C,3,0)</f>
        <v>9.9960692575303319E-3</v>
      </c>
      <c r="G15">
        <f>VLOOKUP(D15,'[1]202512 BE lapse'!$C:$D,2,0)</f>
        <v>2.2677433373451093E-3</v>
      </c>
      <c r="H15">
        <f>VLOOKUP($B15,'[1]202512 RFR'!$A:$B,2,0)</f>
        <v>0.01</v>
      </c>
      <c r="I15">
        <f t="shared" si="8"/>
        <v>1.9694748097743116</v>
      </c>
      <c r="J15">
        <f t="shared" si="9"/>
        <v>1.6495290285895446E-3</v>
      </c>
      <c r="K15">
        <f t="shared" si="10"/>
        <v>0</v>
      </c>
      <c r="L15">
        <f t="shared" si="2"/>
        <v>0.99009900990099109</v>
      </c>
      <c r="M15">
        <f>IF(AND(MOD(C15,12)=1,D15&lt;='[1]Product parameters'!$C$2),I14*[1]model_point!$G$2,0)</f>
        <v>0</v>
      </c>
      <c r="N15">
        <f t="shared" si="3"/>
        <v>1141770.900825809</v>
      </c>
      <c r="O15">
        <f>[2]results_sample_product_cf!G14</f>
        <v>0</v>
      </c>
      <c r="P15">
        <f>[2]results_sample_product_cf!H14</f>
        <v>1141770.9008257999</v>
      </c>
      <c r="Q15">
        <f t="shared" si="4"/>
        <v>0</v>
      </c>
      <c r="R15">
        <f t="shared" si="0"/>
        <v>0</v>
      </c>
    </row>
    <row r="16" spans="1:18" x14ac:dyDescent="0.3">
      <c r="A16">
        <f t="shared" si="5"/>
        <v>13</v>
      </c>
      <c r="B16">
        <f t="shared" si="6"/>
        <v>2</v>
      </c>
      <c r="C16">
        <f t="shared" si="7"/>
        <v>18</v>
      </c>
      <c r="D16">
        <f t="shared" si="1"/>
        <v>2</v>
      </c>
      <c r="E16">
        <f>[1]model_point!$C$2+D16-1</f>
        <v>6</v>
      </c>
      <c r="F16">
        <f>VLOOKUP(E16,'[1]202512 BE mortality'!$A:$C,3,0)</f>
        <v>9.9960692575303319E-3</v>
      </c>
      <c r="G16">
        <f>VLOOKUP(D16,'[1]202512 BE lapse'!$C:$D,2,0)</f>
        <v>2.2677433373451093E-3</v>
      </c>
      <c r="H16">
        <f>VLOOKUP($B16,'[1]202512 RFR'!$A:$B,2,0)</f>
        <v>0.01</v>
      </c>
      <c r="I16">
        <f t="shared" si="8"/>
        <v>1.9678266611487552</v>
      </c>
      <c r="J16">
        <f t="shared" si="9"/>
        <v>1.6481486255563132E-3</v>
      </c>
      <c r="K16">
        <f t="shared" si="10"/>
        <v>0</v>
      </c>
      <c r="L16">
        <f t="shared" si="2"/>
        <v>0.98927836579086947</v>
      </c>
      <c r="M16">
        <f>IF(AND(MOD(C16,12)=1,D16&lt;='[1]Product parameters'!$C$2),I15*[1]model_point!$G$2,0)</f>
        <v>0</v>
      </c>
      <c r="N16">
        <f t="shared" si="3"/>
        <v>1142718.0433058955</v>
      </c>
      <c r="O16">
        <f>[2]results_sample_product_cf!G15</f>
        <v>0</v>
      </c>
      <c r="P16">
        <f>[2]results_sample_product_cf!H15</f>
        <v>1142718.0433058899</v>
      </c>
      <c r="Q16">
        <f t="shared" si="4"/>
        <v>0</v>
      </c>
      <c r="R16">
        <f t="shared" si="0"/>
        <v>0</v>
      </c>
    </row>
    <row r="17" spans="1:18" x14ac:dyDescent="0.3">
      <c r="A17">
        <f t="shared" si="5"/>
        <v>14</v>
      </c>
      <c r="B17">
        <f t="shared" si="6"/>
        <v>2</v>
      </c>
      <c r="C17">
        <f t="shared" si="7"/>
        <v>19</v>
      </c>
      <c r="D17">
        <f t="shared" si="1"/>
        <v>2</v>
      </c>
      <c r="E17">
        <f>[1]model_point!$C$2+D17-1</f>
        <v>6</v>
      </c>
      <c r="F17">
        <f>VLOOKUP(E17,'[1]202512 BE mortality'!$A:$C,3,0)</f>
        <v>9.9960692575303319E-3</v>
      </c>
      <c r="G17">
        <f>VLOOKUP(D17,'[1]202512 BE lapse'!$C:$D,2,0)</f>
        <v>2.2677433373451093E-3</v>
      </c>
      <c r="H17">
        <f>VLOOKUP($B17,'[1]202512 RFR'!$A:$B,2,0)</f>
        <v>0.01</v>
      </c>
      <c r="I17">
        <f t="shared" si="8"/>
        <v>1.9661798917710462</v>
      </c>
      <c r="J17">
        <f t="shared" si="9"/>
        <v>1.6467693777088962E-3</v>
      </c>
      <c r="K17">
        <f t="shared" si="10"/>
        <v>0</v>
      </c>
      <c r="L17">
        <f t="shared" si="2"/>
        <v>0.9884584018720709</v>
      </c>
      <c r="M17">
        <f>IF(AND(MOD(C17,12)=1,D17&lt;='[1]Product parameters'!$C$2),I16*[1]model_point!$G$2,0)</f>
        <v>0</v>
      </c>
      <c r="N17">
        <f t="shared" si="3"/>
        <v>1143665.9714767688</v>
      </c>
      <c r="O17">
        <f>[2]results_sample_product_cf!G16</f>
        <v>0</v>
      </c>
      <c r="P17">
        <f>[2]results_sample_product_cf!H16</f>
        <v>1143665.97147676</v>
      </c>
      <c r="Q17">
        <f t="shared" si="4"/>
        <v>0</v>
      </c>
      <c r="R17">
        <f t="shared" si="0"/>
        <v>0</v>
      </c>
    </row>
    <row r="18" spans="1:18" x14ac:dyDescent="0.3">
      <c r="A18">
        <f t="shared" si="5"/>
        <v>15</v>
      </c>
      <c r="B18">
        <f t="shared" si="6"/>
        <v>2</v>
      </c>
      <c r="C18">
        <f t="shared" si="7"/>
        <v>20</v>
      </c>
      <c r="D18">
        <f t="shared" si="1"/>
        <v>2</v>
      </c>
      <c r="E18">
        <f>[1]model_point!$C$2+D18-1</f>
        <v>6</v>
      </c>
      <c r="F18">
        <f>VLOOKUP(E18,'[1]202512 BE mortality'!$A:$C,3,0)</f>
        <v>9.9960692575303319E-3</v>
      </c>
      <c r="G18">
        <f>VLOOKUP(D18,'[1]202512 BE lapse'!$C:$D,2,0)</f>
        <v>2.2677433373451093E-3</v>
      </c>
      <c r="H18">
        <f>VLOOKUP($B18,'[1]202512 RFR'!$A:$B,2,0)</f>
        <v>0.01</v>
      </c>
      <c r="I18">
        <f t="shared" si="8"/>
        <v>1.9645345004869657</v>
      </c>
      <c r="J18">
        <f t="shared" si="9"/>
        <v>1.64539128408058E-3</v>
      </c>
      <c r="K18">
        <f t="shared" si="10"/>
        <v>0</v>
      </c>
      <c r="L18">
        <f t="shared" si="2"/>
        <v>0.98763911758081835</v>
      </c>
      <c r="M18">
        <f>IF(AND(MOD(C18,12)=1,D18&lt;='[1]Product parameters'!$C$2),I17*[1]model_point!$G$2,0)</f>
        <v>0</v>
      </c>
      <c r="N18">
        <f t="shared" si="3"/>
        <v>1144614.6859901894</v>
      </c>
      <c r="O18">
        <f>[2]results_sample_product_cf!G17</f>
        <v>0</v>
      </c>
      <c r="P18">
        <f>[2]results_sample_product_cf!H17</f>
        <v>1144614.6859901799</v>
      </c>
      <c r="Q18">
        <f t="shared" si="4"/>
        <v>0</v>
      </c>
      <c r="R18">
        <f t="shared" si="0"/>
        <v>0</v>
      </c>
    </row>
    <row r="19" spans="1:18" x14ac:dyDescent="0.3">
      <c r="A19">
        <f t="shared" si="5"/>
        <v>16</v>
      </c>
      <c r="B19">
        <f t="shared" si="6"/>
        <v>2</v>
      </c>
      <c r="C19">
        <f t="shared" si="7"/>
        <v>21</v>
      </c>
      <c r="D19">
        <f t="shared" si="1"/>
        <v>2</v>
      </c>
      <c r="E19">
        <f>[1]model_point!$C$2+D19-1</f>
        <v>6</v>
      </c>
      <c r="F19">
        <f>VLOOKUP(E19,'[1]202512 BE mortality'!$A:$C,3,0)</f>
        <v>9.9960692575303319E-3</v>
      </c>
      <c r="G19">
        <f>VLOOKUP(D19,'[1]202512 BE lapse'!$C:$D,2,0)</f>
        <v>2.2677433373451093E-3</v>
      </c>
      <c r="H19">
        <f>VLOOKUP($B19,'[1]202512 RFR'!$A:$B,2,0)</f>
        <v>0.01</v>
      </c>
      <c r="I19">
        <f t="shared" si="8"/>
        <v>1.9628904861432601</v>
      </c>
      <c r="J19">
        <f t="shared" si="9"/>
        <v>1.6440143437054602E-3</v>
      </c>
      <c r="K19">
        <f t="shared" si="10"/>
        <v>0</v>
      </c>
      <c r="L19">
        <f t="shared" si="2"/>
        <v>0.9868205123538023</v>
      </c>
      <c r="M19">
        <f>IF(AND(MOD(C19,12)=1,D19&lt;='[1]Product parameters'!$C$2),I18*[1]model_point!$G$2,0)</f>
        <v>0</v>
      </c>
      <c r="N19">
        <f t="shared" si="3"/>
        <v>1145564.1874984587</v>
      </c>
      <c r="O19">
        <f>[2]results_sample_product_cf!G18</f>
        <v>0</v>
      </c>
      <c r="P19">
        <f>[2]results_sample_product_cf!H18</f>
        <v>1145564.18749845</v>
      </c>
      <c r="Q19">
        <f t="shared" si="4"/>
        <v>0</v>
      </c>
      <c r="R19">
        <f t="shared" si="0"/>
        <v>0</v>
      </c>
    </row>
    <row r="20" spans="1:18" x14ac:dyDescent="0.3">
      <c r="A20">
        <f t="shared" si="5"/>
        <v>17</v>
      </c>
      <c r="B20">
        <f t="shared" si="6"/>
        <v>2</v>
      </c>
      <c r="C20">
        <f t="shared" si="7"/>
        <v>22</v>
      </c>
      <c r="D20">
        <f t="shared" si="1"/>
        <v>2</v>
      </c>
      <c r="E20">
        <f>[1]model_point!$C$2+D20-1</f>
        <v>6</v>
      </c>
      <c r="F20">
        <f>VLOOKUP(E20,'[1]202512 BE mortality'!$A:$C,3,0)</f>
        <v>9.9960692575303319E-3</v>
      </c>
      <c r="G20">
        <f>VLOOKUP(D20,'[1]202512 BE lapse'!$C:$D,2,0)</f>
        <v>2.2677433373451093E-3</v>
      </c>
      <c r="H20">
        <f>VLOOKUP($B20,'[1]202512 RFR'!$A:$B,2,0)</f>
        <v>0.01</v>
      </c>
      <c r="I20">
        <f t="shared" si="8"/>
        <v>1.9612478475876416</v>
      </c>
      <c r="J20">
        <f t="shared" si="9"/>
        <v>1.6426385556184402E-3</v>
      </c>
      <c r="K20">
        <f t="shared" si="10"/>
        <v>0</v>
      </c>
      <c r="L20">
        <f t="shared" si="2"/>
        <v>0.98600258562817988</v>
      </c>
      <c r="M20">
        <f>IF(AND(MOD(C20,12)=1,D20&lt;='[1]Product parameters'!$C$2),I19*[1]model_point!$G$2,0)</f>
        <v>0</v>
      </c>
      <c r="N20">
        <f t="shared" si="3"/>
        <v>1146514.4766544187</v>
      </c>
      <c r="O20">
        <f>[2]results_sample_product_cf!G19</f>
        <v>0</v>
      </c>
      <c r="P20">
        <f>[2]results_sample_product_cf!H19</f>
        <v>1146514.4766544099</v>
      </c>
      <c r="Q20">
        <f t="shared" si="4"/>
        <v>0</v>
      </c>
      <c r="R20">
        <f t="shared" si="0"/>
        <v>0</v>
      </c>
    </row>
    <row r="21" spans="1:18" x14ac:dyDescent="0.3">
      <c r="A21">
        <f t="shared" si="5"/>
        <v>18</v>
      </c>
      <c r="B21">
        <f t="shared" si="6"/>
        <v>2</v>
      </c>
      <c r="C21">
        <f t="shared" si="7"/>
        <v>23</v>
      </c>
      <c r="D21">
        <f t="shared" si="1"/>
        <v>2</v>
      </c>
      <c r="E21">
        <f>[1]model_point!$C$2+D21-1</f>
        <v>6</v>
      </c>
      <c r="F21">
        <f>VLOOKUP(E21,'[1]202512 BE mortality'!$A:$C,3,0)</f>
        <v>9.9960692575303319E-3</v>
      </c>
      <c r="G21">
        <f>VLOOKUP(D21,'[1]202512 BE lapse'!$C:$D,2,0)</f>
        <v>2.2677433373451093E-3</v>
      </c>
      <c r="H21">
        <f>VLOOKUP($B21,'[1]202512 RFR'!$A:$B,2,0)</f>
        <v>0.01</v>
      </c>
      <c r="I21">
        <f t="shared" si="8"/>
        <v>1.9596065836687864</v>
      </c>
      <c r="J21">
        <f t="shared" si="9"/>
        <v>1.6412639188552319E-3</v>
      </c>
      <c r="K21">
        <f t="shared" si="10"/>
        <v>0</v>
      </c>
      <c r="L21">
        <f t="shared" si="2"/>
        <v>0.98518533684157483</v>
      </c>
      <c r="M21">
        <f>IF(AND(MOD(C21,12)=1,D21&lt;='[1]Product parameters'!$C$2),I20*[1]model_point!$G$2,0)</f>
        <v>0</v>
      </c>
      <c r="N21">
        <f t="shared" si="3"/>
        <v>1147465.5541114532</v>
      </c>
      <c r="O21">
        <f>[2]results_sample_product_cf!G20</f>
        <v>0</v>
      </c>
      <c r="P21">
        <f>[2]results_sample_product_cf!H20</f>
        <v>1147465.55411145</v>
      </c>
      <c r="Q21">
        <f t="shared" si="4"/>
        <v>0</v>
      </c>
      <c r="R21">
        <f t="shared" si="0"/>
        <v>0</v>
      </c>
    </row>
    <row r="22" spans="1:18" x14ac:dyDescent="0.3">
      <c r="A22">
        <f t="shared" si="5"/>
        <v>19</v>
      </c>
      <c r="B22">
        <f t="shared" si="6"/>
        <v>2</v>
      </c>
      <c r="C22">
        <f t="shared" si="7"/>
        <v>24</v>
      </c>
      <c r="D22">
        <f t="shared" si="1"/>
        <v>2</v>
      </c>
      <c r="E22">
        <f>[1]model_point!$C$2+D22-1</f>
        <v>6</v>
      </c>
      <c r="F22">
        <f>VLOOKUP(E22,'[1]202512 BE mortality'!$A:$C,3,0)</f>
        <v>9.9960692575303319E-3</v>
      </c>
      <c r="G22">
        <f>VLOOKUP(D22,'[1]202512 BE lapse'!$C:$D,2,0)</f>
        <v>2.2677433373451093E-3</v>
      </c>
      <c r="H22">
        <f>VLOOKUP($B22,'[1]202512 RFR'!$A:$B,2,0)</f>
        <v>0.01</v>
      </c>
      <c r="I22">
        <f t="shared" si="8"/>
        <v>1.9535265273130036</v>
      </c>
      <c r="J22">
        <f t="shared" si="9"/>
        <v>1.6398904324523536E-3</v>
      </c>
      <c r="K22">
        <f t="shared" si="10"/>
        <v>4.4401659233303317E-3</v>
      </c>
      <c r="L22">
        <f t="shared" si="2"/>
        <v>0.98436876543207708</v>
      </c>
      <c r="M22">
        <f>IF(AND(MOD(C22,12)=1,D22&lt;='[1]Product parameters'!$C$2),I21*[1]model_point!$G$2,0)</f>
        <v>0</v>
      </c>
      <c r="N22">
        <f t="shared" si="3"/>
        <v>1148417.420523488</v>
      </c>
      <c r="O22">
        <f>[2]results_sample_product_cf!G21</f>
        <v>0</v>
      </c>
      <c r="P22">
        <f>[2]results_sample_product_cf!H21</f>
        <v>1148417.42052348</v>
      </c>
      <c r="Q22">
        <f t="shared" si="4"/>
        <v>0</v>
      </c>
      <c r="R22">
        <f t="shared" si="0"/>
        <v>0</v>
      </c>
    </row>
    <row r="23" spans="1:18" x14ac:dyDescent="0.3">
      <c r="A23">
        <f t="shared" si="5"/>
        <v>20</v>
      </c>
      <c r="B23">
        <f t="shared" si="6"/>
        <v>2</v>
      </c>
      <c r="C23">
        <f t="shared" si="7"/>
        <v>25</v>
      </c>
      <c r="D23">
        <f t="shared" si="1"/>
        <v>3</v>
      </c>
      <c r="E23">
        <f>[1]model_point!$C$2+D23-1</f>
        <v>7</v>
      </c>
      <c r="F23">
        <f>VLOOKUP(E23,'[1]202512 BE mortality'!$A:$C,3,0)</f>
        <v>4.9035780872345534E-3</v>
      </c>
      <c r="G23">
        <f>VLOOKUP(D23,'[1]202512 BE lapse'!$C:$D,2,0)</f>
        <v>5.3863410321628976E-3</v>
      </c>
      <c r="H23">
        <f>VLOOKUP($B23,'[1]202512 RFR'!$A:$B,2,0)</f>
        <v>0.01</v>
      </c>
      <c r="I23">
        <f t="shared" si="8"/>
        <v>1.9527264550867656</v>
      </c>
      <c r="J23">
        <f t="shared" si="9"/>
        <v>8.000722262379627E-4</v>
      </c>
      <c r="K23">
        <f t="shared" si="10"/>
        <v>0</v>
      </c>
      <c r="L23">
        <f t="shared" si="2"/>
        <v>0.98355287083824217</v>
      </c>
      <c r="M23">
        <f>IF(AND(MOD(C23,12)=1,D23&lt;='[1]Product parameters'!$C$2),I22*[1]model_point!$G$2,0)</f>
        <v>390705.30546260072</v>
      </c>
      <c r="N23">
        <f t="shared" si="3"/>
        <v>758340.666140032</v>
      </c>
      <c r="O23">
        <f>[2]results_sample_product_cf!G22</f>
        <v>390705.30546260002</v>
      </c>
      <c r="P23">
        <f>[2]results_sample_product_cf!H22</f>
        <v>758340.66614003095</v>
      </c>
      <c r="Q23">
        <f t="shared" si="4"/>
        <v>0</v>
      </c>
      <c r="R23">
        <f t="shared" si="0"/>
        <v>0</v>
      </c>
    </row>
    <row r="24" spans="1:18" x14ac:dyDescent="0.3">
      <c r="A24">
        <f t="shared" si="5"/>
        <v>21</v>
      </c>
      <c r="B24">
        <f t="shared" si="6"/>
        <v>2</v>
      </c>
      <c r="C24">
        <f t="shared" si="7"/>
        <v>26</v>
      </c>
      <c r="D24">
        <f t="shared" si="1"/>
        <v>3</v>
      </c>
      <c r="E24">
        <f>[1]model_point!$C$2+D24-1</f>
        <v>7</v>
      </c>
      <c r="F24">
        <f>VLOOKUP(E24,'[1]202512 BE mortality'!$A:$C,3,0)</f>
        <v>4.9035780872345534E-3</v>
      </c>
      <c r="G24">
        <f>VLOOKUP(D24,'[1]202512 BE lapse'!$C:$D,2,0)</f>
        <v>5.3863410321628976E-3</v>
      </c>
      <c r="H24">
        <f>VLOOKUP($B24,'[1]202512 RFR'!$A:$B,2,0)</f>
        <v>0.01</v>
      </c>
      <c r="I24">
        <f t="shared" si="8"/>
        <v>1.9519267105323346</v>
      </c>
      <c r="J24">
        <f t="shared" si="9"/>
        <v>7.9974455443097782E-4</v>
      </c>
      <c r="K24">
        <f t="shared" si="10"/>
        <v>0</v>
      </c>
      <c r="L24">
        <f t="shared" si="2"/>
        <v>0.98273765249909106</v>
      </c>
      <c r="M24">
        <f>IF(AND(MOD(C24,12)=1,D24&lt;='[1]Product parameters'!$C$2),I23*[1]model_point!$G$2,0)</f>
        <v>0</v>
      </c>
      <c r="N24">
        <f t="shared" si="3"/>
        <v>758969.73862625391</v>
      </c>
      <c r="O24">
        <f>[2]results_sample_product_cf!G23</f>
        <v>0</v>
      </c>
      <c r="P24">
        <f>[2]results_sample_product_cf!H23</f>
        <v>758969.73862625298</v>
      </c>
      <c r="Q24">
        <f t="shared" si="4"/>
        <v>0</v>
      </c>
      <c r="R24">
        <f t="shared" si="0"/>
        <v>0</v>
      </c>
    </row>
    <row r="25" spans="1:18" x14ac:dyDescent="0.3">
      <c r="A25">
        <f t="shared" si="5"/>
        <v>22</v>
      </c>
      <c r="B25">
        <f t="shared" si="6"/>
        <v>2</v>
      </c>
      <c r="C25">
        <f t="shared" si="7"/>
        <v>27</v>
      </c>
      <c r="D25">
        <f t="shared" si="1"/>
        <v>3</v>
      </c>
      <c r="E25">
        <f>[1]model_point!$C$2+D25-1</f>
        <v>7</v>
      </c>
      <c r="F25">
        <f>VLOOKUP(E25,'[1]202512 BE mortality'!$A:$C,3,0)</f>
        <v>4.9035780872345534E-3</v>
      </c>
      <c r="G25">
        <f>VLOOKUP(D25,'[1]202512 BE lapse'!$C:$D,2,0)</f>
        <v>5.3863410321628976E-3</v>
      </c>
      <c r="H25">
        <f>VLOOKUP($B25,'[1]202512 RFR'!$A:$B,2,0)</f>
        <v>0.01</v>
      </c>
      <c r="I25">
        <f t="shared" si="8"/>
        <v>1.9511272935155117</v>
      </c>
      <c r="J25">
        <f t="shared" si="9"/>
        <v>7.9941701682289363E-4</v>
      </c>
      <c r="K25">
        <f t="shared" si="10"/>
        <v>0</v>
      </c>
      <c r="L25">
        <f t="shared" si="2"/>
        <v>0.9819231098541098</v>
      </c>
      <c r="M25">
        <f>IF(AND(MOD(C25,12)=1,D25&lt;='[1]Product parameters'!$C$2),I24*[1]model_point!$G$2,0)</f>
        <v>0</v>
      </c>
      <c r="N25">
        <f t="shared" si="3"/>
        <v>759599.33295207971</v>
      </c>
      <c r="O25">
        <f>[2]results_sample_product_cf!G24</f>
        <v>0</v>
      </c>
      <c r="P25">
        <f>[2]results_sample_product_cf!H24</f>
        <v>759599.33295207901</v>
      </c>
      <c r="Q25">
        <f t="shared" si="4"/>
        <v>0</v>
      </c>
      <c r="R25">
        <f t="shared" si="0"/>
        <v>0</v>
      </c>
    </row>
    <row r="26" spans="1:18" x14ac:dyDescent="0.3">
      <c r="A26">
        <f t="shared" si="5"/>
        <v>23</v>
      </c>
      <c r="B26">
        <f t="shared" si="6"/>
        <v>2</v>
      </c>
      <c r="C26">
        <f t="shared" si="7"/>
        <v>28</v>
      </c>
      <c r="D26">
        <f t="shared" si="1"/>
        <v>3</v>
      </c>
      <c r="E26">
        <f>[1]model_point!$C$2+D26-1</f>
        <v>7</v>
      </c>
      <c r="F26">
        <f>VLOOKUP(E26,'[1]202512 BE mortality'!$A:$C,3,0)</f>
        <v>4.9035780872345534E-3</v>
      </c>
      <c r="G26">
        <f>VLOOKUP(D26,'[1]202512 BE lapse'!$C:$D,2,0)</f>
        <v>5.3863410321628976E-3</v>
      </c>
      <c r="H26">
        <f>VLOOKUP($B26,'[1]202512 RFR'!$A:$B,2,0)</f>
        <v>0.01</v>
      </c>
      <c r="I26">
        <f t="shared" si="8"/>
        <v>1.950328203902153</v>
      </c>
      <c r="J26">
        <f t="shared" si="9"/>
        <v>7.9908961335874835E-4</v>
      </c>
      <c r="K26">
        <f t="shared" si="10"/>
        <v>0</v>
      </c>
      <c r="L26">
        <f t="shared" si="2"/>
        <v>0.98110924234324881</v>
      </c>
      <c r="M26">
        <f>IF(AND(MOD(C26,12)=1,D26&lt;='[1]Product parameters'!$C$2),I25*[1]model_point!$G$2,0)</f>
        <v>0</v>
      </c>
      <c r="N26">
        <f t="shared" si="3"/>
        <v>760229.44955039537</v>
      </c>
      <c r="O26">
        <f>[2]results_sample_product_cf!G25</f>
        <v>0</v>
      </c>
      <c r="P26">
        <f>[2]results_sample_product_cf!H25</f>
        <v>760229.44955039502</v>
      </c>
      <c r="Q26">
        <f t="shared" si="4"/>
        <v>0</v>
      </c>
      <c r="R26">
        <f t="shared" si="0"/>
        <v>0</v>
      </c>
    </row>
    <row r="27" spans="1:18" x14ac:dyDescent="0.3">
      <c r="A27">
        <f t="shared" si="5"/>
        <v>24</v>
      </c>
      <c r="B27">
        <f t="shared" si="6"/>
        <v>2</v>
      </c>
      <c r="C27">
        <f t="shared" si="7"/>
        <v>29</v>
      </c>
      <c r="D27">
        <f t="shared" si="1"/>
        <v>3</v>
      </c>
      <c r="E27">
        <f>[1]model_point!$C$2+D27-1</f>
        <v>7</v>
      </c>
      <c r="F27">
        <f>VLOOKUP(E27,'[1]202512 BE mortality'!$A:$C,3,0)</f>
        <v>4.9035780872345534E-3</v>
      </c>
      <c r="G27">
        <f>VLOOKUP(D27,'[1]202512 BE lapse'!$C:$D,2,0)</f>
        <v>5.3863410321628976E-3</v>
      </c>
      <c r="H27">
        <f>VLOOKUP($B27,'[1]202512 RFR'!$A:$B,2,0)</f>
        <v>0.01</v>
      </c>
      <c r="I27">
        <f t="shared" si="8"/>
        <v>1.9495294415581694</v>
      </c>
      <c r="J27">
        <f t="shared" si="9"/>
        <v>7.9876234398360295E-4</v>
      </c>
      <c r="K27">
        <f t="shared" si="10"/>
        <v>0</v>
      </c>
      <c r="L27">
        <f t="shared" si="2"/>
        <v>0.98029604940692283</v>
      </c>
      <c r="M27">
        <f>IF(AND(MOD(C27,12)=1,D27&lt;='[1]Product parameters'!$C$2),I26*[1]model_point!$G$2,0)</f>
        <v>0</v>
      </c>
      <c r="N27">
        <f t="shared" si="3"/>
        <v>760860.08885444573</v>
      </c>
      <c r="O27">
        <f>[2]results_sample_product_cf!G26</f>
        <v>0</v>
      </c>
      <c r="P27">
        <f>[2]results_sample_product_cf!H26</f>
        <v>760860.08885444503</v>
      </c>
      <c r="Q27">
        <f t="shared" si="4"/>
        <v>0</v>
      </c>
      <c r="R27">
        <f t="shared" si="0"/>
        <v>0</v>
      </c>
    </row>
    <row r="28" spans="1:18" x14ac:dyDescent="0.3">
      <c r="A28">
        <f t="shared" si="5"/>
        <v>25</v>
      </c>
      <c r="B28">
        <f t="shared" si="6"/>
        <v>3</v>
      </c>
      <c r="C28">
        <f t="shared" si="7"/>
        <v>30</v>
      </c>
      <c r="D28">
        <f t="shared" si="1"/>
        <v>3</v>
      </c>
      <c r="E28">
        <f>[1]model_point!$C$2+D28-1</f>
        <v>7</v>
      </c>
      <c r="F28">
        <f>VLOOKUP(E28,'[1]202512 BE mortality'!$A:$C,3,0)</f>
        <v>4.9035780872345534E-3</v>
      </c>
      <c r="G28">
        <f>VLOOKUP(D28,'[1]202512 BE lapse'!$C:$D,2,0)</f>
        <v>5.3863410321628976E-3</v>
      </c>
      <c r="H28">
        <f>VLOOKUP($B28,'[1]202512 RFR'!$A:$B,2,0)</f>
        <v>0.01</v>
      </c>
      <c r="I28">
        <f t="shared" si="8"/>
        <v>1.9487310063495269</v>
      </c>
      <c r="J28">
        <f t="shared" si="9"/>
        <v>7.9843520864254108E-4</v>
      </c>
      <c r="K28">
        <f t="shared" si="10"/>
        <v>0</v>
      </c>
      <c r="L28">
        <f t="shared" si="2"/>
        <v>0.97948353048601033</v>
      </c>
      <c r="M28">
        <f>IF(AND(MOD(C28,12)=1,D28&lt;='[1]Product parameters'!$C$2),I27*[1]model_point!$G$2,0)</f>
        <v>0</v>
      </c>
      <c r="N28">
        <f t="shared" si="3"/>
        <v>761491.25129783526</v>
      </c>
      <c r="O28">
        <f>[2]results_sample_product_cf!G27</f>
        <v>0</v>
      </c>
      <c r="P28">
        <f>[2]results_sample_product_cf!H27</f>
        <v>761491.25129783503</v>
      </c>
      <c r="Q28">
        <f t="shared" si="4"/>
        <v>0</v>
      </c>
      <c r="R28">
        <f t="shared" si="0"/>
        <v>0</v>
      </c>
    </row>
    <row r="29" spans="1:18" x14ac:dyDescent="0.3">
      <c r="A29">
        <f t="shared" si="5"/>
        <v>26</v>
      </c>
      <c r="B29">
        <f t="shared" si="6"/>
        <v>3</v>
      </c>
      <c r="C29">
        <f t="shared" si="7"/>
        <v>31</v>
      </c>
      <c r="D29">
        <f t="shared" si="1"/>
        <v>3</v>
      </c>
      <c r="E29">
        <f>[1]model_point!$C$2+D29-1</f>
        <v>7</v>
      </c>
      <c r="F29">
        <f>VLOOKUP(E29,'[1]202512 BE mortality'!$A:$C,3,0)</f>
        <v>4.9035780872345534E-3</v>
      </c>
      <c r="G29">
        <f>VLOOKUP(D29,'[1]202512 BE lapse'!$C:$D,2,0)</f>
        <v>5.3863410321628976E-3</v>
      </c>
      <c r="H29">
        <f>VLOOKUP($B29,'[1]202512 RFR'!$A:$B,2,0)</f>
        <v>0.01</v>
      </c>
      <c r="I29">
        <f t="shared" si="8"/>
        <v>1.9479328981422461</v>
      </c>
      <c r="J29">
        <f t="shared" si="9"/>
        <v>7.981082072806686E-4</v>
      </c>
      <c r="K29">
        <f t="shared" si="10"/>
        <v>0</v>
      </c>
      <c r="L29">
        <f t="shared" si="2"/>
        <v>0.97867168502185331</v>
      </c>
      <c r="M29">
        <f>IF(AND(MOD(C29,12)=1,D29&lt;='[1]Product parameters'!$C$2),I28*[1]model_point!$G$2,0)</f>
        <v>0</v>
      </c>
      <c r="N29">
        <f t="shared" si="3"/>
        <v>762122.93731452804</v>
      </c>
      <c r="O29">
        <f>[2]results_sample_product_cf!G28</f>
        <v>0</v>
      </c>
      <c r="P29">
        <f>[2]results_sample_product_cf!H28</f>
        <v>762122.93731452804</v>
      </c>
      <c r="Q29">
        <f t="shared" si="4"/>
        <v>0</v>
      </c>
      <c r="R29">
        <f t="shared" si="0"/>
        <v>0</v>
      </c>
    </row>
    <row r="30" spans="1:18" x14ac:dyDescent="0.3">
      <c r="A30">
        <f t="shared" si="5"/>
        <v>27</v>
      </c>
      <c r="B30">
        <f t="shared" si="6"/>
        <v>3</v>
      </c>
      <c r="C30">
        <f t="shared" si="7"/>
        <v>32</v>
      </c>
      <c r="D30">
        <f t="shared" si="1"/>
        <v>3</v>
      </c>
      <c r="E30">
        <f>[1]model_point!$C$2+D30-1</f>
        <v>7</v>
      </c>
      <c r="F30">
        <f>VLOOKUP(E30,'[1]202512 BE mortality'!$A:$C,3,0)</f>
        <v>4.9035780872345534E-3</v>
      </c>
      <c r="G30">
        <f>VLOOKUP(D30,'[1]202512 BE lapse'!$C:$D,2,0)</f>
        <v>5.3863410321628976E-3</v>
      </c>
      <c r="H30">
        <f>VLOOKUP($B30,'[1]202512 RFR'!$A:$B,2,0)</f>
        <v>0.01</v>
      </c>
      <c r="I30">
        <f t="shared" si="8"/>
        <v>1.9471351168024029</v>
      </c>
      <c r="J30">
        <f t="shared" si="9"/>
        <v>7.9778133984311395E-4</v>
      </c>
      <c r="K30">
        <f t="shared" si="10"/>
        <v>0</v>
      </c>
      <c r="L30">
        <f t="shared" si="2"/>
        <v>0.97786051245625683</v>
      </c>
      <c r="M30">
        <f>IF(AND(MOD(C30,12)=1,D30&lt;='[1]Product parameters'!$C$2),I29*[1]model_point!$G$2,0)</f>
        <v>0</v>
      </c>
      <c r="N30">
        <f t="shared" si="3"/>
        <v>762755.14733884786</v>
      </c>
      <c r="O30">
        <f>[2]results_sample_product_cf!G29</f>
        <v>0</v>
      </c>
      <c r="P30">
        <f>[2]results_sample_product_cf!H29</f>
        <v>762755.14733884705</v>
      </c>
      <c r="Q30">
        <f t="shared" si="4"/>
        <v>0</v>
      </c>
      <c r="R30">
        <f t="shared" si="0"/>
        <v>0</v>
      </c>
    </row>
    <row r="31" spans="1:18" x14ac:dyDescent="0.3">
      <c r="A31">
        <f t="shared" si="5"/>
        <v>28</v>
      </c>
      <c r="B31">
        <f t="shared" si="6"/>
        <v>3</v>
      </c>
      <c r="C31">
        <f t="shared" si="7"/>
        <v>33</v>
      </c>
      <c r="D31">
        <f t="shared" si="1"/>
        <v>3</v>
      </c>
      <c r="E31">
        <f>[1]model_point!$C$2+D31-1</f>
        <v>7</v>
      </c>
      <c r="F31">
        <f>VLOOKUP(E31,'[1]202512 BE mortality'!$A:$C,3,0)</f>
        <v>4.9035780872345534E-3</v>
      </c>
      <c r="G31">
        <f>VLOOKUP(D31,'[1]202512 BE lapse'!$C:$D,2,0)</f>
        <v>5.3863410321628976E-3</v>
      </c>
      <c r="H31">
        <f>VLOOKUP($B31,'[1]202512 RFR'!$A:$B,2,0)</f>
        <v>0.01</v>
      </c>
      <c r="I31">
        <f t="shared" si="8"/>
        <v>1.9463376621961279</v>
      </c>
      <c r="J31">
        <f t="shared" si="9"/>
        <v>7.9745460627502797E-4</v>
      </c>
      <c r="K31">
        <f t="shared" si="10"/>
        <v>0</v>
      </c>
      <c r="L31">
        <f t="shared" si="2"/>
        <v>0.97705001223148846</v>
      </c>
      <c r="M31">
        <f>IF(AND(MOD(C31,12)=1,D31&lt;='[1]Product parameters'!$C$2),I30*[1]model_point!$G$2,0)</f>
        <v>0</v>
      </c>
      <c r="N31">
        <f t="shared" si="3"/>
        <v>763387.88180547906</v>
      </c>
      <c r="O31">
        <f>[2]results_sample_product_cf!G30</f>
        <v>0</v>
      </c>
      <c r="P31">
        <f>[2]results_sample_product_cf!H30</f>
        <v>763387.88180547894</v>
      </c>
      <c r="Q31">
        <f t="shared" si="4"/>
        <v>0</v>
      </c>
      <c r="R31">
        <f t="shared" si="0"/>
        <v>0</v>
      </c>
    </row>
    <row r="32" spans="1:18" x14ac:dyDescent="0.3">
      <c r="A32">
        <f t="shared" si="5"/>
        <v>29</v>
      </c>
      <c r="B32">
        <f t="shared" si="6"/>
        <v>3</v>
      </c>
      <c r="C32">
        <f t="shared" si="7"/>
        <v>34</v>
      </c>
      <c r="D32">
        <f t="shared" si="1"/>
        <v>3</v>
      </c>
      <c r="E32">
        <f>[1]model_point!$C$2+D32-1</f>
        <v>7</v>
      </c>
      <c r="F32">
        <f>VLOOKUP(E32,'[1]202512 BE mortality'!$A:$C,3,0)</f>
        <v>4.9035780872345534E-3</v>
      </c>
      <c r="G32">
        <f>VLOOKUP(D32,'[1]202512 BE lapse'!$C:$D,2,0)</f>
        <v>5.3863410321628976E-3</v>
      </c>
      <c r="H32">
        <f>VLOOKUP($B32,'[1]202512 RFR'!$A:$B,2,0)</f>
        <v>0.01</v>
      </c>
      <c r="I32">
        <f t="shared" si="8"/>
        <v>1.9455405341896064</v>
      </c>
      <c r="J32">
        <f t="shared" si="9"/>
        <v>7.971280065215843E-4</v>
      </c>
      <c r="K32">
        <f t="shared" si="10"/>
        <v>0</v>
      </c>
      <c r="L32">
        <f t="shared" si="2"/>
        <v>0.9762401837902781</v>
      </c>
      <c r="M32">
        <f>IF(AND(MOD(C32,12)=1,D32&lt;='[1]Product parameters'!$C$2),I31*[1]model_point!$G$2,0)</f>
        <v>0</v>
      </c>
      <c r="N32">
        <f t="shared" si="3"/>
        <v>764021.14114946674</v>
      </c>
      <c r="O32">
        <f>[2]results_sample_product_cf!G31</f>
        <v>0</v>
      </c>
      <c r="P32">
        <f>[2]results_sample_product_cf!H31</f>
        <v>764021.14114946604</v>
      </c>
      <c r="Q32">
        <f t="shared" si="4"/>
        <v>0</v>
      </c>
      <c r="R32">
        <f t="shared" si="0"/>
        <v>0</v>
      </c>
    </row>
    <row r="33" spans="1:18" x14ac:dyDescent="0.3">
      <c r="A33">
        <f t="shared" si="5"/>
        <v>30</v>
      </c>
      <c r="B33">
        <f t="shared" si="6"/>
        <v>3</v>
      </c>
      <c r="C33">
        <f t="shared" si="7"/>
        <v>35</v>
      </c>
      <c r="D33">
        <f t="shared" si="1"/>
        <v>3</v>
      </c>
      <c r="E33">
        <f>[1]model_point!$C$2+D33-1</f>
        <v>7</v>
      </c>
      <c r="F33">
        <f>VLOOKUP(E33,'[1]202512 BE mortality'!$A:$C,3,0)</f>
        <v>4.9035780872345534E-3</v>
      </c>
      <c r="G33">
        <f>VLOOKUP(D33,'[1]202512 BE lapse'!$C:$D,2,0)</f>
        <v>5.3863410321628976E-3</v>
      </c>
      <c r="H33">
        <f>VLOOKUP($B33,'[1]202512 RFR'!$A:$B,2,0)</f>
        <v>0.01</v>
      </c>
      <c r="I33">
        <f t="shared" si="8"/>
        <v>1.9447437326490784</v>
      </c>
      <c r="J33">
        <f t="shared" si="9"/>
        <v>7.9680154052797858E-4</v>
      </c>
      <c r="K33">
        <f t="shared" si="10"/>
        <v>0</v>
      </c>
      <c r="L33">
        <f t="shared" si="2"/>
        <v>0.97543102657581771</v>
      </c>
      <c r="M33">
        <f>IF(AND(MOD(C33,12)=1,D33&lt;='[1]Product parameters'!$C$2),I32*[1]model_point!$G$2,0)</f>
        <v>0</v>
      </c>
      <c r="N33">
        <f t="shared" si="3"/>
        <v>764654.92580621643</v>
      </c>
      <c r="O33">
        <f>[2]results_sample_product_cf!G32</f>
        <v>0</v>
      </c>
      <c r="P33">
        <f>[2]results_sample_product_cf!H32</f>
        <v>764654.92580621596</v>
      </c>
      <c r="Q33">
        <f t="shared" si="4"/>
        <v>0</v>
      </c>
      <c r="R33">
        <f t="shared" si="0"/>
        <v>0</v>
      </c>
    </row>
    <row r="34" spans="1:18" x14ac:dyDescent="0.3">
      <c r="A34">
        <f t="shared" si="5"/>
        <v>31</v>
      </c>
      <c r="B34">
        <f t="shared" si="6"/>
        <v>3</v>
      </c>
      <c r="C34">
        <f t="shared" si="7"/>
        <v>36</v>
      </c>
      <c r="D34">
        <f t="shared" si="1"/>
        <v>3</v>
      </c>
      <c r="E34">
        <f>[1]model_point!$C$2+D34-1</f>
        <v>7</v>
      </c>
      <c r="F34">
        <f>VLOOKUP(E34,'[1]202512 BE mortality'!$A:$C,3,0)</f>
        <v>4.9035780872345534E-3</v>
      </c>
      <c r="G34">
        <f>VLOOKUP(D34,'[1]202512 BE lapse'!$C:$D,2,0)</f>
        <v>5.3863410321628976E-3</v>
      </c>
      <c r="H34">
        <f>VLOOKUP($B34,'[1]202512 RFR'!$A:$B,2,0)</f>
        <v>0.01</v>
      </c>
      <c r="I34">
        <f t="shared" si="8"/>
        <v>1.9334764945637248</v>
      </c>
      <c r="J34">
        <f t="shared" si="9"/>
        <v>7.9647520823942922E-4</v>
      </c>
      <c r="K34">
        <f t="shared" si="10"/>
        <v>1.0470762877114122E-2</v>
      </c>
      <c r="L34">
        <f t="shared" si="2"/>
        <v>0.97462254003176052</v>
      </c>
      <c r="M34">
        <f>IF(AND(MOD(C34,12)=1,D34&lt;='[1]Product parameters'!$C$2),I33*[1]model_point!$G$2,0)</f>
        <v>0</v>
      </c>
      <c r="N34">
        <f t="shared" si="3"/>
        <v>765289.23621149524</v>
      </c>
      <c r="O34">
        <f>[2]results_sample_product_cf!G33</f>
        <v>0</v>
      </c>
      <c r="P34">
        <f>[2]results_sample_product_cf!H33</f>
        <v>765289.23621149501</v>
      </c>
      <c r="Q34">
        <f t="shared" si="4"/>
        <v>0</v>
      </c>
      <c r="R34">
        <f t="shared" si="0"/>
        <v>0</v>
      </c>
    </row>
    <row r="35" spans="1:18" x14ac:dyDescent="0.3">
      <c r="A35">
        <f t="shared" si="5"/>
        <v>32</v>
      </c>
      <c r="B35">
        <f t="shared" si="6"/>
        <v>3</v>
      </c>
      <c r="C35">
        <f t="shared" si="7"/>
        <v>37</v>
      </c>
      <c r="D35">
        <f t="shared" si="1"/>
        <v>4</v>
      </c>
      <c r="E35">
        <f>[1]model_point!$C$2+D35-1</f>
        <v>8</v>
      </c>
      <c r="F35">
        <f>VLOOKUP(E35,'[1]202512 BE mortality'!$A:$C,3,0)</f>
        <v>7.8750887518856012E-3</v>
      </c>
      <c r="G35">
        <f>VLOOKUP(D35,'[1]202512 BE lapse'!$C:$D,2,0)</f>
        <v>3.3107319500514918E-3</v>
      </c>
      <c r="H35">
        <f>VLOOKUP($B35,'[1]202512 RFR'!$A:$B,2,0)</f>
        <v>0.01</v>
      </c>
      <c r="I35">
        <f t="shared" si="8"/>
        <v>1.9322030333016331</v>
      </c>
      <c r="J35">
        <f t="shared" si="9"/>
        <v>1.2734612620917333E-3</v>
      </c>
      <c r="K35">
        <f t="shared" si="10"/>
        <v>0</v>
      </c>
      <c r="L35">
        <f t="shared" si="2"/>
        <v>0.97381472360222099</v>
      </c>
      <c r="M35">
        <f>IF(AND(MOD(C35,12)=1,D35&lt;='[1]Product parameters'!$C$2),I34*[1]model_point!$G$2,0)</f>
        <v>386695.29891274497</v>
      </c>
      <c r="N35">
        <f t="shared" si="3"/>
        <v>378907.99539959995</v>
      </c>
      <c r="O35">
        <f>[2]results_sample_product_cf!G34</f>
        <v>386695.29891274398</v>
      </c>
      <c r="P35">
        <f>[2]results_sample_product_cf!H34</f>
        <v>378907.99539959902</v>
      </c>
      <c r="Q35">
        <f t="shared" si="4"/>
        <v>0</v>
      </c>
      <c r="R35">
        <f t="shared" si="0"/>
        <v>0</v>
      </c>
    </row>
    <row r="36" spans="1:18" x14ac:dyDescent="0.3">
      <c r="A36">
        <f t="shared" si="5"/>
        <v>33</v>
      </c>
      <c r="B36">
        <f t="shared" si="6"/>
        <v>3</v>
      </c>
      <c r="C36">
        <f t="shared" si="7"/>
        <v>38</v>
      </c>
      <c r="D36">
        <f t="shared" si="1"/>
        <v>4</v>
      </c>
      <c r="E36">
        <f>[1]model_point!$C$2+D36-1</f>
        <v>8</v>
      </c>
      <c r="F36">
        <f>VLOOKUP(E36,'[1]202512 BE mortality'!$A:$C,3,0)</f>
        <v>7.8750887518856012E-3</v>
      </c>
      <c r="G36">
        <f>VLOOKUP(D36,'[1]202512 BE lapse'!$C:$D,2,0)</f>
        <v>3.3107319500514918E-3</v>
      </c>
      <c r="H36">
        <f>VLOOKUP($B36,'[1]202512 RFR'!$A:$B,2,0)</f>
        <v>0.01</v>
      </c>
      <c r="I36">
        <f t="shared" si="8"/>
        <v>1.9309304107896326</v>
      </c>
      <c r="J36">
        <f t="shared" si="9"/>
        <v>1.2726225120005851E-3</v>
      </c>
      <c r="K36">
        <f t="shared" si="10"/>
        <v>0</v>
      </c>
      <c r="L36">
        <f t="shared" si="2"/>
        <v>0.9730075767317744</v>
      </c>
      <c r="M36">
        <f>IF(AND(MOD(C36,12)=1,D36&lt;='[1]Product parameters'!$C$2),I35*[1]model_point!$G$2,0)</f>
        <v>0</v>
      </c>
      <c r="N36">
        <f t="shared" si="3"/>
        <v>379222.31402361445</v>
      </c>
      <c r="O36">
        <f>[2]results_sample_product_cf!G35</f>
        <v>0</v>
      </c>
      <c r="P36">
        <f>[2]results_sample_product_cf!H35</f>
        <v>379222.31402361399</v>
      </c>
      <c r="Q36">
        <f t="shared" si="4"/>
        <v>0</v>
      </c>
      <c r="R36">
        <f t="shared" si="0"/>
        <v>0</v>
      </c>
    </row>
    <row r="37" spans="1:18" x14ac:dyDescent="0.3">
      <c r="A37">
        <f t="shared" si="5"/>
        <v>34</v>
      </c>
      <c r="B37">
        <f t="shared" si="6"/>
        <v>3</v>
      </c>
      <c r="C37">
        <f t="shared" si="7"/>
        <v>39</v>
      </c>
      <c r="D37">
        <f t="shared" si="1"/>
        <v>4</v>
      </c>
      <c r="E37">
        <f>[1]model_point!$C$2+D37-1</f>
        <v>8</v>
      </c>
      <c r="F37">
        <f>VLOOKUP(E37,'[1]202512 BE mortality'!$A:$C,3,0)</f>
        <v>7.8750887518856012E-3</v>
      </c>
      <c r="G37">
        <f>VLOOKUP(D37,'[1]202512 BE lapse'!$C:$D,2,0)</f>
        <v>3.3107319500514918E-3</v>
      </c>
      <c r="H37">
        <f>VLOOKUP($B37,'[1]202512 RFR'!$A:$B,2,0)</f>
        <v>0.01</v>
      </c>
      <c r="I37">
        <f t="shared" si="8"/>
        <v>1.9296586264752904</v>
      </c>
      <c r="J37">
        <f t="shared" si="9"/>
        <v>1.2717843143421935E-3</v>
      </c>
      <c r="K37">
        <f t="shared" si="10"/>
        <v>0</v>
      </c>
      <c r="L37">
        <f t="shared" si="2"/>
        <v>0.97220109886545625</v>
      </c>
      <c r="M37">
        <f>IF(AND(MOD(C37,12)=1,D37&lt;='[1]Product parameters'!$C$2),I36*[1]model_point!$G$2,0)</f>
        <v>0</v>
      </c>
      <c r="N37">
        <f t="shared" si="3"/>
        <v>379536.89338690758</v>
      </c>
      <c r="O37">
        <f>[2]results_sample_product_cf!G36</f>
        <v>0</v>
      </c>
      <c r="P37">
        <f>[2]results_sample_product_cf!H36</f>
        <v>379536.893386907</v>
      </c>
      <c r="Q37">
        <f t="shared" si="4"/>
        <v>0</v>
      </c>
      <c r="R37">
        <f t="shared" si="0"/>
        <v>0</v>
      </c>
    </row>
    <row r="38" spans="1:18" x14ac:dyDescent="0.3">
      <c r="A38">
        <f t="shared" si="5"/>
        <v>35</v>
      </c>
      <c r="B38">
        <f t="shared" si="6"/>
        <v>3</v>
      </c>
      <c r="C38">
        <f t="shared" si="7"/>
        <v>40</v>
      </c>
      <c r="D38">
        <f t="shared" si="1"/>
        <v>4</v>
      </c>
      <c r="E38">
        <f>[1]model_point!$C$2+D38-1</f>
        <v>8</v>
      </c>
      <c r="F38">
        <f>VLOOKUP(E38,'[1]202512 BE mortality'!$A:$C,3,0)</f>
        <v>7.8750887518856012E-3</v>
      </c>
      <c r="G38">
        <f>VLOOKUP(D38,'[1]202512 BE lapse'!$C:$D,2,0)</f>
        <v>3.3107319500514918E-3</v>
      </c>
      <c r="H38">
        <f>VLOOKUP($B38,'[1]202512 RFR'!$A:$B,2,0)</f>
        <v>0.01</v>
      </c>
      <c r="I38">
        <f t="shared" si="8"/>
        <v>1.9283876798065378</v>
      </c>
      <c r="J38">
        <f t="shared" si="9"/>
        <v>1.2709466687527051E-3</v>
      </c>
      <c r="K38">
        <f t="shared" si="10"/>
        <v>0</v>
      </c>
      <c r="L38">
        <f t="shared" si="2"/>
        <v>0.97139528944876219</v>
      </c>
      <c r="M38">
        <f>IF(AND(MOD(C38,12)=1,D38&lt;='[1]Product parameters'!$C$2),I37*[1]model_point!$G$2,0)</f>
        <v>0</v>
      </c>
      <c r="N38">
        <f t="shared" si="3"/>
        <v>379851.73370577255</v>
      </c>
      <c r="O38">
        <f>[2]results_sample_product_cf!G37</f>
        <v>0</v>
      </c>
      <c r="P38">
        <f>[2]results_sample_product_cf!H37</f>
        <v>379851.73370577203</v>
      </c>
      <c r="Q38">
        <f t="shared" si="4"/>
        <v>0</v>
      </c>
      <c r="R38">
        <f t="shared" si="0"/>
        <v>0</v>
      </c>
    </row>
    <row r="39" spans="1:18" x14ac:dyDescent="0.3">
      <c r="A39">
        <f t="shared" si="5"/>
        <v>36</v>
      </c>
      <c r="B39">
        <f t="shared" si="6"/>
        <v>3</v>
      </c>
      <c r="C39">
        <f t="shared" si="7"/>
        <v>41</v>
      </c>
      <c r="D39">
        <f t="shared" si="1"/>
        <v>4</v>
      </c>
      <c r="E39">
        <f>[1]model_point!$C$2+D39-1</f>
        <v>8</v>
      </c>
      <c r="F39">
        <f>VLOOKUP(E39,'[1]202512 BE mortality'!$A:$C,3,0)</f>
        <v>7.8750887518856012E-3</v>
      </c>
      <c r="G39">
        <f>VLOOKUP(D39,'[1]202512 BE lapse'!$C:$D,2,0)</f>
        <v>3.3107319500514918E-3</v>
      </c>
      <c r="H39">
        <f>VLOOKUP($B39,'[1]202512 RFR'!$A:$B,2,0)</f>
        <v>0.01</v>
      </c>
      <c r="I39">
        <f t="shared" si="8"/>
        <v>1.9271175702316692</v>
      </c>
      <c r="J39">
        <f t="shared" si="9"/>
        <v>1.2701095748685065E-3</v>
      </c>
      <c r="K39">
        <f t="shared" si="10"/>
        <v>0</v>
      </c>
      <c r="L39">
        <f t="shared" si="2"/>
        <v>0.97059014792764731</v>
      </c>
      <c r="M39">
        <f>IF(AND(MOD(C39,12)=1,D39&lt;='[1]Product parameters'!$C$2),I38*[1]model_point!$G$2,0)</f>
        <v>0</v>
      </c>
      <c r="N39">
        <f t="shared" si="3"/>
        <v>380166.83519668196</v>
      </c>
      <c r="O39">
        <f>[2]results_sample_product_cf!G38</f>
        <v>0</v>
      </c>
      <c r="P39">
        <f>[2]results_sample_product_cf!H38</f>
        <v>380166.83519668202</v>
      </c>
      <c r="Q39">
        <f t="shared" si="4"/>
        <v>0</v>
      </c>
      <c r="R39">
        <f t="shared" si="0"/>
        <v>0</v>
      </c>
    </row>
    <row r="40" spans="1:18" x14ac:dyDescent="0.3">
      <c r="A40">
        <f t="shared" si="5"/>
        <v>37</v>
      </c>
      <c r="B40">
        <f t="shared" si="6"/>
        <v>4</v>
      </c>
      <c r="C40">
        <f t="shared" si="7"/>
        <v>42</v>
      </c>
      <c r="D40">
        <f t="shared" si="1"/>
        <v>4</v>
      </c>
      <c r="E40">
        <f>[1]model_point!$C$2+D40-1</f>
        <v>8</v>
      </c>
      <c r="F40">
        <f>VLOOKUP(E40,'[1]202512 BE mortality'!$A:$C,3,0)</f>
        <v>7.8750887518856012E-3</v>
      </c>
      <c r="G40">
        <f>VLOOKUP(D40,'[1]202512 BE lapse'!$C:$D,2,0)</f>
        <v>3.3107319500514918E-3</v>
      </c>
      <c r="H40">
        <f>VLOOKUP($B40,'[1]202512 RFR'!$A:$B,2,0)</f>
        <v>0.01</v>
      </c>
      <c r="I40">
        <f t="shared" si="8"/>
        <v>1.9258482971993429</v>
      </c>
      <c r="J40">
        <f t="shared" si="9"/>
        <v>1.2692730323262235E-3</v>
      </c>
      <c r="K40">
        <f t="shared" si="10"/>
        <v>0</v>
      </c>
      <c r="L40">
        <f t="shared" si="2"/>
        <v>0.96978567374852598</v>
      </c>
      <c r="M40">
        <f>IF(AND(MOD(C40,12)=1,D40&lt;='[1]Product parameters'!$C$2),I39*[1]model_point!$G$2,0)</f>
        <v>0</v>
      </c>
      <c r="N40">
        <f t="shared" si="3"/>
        <v>380482.19807628798</v>
      </c>
      <c r="O40">
        <f>[2]results_sample_product_cf!G39</f>
        <v>0</v>
      </c>
      <c r="P40">
        <f>[2]results_sample_product_cf!H39</f>
        <v>380482.19807628798</v>
      </c>
      <c r="Q40">
        <f t="shared" si="4"/>
        <v>0</v>
      </c>
      <c r="R40">
        <f t="shared" si="0"/>
        <v>0</v>
      </c>
    </row>
    <row r="41" spans="1:18" x14ac:dyDescent="0.3">
      <c r="A41">
        <f t="shared" si="5"/>
        <v>38</v>
      </c>
      <c r="B41">
        <f t="shared" si="6"/>
        <v>4</v>
      </c>
      <c r="C41">
        <f t="shared" si="7"/>
        <v>43</v>
      </c>
      <c r="D41">
        <f t="shared" si="1"/>
        <v>4</v>
      </c>
      <c r="E41">
        <f>[1]model_point!$C$2+D41-1</f>
        <v>8</v>
      </c>
      <c r="F41">
        <f>VLOOKUP(E41,'[1]202512 BE mortality'!$A:$C,3,0)</f>
        <v>7.8750887518856012E-3</v>
      </c>
      <c r="G41">
        <f>VLOOKUP(D41,'[1]202512 BE lapse'!$C:$D,2,0)</f>
        <v>3.3107319500514918E-3</v>
      </c>
      <c r="H41">
        <f>VLOOKUP($B41,'[1]202512 RFR'!$A:$B,2,0)</f>
        <v>0.01</v>
      </c>
      <c r="I41">
        <f t="shared" si="8"/>
        <v>1.9245798601585802</v>
      </c>
      <c r="J41">
        <f t="shared" si="9"/>
        <v>1.2684370407627212E-3</v>
      </c>
      <c r="K41">
        <f t="shared" si="10"/>
        <v>0</v>
      </c>
      <c r="L41">
        <f t="shared" si="2"/>
        <v>0.96898186635827155</v>
      </c>
      <c r="M41">
        <f>IF(AND(MOD(C41,12)=1,D41&lt;='[1]Product parameters'!$C$2),I40*[1]model_point!$G$2,0)</f>
        <v>0</v>
      </c>
      <c r="N41">
        <f t="shared" si="3"/>
        <v>380797.82256142248</v>
      </c>
      <c r="O41">
        <f>[2]results_sample_product_cf!G40</f>
        <v>0</v>
      </c>
      <c r="P41">
        <f>[2]results_sample_product_cf!H40</f>
        <v>380797.82256142201</v>
      </c>
      <c r="Q41">
        <f t="shared" si="4"/>
        <v>0</v>
      </c>
      <c r="R41">
        <f t="shared" si="0"/>
        <v>0</v>
      </c>
    </row>
    <row r="42" spans="1:18" x14ac:dyDescent="0.3">
      <c r="A42">
        <f t="shared" si="5"/>
        <v>39</v>
      </c>
      <c r="B42">
        <f t="shared" si="6"/>
        <v>4</v>
      </c>
      <c r="C42">
        <f t="shared" si="7"/>
        <v>44</v>
      </c>
      <c r="D42">
        <f t="shared" si="1"/>
        <v>4</v>
      </c>
      <c r="E42">
        <f>[1]model_point!$C$2+D42-1</f>
        <v>8</v>
      </c>
      <c r="F42">
        <f>VLOOKUP(E42,'[1]202512 BE mortality'!$A:$C,3,0)</f>
        <v>7.8750887518856012E-3</v>
      </c>
      <c r="G42">
        <f>VLOOKUP(D42,'[1]202512 BE lapse'!$C:$D,2,0)</f>
        <v>3.3107319500514918E-3</v>
      </c>
      <c r="H42">
        <f>VLOOKUP($B42,'[1]202512 RFR'!$A:$B,2,0)</f>
        <v>0.01</v>
      </c>
      <c r="I42">
        <f t="shared" si="8"/>
        <v>1.923312258558765</v>
      </c>
      <c r="J42">
        <f t="shared" si="9"/>
        <v>1.2676015998151042E-3</v>
      </c>
      <c r="K42">
        <f t="shared" si="10"/>
        <v>0</v>
      </c>
      <c r="L42">
        <f t="shared" si="2"/>
        <v>0.96817872520421555</v>
      </c>
      <c r="M42">
        <f>IF(AND(MOD(C42,12)=1,D42&lt;='[1]Product parameters'!$C$2),I41*[1]model_point!$G$2,0)</f>
        <v>0</v>
      </c>
      <c r="N42">
        <f t="shared" si="3"/>
        <v>381113.70886909723</v>
      </c>
      <c r="O42">
        <f>[2]results_sample_product_cf!G41</f>
        <v>0</v>
      </c>
      <c r="P42">
        <f>[2]results_sample_product_cf!H41</f>
        <v>381113.708869097</v>
      </c>
      <c r="Q42">
        <f t="shared" si="4"/>
        <v>0</v>
      </c>
      <c r="R42">
        <f t="shared" si="0"/>
        <v>0</v>
      </c>
    </row>
    <row r="43" spans="1:18" x14ac:dyDescent="0.3">
      <c r="A43">
        <f t="shared" si="5"/>
        <v>40</v>
      </c>
      <c r="B43">
        <f t="shared" si="6"/>
        <v>4</v>
      </c>
      <c r="C43">
        <f t="shared" si="7"/>
        <v>45</v>
      </c>
      <c r="D43">
        <f t="shared" si="1"/>
        <v>4</v>
      </c>
      <c r="E43">
        <f>[1]model_point!$C$2+D43-1</f>
        <v>8</v>
      </c>
      <c r="F43">
        <f>VLOOKUP(E43,'[1]202512 BE mortality'!$A:$C,3,0)</f>
        <v>7.8750887518856012E-3</v>
      </c>
      <c r="G43">
        <f>VLOOKUP(D43,'[1]202512 BE lapse'!$C:$D,2,0)</f>
        <v>3.3107319500514918E-3</v>
      </c>
      <c r="H43">
        <f>VLOOKUP($B43,'[1]202512 RFR'!$A:$B,2,0)</f>
        <v>0.01</v>
      </c>
      <c r="I43">
        <f t="shared" si="8"/>
        <v>1.9220454918496443</v>
      </c>
      <c r="J43">
        <f t="shared" si="9"/>
        <v>1.2667667091207156E-3</v>
      </c>
      <c r="K43">
        <f t="shared" si="10"/>
        <v>0</v>
      </c>
      <c r="L43">
        <f t="shared" si="2"/>
        <v>0.96737624973414782</v>
      </c>
      <c r="M43">
        <f>IF(AND(MOD(C43,12)=1,D43&lt;='[1]Product parameters'!$C$2),I42*[1]model_point!$G$2,0)</f>
        <v>0</v>
      </c>
      <c r="N43">
        <f t="shared" si="3"/>
        <v>381429.85721650394</v>
      </c>
      <c r="O43">
        <f>[2]results_sample_product_cf!G42</f>
        <v>0</v>
      </c>
      <c r="P43">
        <f>[2]results_sample_product_cf!H42</f>
        <v>381429.85721650301</v>
      </c>
      <c r="Q43">
        <f t="shared" si="4"/>
        <v>0</v>
      </c>
      <c r="R43">
        <f t="shared" si="0"/>
        <v>0</v>
      </c>
    </row>
    <row r="44" spans="1:18" x14ac:dyDescent="0.3">
      <c r="A44">
        <f t="shared" si="5"/>
        <v>41</v>
      </c>
      <c r="B44">
        <f t="shared" si="6"/>
        <v>4</v>
      </c>
      <c r="C44">
        <f t="shared" si="7"/>
        <v>46</v>
      </c>
      <c r="D44">
        <f t="shared" si="1"/>
        <v>4</v>
      </c>
      <c r="E44">
        <f>[1]model_point!$C$2+D44-1</f>
        <v>8</v>
      </c>
      <c r="F44">
        <f>VLOOKUP(E44,'[1]202512 BE mortality'!$A:$C,3,0)</f>
        <v>7.8750887518856012E-3</v>
      </c>
      <c r="G44">
        <f>VLOOKUP(D44,'[1]202512 BE lapse'!$C:$D,2,0)</f>
        <v>3.3107319500514918E-3</v>
      </c>
      <c r="H44">
        <f>VLOOKUP($B44,'[1]202512 RFR'!$A:$B,2,0)</f>
        <v>0.01</v>
      </c>
      <c r="I44">
        <f t="shared" si="8"/>
        <v>1.9207795594813273</v>
      </c>
      <c r="J44">
        <f t="shared" si="9"/>
        <v>1.2659323683171381E-3</v>
      </c>
      <c r="K44">
        <f t="shared" si="10"/>
        <v>0</v>
      </c>
      <c r="L44">
        <f t="shared" si="2"/>
        <v>0.96657443939631582</v>
      </c>
      <c r="M44">
        <f>IF(AND(MOD(C44,12)=1,D44&lt;='[1]Product parameters'!$C$2),I43*[1]model_point!$G$2,0)</f>
        <v>0</v>
      </c>
      <c r="N44">
        <f t="shared" si="3"/>
        <v>381746.26782101463</v>
      </c>
      <c r="O44">
        <f>[2]results_sample_product_cf!G43</f>
        <v>0</v>
      </c>
      <c r="P44">
        <f>[2]results_sample_product_cf!H43</f>
        <v>381746.26782101399</v>
      </c>
      <c r="Q44">
        <f t="shared" si="4"/>
        <v>0</v>
      </c>
      <c r="R44">
        <f t="shared" si="0"/>
        <v>0</v>
      </c>
    </row>
    <row r="45" spans="1:18" x14ac:dyDescent="0.3">
      <c r="A45">
        <f t="shared" si="5"/>
        <v>42</v>
      </c>
      <c r="B45">
        <f t="shared" si="6"/>
        <v>4</v>
      </c>
      <c r="C45">
        <f t="shared" si="7"/>
        <v>47</v>
      </c>
      <c r="D45">
        <f t="shared" si="1"/>
        <v>4</v>
      </c>
      <c r="E45">
        <f>[1]model_point!$C$2+D45-1</f>
        <v>8</v>
      </c>
      <c r="F45">
        <f>VLOOKUP(E45,'[1]202512 BE mortality'!$A:$C,3,0)</f>
        <v>7.8750887518856012E-3</v>
      </c>
      <c r="G45">
        <f>VLOOKUP(D45,'[1]202512 BE lapse'!$C:$D,2,0)</f>
        <v>3.3107319500514918E-3</v>
      </c>
      <c r="H45">
        <f>VLOOKUP($B45,'[1]202512 RFR'!$A:$B,2,0)</f>
        <v>0.01</v>
      </c>
      <c r="I45">
        <f t="shared" si="8"/>
        <v>1.9195144609042851</v>
      </c>
      <c r="J45">
        <f t="shared" si="9"/>
        <v>1.2650985770421923E-3</v>
      </c>
      <c r="K45">
        <f t="shared" si="10"/>
        <v>0</v>
      </c>
      <c r="L45">
        <f t="shared" si="2"/>
        <v>0.96577329363942432</v>
      </c>
      <c r="M45">
        <f>IF(AND(MOD(C45,12)=1,D45&lt;='[1]Product parameters'!$C$2),I44*[1]model_point!$G$2,0)</f>
        <v>0</v>
      </c>
      <c r="N45">
        <f t="shared" si="3"/>
        <v>382062.94090018159</v>
      </c>
      <c r="O45">
        <f>[2]results_sample_product_cf!G44</f>
        <v>0</v>
      </c>
      <c r="P45">
        <f>[2]results_sample_product_cf!H44</f>
        <v>382062.94090018101</v>
      </c>
      <c r="Q45">
        <f t="shared" si="4"/>
        <v>0</v>
      </c>
      <c r="R45">
        <f t="shared" si="0"/>
        <v>0</v>
      </c>
    </row>
    <row r="46" spans="1:18" x14ac:dyDescent="0.3">
      <c r="A46">
        <f t="shared" si="5"/>
        <v>43</v>
      </c>
      <c r="B46">
        <f t="shared" si="6"/>
        <v>4</v>
      </c>
      <c r="C46">
        <f t="shared" si="7"/>
        <v>48</v>
      </c>
      <c r="D46">
        <f t="shared" si="1"/>
        <v>4</v>
      </c>
      <c r="E46">
        <f>[1]model_point!$C$2+D46-1</f>
        <v>8</v>
      </c>
      <c r="F46">
        <f>VLOOKUP(E46,'[1]202512 BE mortality'!$A:$C,3,0)</f>
        <v>7.8750887518856012E-3</v>
      </c>
      <c r="G46">
        <f>VLOOKUP(D46,'[1]202512 BE lapse'!$C:$D,2,0)</f>
        <v>3.3107319500514918E-3</v>
      </c>
      <c r="H46">
        <f>VLOOKUP($B46,'[1]202512 RFR'!$A:$B,2,0)</f>
        <v>0.01</v>
      </c>
      <c r="I46">
        <f t="shared" si="8"/>
        <v>1.9118993833586873</v>
      </c>
      <c r="J46">
        <f t="shared" si="9"/>
        <v>1.2642653349339381E-3</v>
      </c>
      <c r="K46">
        <f t="shared" si="10"/>
        <v>6.3508122106639732E-3</v>
      </c>
      <c r="L46">
        <f t="shared" si="2"/>
        <v>0.96497281191263495</v>
      </c>
      <c r="M46">
        <f>IF(AND(MOD(C46,12)=1,D46&lt;='[1]Product parameters'!$C$2),I45*[1]model_point!$G$2,0)</f>
        <v>0</v>
      </c>
      <c r="N46">
        <f t="shared" si="3"/>
        <v>382379.87667173747</v>
      </c>
      <c r="O46">
        <f>[2]results_sample_product_cf!G45</f>
        <v>0</v>
      </c>
      <c r="P46">
        <f>[2]results_sample_product_cf!H45</f>
        <v>382379.876671737</v>
      </c>
      <c r="Q46">
        <f t="shared" si="4"/>
        <v>0</v>
      </c>
      <c r="R46">
        <f t="shared" si="0"/>
        <v>0</v>
      </c>
    </row>
    <row r="47" spans="1:18" x14ac:dyDescent="0.3">
      <c r="A47">
        <f t="shared" si="5"/>
        <v>44</v>
      </c>
      <c r="B47">
        <f t="shared" si="6"/>
        <v>4</v>
      </c>
      <c r="C47">
        <f t="shared" si="7"/>
        <v>49</v>
      </c>
      <c r="D47">
        <f t="shared" si="1"/>
        <v>5</v>
      </c>
      <c r="E47">
        <f>[1]model_point!$C$2+D47-1</f>
        <v>9</v>
      </c>
      <c r="F47">
        <f>VLOOKUP(E47,'[1]202512 BE mortality'!$A:$C,3,0)</f>
        <v>4.6243394137694353E-3</v>
      </c>
      <c r="G47">
        <f>VLOOKUP(D47,'[1]202512 BE lapse'!$C:$D,2,0)</f>
        <v>9.718511533450087E-3</v>
      </c>
      <c r="H47">
        <f>VLOOKUP($B47,'[1]202512 RFR'!$A:$B,2,0)</f>
        <v>0.01</v>
      </c>
      <c r="I47">
        <f t="shared" si="8"/>
        <v>1.9111610445085783</v>
      </c>
      <c r="J47">
        <f t="shared" si="9"/>
        <v>7.3833885010893177E-4</v>
      </c>
      <c r="K47">
        <f t="shared" si="10"/>
        <v>0</v>
      </c>
      <c r="L47">
        <f t="shared" si="2"/>
        <v>0.96417299366556608</v>
      </c>
      <c r="M47">
        <f>IF(AND(MOD(C47,12)=1,D47&lt;='[1]Product parameters'!$C$2),I46*[1]model_point!$G$2,0)</f>
        <v>382379.87667173747</v>
      </c>
      <c r="N47">
        <f t="shared" si="3"/>
        <v>0</v>
      </c>
      <c r="O47">
        <f>[2]results_sample_product_cf!G46</f>
        <v>382379.876671737</v>
      </c>
      <c r="P47">
        <f>[2]results_sample_product_cf!H46</f>
        <v>0</v>
      </c>
      <c r="Q47">
        <f t="shared" si="4"/>
        <v>0</v>
      </c>
      <c r="R47">
        <f t="shared" si="0"/>
        <v>0</v>
      </c>
    </row>
    <row r="48" spans="1:18" x14ac:dyDescent="0.3">
      <c r="A48">
        <f t="shared" si="5"/>
        <v>45</v>
      </c>
      <c r="B48">
        <f t="shared" si="6"/>
        <v>4</v>
      </c>
      <c r="C48">
        <f t="shared" si="7"/>
        <v>50</v>
      </c>
      <c r="D48">
        <f t="shared" si="1"/>
        <v>5</v>
      </c>
      <c r="E48">
        <f>[1]model_point!$C$2+D48-1</f>
        <v>9</v>
      </c>
      <c r="F48">
        <f>VLOOKUP(E48,'[1]202512 BE mortality'!$A:$C,3,0)</f>
        <v>4.6243394137694353E-3</v>
      </c>
      <c r="G48">
        <f>VLOOKUP(D48,'[1]202512 BE lapse'!$C:$D,2,0)</f>
        <v>9.718511533450087E-3</v>
      </c>
      <c r="H48">
        <f>VLOOKUP($B48,'[1]202512 RFR'!$A:$B,2,0)</f>
        <v>0.01</v>
      </c>
      <c r="I48">
        <f t="shared" si="8"/>
        <v>1.9104229907907635</v>
      </c>
      <c r="J48">
        <f t="shared" si="9"/>
        <v>7.380537178146671E-4</v>
      </c>
      <c r="K48">
        <f t="shared" si="10"/>
        <v>0</v>
      </c>
      <c r="L48">
        <f t="shared" si="2"/>
        <v>0.96337383834829227</v>
      </c>
      <c r="M48">
        <f>IF(AND(MOD(C48,12)=1,D48&lt;='[1]Product parameters'!$C$2),I47*[1]model_point!$G$2,0)</f>
        <v>0</v>
      </c>
      <c r="N48">
        <f t="shared" si="3"/>
        <v>0</v>
      </c>
      <c r="O48">
        <f>[2]results_sample_product_cf!G47</f>
        <v>0</v>
      </c>
      <c r="P48">
        <f>[2]results_sample_product_cf!H47</f>
        <v>0</v>
      </c>
      <c r="Q48">
        <f t="shared" si="4"/>
        <v>0</v>
      </c>
      <c r="R48">
        <f t="shared" si="0"/>
        <v>0</v>
      </c>
    </row>
    <row r="49" spans="1:18" x14ac:dyDescent="0.3">
      <c r="A49">
        <f t="shared" si="5"/>
        <v>46</v>
      </c>
      <c r="B49">
        <f t="shared" si="6"/>
        <v>4</v>
      </c>
      <c r="C49">
        <f t="shared" si="7"/>
        <v>51</v>
      </c>
      <c r="D49">
        <f t="shared" si="1"/>
        <v>5</v>
      </c>
      <c r="E49">
        <f>[1]model_point!$C$2+D49-1</f>
        <v>9</v>
      </c>
      <c r="F49">
        <f>VLOOKUP(E49,'[1]202512 BE mortality'!$A:$C,3,0)</f>
        <v>4.6243394137694353E-3</v>
      </c>
      <c r="G49">
        <f>VLOOKUP(D49,'[1]202512 BE lapse'!$C:$D,2,0)</f>
        <v>9.718511533450087E-3</v>
      </c>
      <c r="H49">
        <f>VLOOKUP($B49,'[1]202512 RFR'!$A:$B,2,0)</f>
        <v>0.01</v>
      </c>
      <c r="I49">
        <f t="shared" si="8"/>
        <v>1.9096852220951306</v>
      </c>
      <c r="J49">
        <f t="shared" si="9"/>
        <v>7.377686956330224E-4</v>
      </c>
      <c r="K49">
        <f t="shared" si="10"/>
        <v>0</v>
      </c>
      <c r="L49">
        <f t="shared" si="2"/>
        <v>0.9625753454113436</v>
      </c>
      <c r="M49">
        <f>IF(AND(MOD(C49,12)=1,D49&lt;='[1]Product parameters'!$C$2),I48*[1]model_point!$G$2,0)</f>
        <v>0</v>
      </c>
      <c r="N49">
        <f t="shared" si="3"/>
        <v>0</v>
      </c>
      <c r="O49">
        <f>[2]results_sample_product_cf!G48</f>
        <v>0</v>
      </c>
      <c r="P49">
        <f>[2]results_sample_product_cf!H48</f>
        <v>0</v>
      </c>
      <c r="Q49">
        <f t="shared" si="4"/>
        <v>0</v>
      </c>
      <c r="R49">
        <f t="shared" si="0"/>
        <v>0</v>
      </c>
    </row>
    <row r="50" spans="1:18" x14ac:dyDescent="0.3">
      <c r="A50">
        <f t="shared" si="5"/>
        <v>47</v>
      </c>
      <c r="B50">
        <f t="shared" si="6"/>
        <v>4</v>
      </c>
      <c r="C50">
        <f t="shared" si="7"/>
        <v>52</v>
      </c>
      <c r="D50">
        <f t="shared" si="1"/>
        <v>5</v>
      </c>
      <c r="E50">
        <f>[1]model_point!$C$2+D50-1</f>
        <v>9</v>
      </c>
      <c r="F50">
        <f>VLOOKUP(E50,'[1]202512 BE mortality'!$A:$C,3,0)</f>
        <v>4.6243394137694353E-3</v>
      </c>
      <c r="G50">
        <f>VLOOKUP(D50,'[1]202512 BE lapse'!$C:$D,2,0)</f>
        <v>9.718511533450087E-3</v>
      </c>
      <c r="H50">
        <f>VLOOKUP($B50,'[1]202512 RFR'!$A:$B,2,0)</f>
        <v>0.01</v>
      </c>
      <c r="I50">
        <f t="shared" si="8"/>
        <v>1.9089477383116091</v>
      </c>
      <c r="J50">
        <f t="shared" si="9"/>
        <v>7.3748378352147452E-4</v>
      </c>
      <c r="K50">
        <f t="shared" si="10"/>
        <v>0</v>
      </c>
      <c r="L50">
        <f t="shared" si="2"/>
        <v>0.96177751430570591</v>
      </c>
      <c r="M50">
        <f>IF(AND(MOD(C50,12)=1,D50&lt;='[1]Product parameters'!$C$2),I49*[1]model_point!$G$2,0)</f>
        <v>0</v>
      </c>
      <c r="N50">
        <f t="shared" si="3"/>
        <v>0</v>
      </c>
      <c r="O50">
        <f>[2]results_sample_product_cf!G49</f>
        <v>0</v>
      </c>
      <c r="P50">
        <f>[2]results_sample_product_cf!H49</f>
        <v>0</v>
      </c>
      <c r="Q50">
        <f t="shared" si="4"/>
        <v>0</v>
      </c>
      <c r="R50">
        <f t="shared" si="0"/>
        <v>0</v>
      </c>
    </row>
    <row r="51" spans="1:18" x14ac:dyDescent="0.3">
      <c r="A51">
        <f t="shared" si="5"/>
        <v>48</v>
      </c>
      <c r="B51">
        <f t="shared" si="6"/>
        <v>4</v>
      </c>
      <c r="C51">
        <f t="shared" si="7"/>
        <v>53</v>
      </c>
      <c r="D51">
        <f t="shared" si="1"/>
        <v>5</v>
      </c>
      <c r="E51">
        <f>[1]model_point!$C$2+D51-1</f>
        <v>9</v>
      </c>
      <c r="F51">
        <f>VLOOKUP(E51,'[1]202512 BE mortality'!$A:$C,3,0)</f>
        <v>4.6243394137694353E-3</v>
      </c>
      <c r="G51">
        <f>VLOOKUP(D51,'[1]202512 BE lapse'!$C:$D,2,0)</f>
        <v>9.718511533450087E-3</v>
      </c>
      <c r="H51">
        <f>VLOOKUP($B51,'[1]202512 RFR'!$A:$B,2,0)</f>
        <v>0.01</v>
      </c>
      <c r="I51">
        <f t="shared" si="8"/>
        <v>1.9082105393301716</v>
      </c>
      <c r="J51">
        <f t="shared" si="9"/>
        <v>7.3719898143751611E-4</v>
      </c>
      <c r="K51">
        <f t="shared" si="10"/>
        <v>0</v>
      </c>
      <c r="L51">
        <f t="shared" si="2"/>
        <v>0.96098034448281988</v>
      </c>
      <c r="M51">
        <f>IF(AND(MOD(C51,12)=1,D51&lt;='[1]Product parameters'!$C$2),I50*[1]model_point!$G$2,0)</f>
        <v>0</v>
      </c>
      <c r="N51">
        <f t="shared" si="3"/>
        <v>0</v>
      </c>
      <c r="O51">
        <f>[2]results_sample_product_cf!G50</f>
        <v>0</v>
      </c>
      <c r="P51">
        <f>[2]results_sample_product_cf!H50</f>
        <v>0</v>
      </c>
      <c r="Q51">
        <f t="shared" si="4"/>
        <v>0</v>
      </c>
      <c r="R51">
        <f t="shared" si="0"/>
        <v>0</v>
      </c>
    </row>
    <row r="52" spans="1:18" x14ac:dyDescent="0.3">
      <c r="A52">
        <f t="shared" si="5"/>
        <v>49</v>
      </c>
      <c r="B52">
        <f t="shared" si="6"/>
        <v>5</v>
      </c>
      <c r="C52">
        <f t="shared" si="7"/>
        <v>54</v>
      </c>
      <c r="D52">
        <f t="shared" si="1"/>
        <v>5</v>
      </c>
      <c r="E52">
        <f>[1]model_point!$C$2+D52-1</f>
        <v>9</v>
      </c>
      <c r="F52">
        <f>VLOOKUP(E52,'[1]202512 BE mortality'!$A:$C,3,0)</f>
        <v>4.6243394137694353E-3</v>
      </c>
      <c r="G52">
        <f>VLOOKUP(D52,'[1]202512 BE lapse'!$C:$D,2,0)</f>
        <v>9.718511533450087E-3</v>
      </c>
      <c r="H52">
        <f>VLOOKUP($B52,'[1]202512 RFR'!$A:$B,2,0)</f>
        <v>0.01</v>
      </c>
      <c r="I52">
        <f t="shared" si="8"/>
        <v>1.9074736250408328</v>
      </c>
      <c r="J52">
        <f t="shared" si="9"/>
        <v>7.3691428933865685E-4</v>
      </c>
      <c r="K52">
        <f t="shared" si="10"/>
        <v>0</v>
      </c>
      <c r="L52">
        <f t="shared" si="2"/>
        <v>0.96018383539458096</v>
      </c>
      <c r="M52">
        <f>IF(AND(MOD(C52,12)=1,D52&lt;='[1]Product parameters'!$C$2),I51*[1]model_point!$G$2,0)</f>
        <v>0</v>
      </c>
      <c r="N52">
        <f t="shared" si="3"/>
        <v>0</v>
      </c>
      <c r="O52">
        <f>[2]results_sample_product_cf!G51</f>
        <v>0</v>
      </c>
      <c r="P52">
        <f>[2]results_sample_product_cf!H51</f>
        <v>0</v>
      </c>
      <c r="Q52">
        <f t="shared" si="4"/>
        <v>0</v>
      </c>
      <c r="R52">
        <f t="shared" si="0"/>
        <v>0</v>
      </c>
    </row>
    <row r="53" spans="1:18" x14ac:dyDescent="0.3">
      <c r="A53">
        <f t="shared" si="5"/>
        <v>50</v>
      </c>
      <c r="B53">
        <f t="shared" si="6"/>
        <v>5</v>
      </c>
      <c r="C53">
        <f t="shared" si="7"/>
        <v>55</v>
      </c>
      <c r="D53">
        <f t="shared" si="1"/>
        <v>5</v>
      </c>
      <c r="E53">
        <f>[1]model_point!$C$2+D53-1</f>
        <v>9</v>
      </c>
      <c r="F53">
        <f>VLOOKUP(E53,'[1]202512 BE mortality'!$A:$C,3,0)</f>
        <v>4.6243394137694353E-3</v>
      </c>
      <c r="G53">
        <f>VLOOKUP(D53,'[1]202512 BE lapse'!$C:$D,2,0)</f>
        <v>9.718511533450087E-3</v>
      </c>
      <c r="H53">
        <f>VLOOKUP($B53,'[1]202512 RFR'!$A:$B,2,0)</f>
        <v>0.01</v>
      </c>
      <c r="I53">
        <f t="shared" si="8"/>
        <v>1.9067369953336504</v>
      </c>
      <c r="J53">
        <f t="shared" si="9"/>
        <v>7.3662970718242258E-4</v>
      </c>
      <c r="K53">
        <f t="shared" si="10"/>
        <v>0</v>
      </c>
      <c r="L53">
        <f t="shared" si="2"/>
        <v>0.9593879864933389</v>
      </c>
      <c r="M53">
        <f>IF(AND(MOD(C53,12)=1,D53&lt;='[1]Product parameters'!$C$2),I52*[1]model_point!$G$2,0)</f>
        <v>0</v>
      </c>
      <c r="N53">
        <f t="shared" si="3"/>
        <v>0</v>
      </c>
      <c r="O53">
        <f>[2]results_sample_product_cf!G52</f>
        <v>0</v>
      </c>
      <c r="P53">
        <f>[2]results_sample_product_cf!H52</f>
        <v>0</v>
      </c>
      <c r="Q53">
        <f t="shared" si="4"/>
        <v>0</v>
      </c>
      <c r="R53">
        <f t="shared" si="0"/>
        <v>0</v>
      </c>
    </row>
    <row r="54" spans="1:18" x14ac:dyDescent="0.3">
      <c r="A54">
        <f t="shared" si="5"/>
        <v>51</v>
      </c>
      <c r="B54">
        <f t="shared" si="6"/>
        <v>5</v>
      </c>
      <c r="C54">
        <f t="shared" si="7"/>
        <v>56</v>
      </c>
      <c r="D54">
        <f t="shared" si="1"/>
        <v>5</v>
      </c>
      <c r="E54">
        <f>[1]model_point!$C$2+D54-1</f>
        <v>9</v>
      </c>
      <c r="F54">
        <f>VLOOKUP(E54,'[1]202512 BE mortality'!$A:$C,3,0)</f>
        <v>4.6243394137694353E-3</v>
      </c>
      <c r="G54">
        <f>VLOOKUP(D54,'[1]202512 BE lapse'!$C:$D,2,0)</f>
        <v>9.718511533450087E-3</v>
      </c>
      <c r="H54">
        <f>VLOOKUP($B54,'[1]202512 RFR'!$A:$B,2,0)</f>
        <v>0.01</v>
      </c>
      <c r="I54">
        <f t="shared" si="8"/>
        <v>1.9060006500987241</v>
      </c>
      <c r="J54">
        <f t="shared" si="9"/>
        <v>7.3634523492635562E-4</v>
      </c>
      <c r="K54">
        <f t="shared" si="10"/>
        <v>0</v>
      </c>
      <c r="L54">
        <f t="shared" si="2"/>
        <v>0.95859279723189739</v>
      </c>
      <c r="M54">
        <f>IF(AND(MOD(C54,12)=1,D54&lt;='[1]Product parameters'!$C$2),I53*[1]model_point!$G$2,0)</f>
        <v>0</v>
      </c>
      <c r="N54">
        <f t="shared" si="3"/>
        <v>0</v>
      </c>
      <c r="O54">
        <f>[2]results_sample_product_cf!G53</f>
        <v>0</v>
      </c>
      <c r="P54">
        <f>[2]results_sample_product_cf!H53</f>
        <v>0</v>
      </c>
      <c r="Q54">
        <f t="shared" si="4"/>
        <v>0</v>
      </c>
      <c r="R54">
        <f t="shared" si="0"/>
        <v>0</v>
      </c>
    </row>
    <row r="55" spans="1:18" x14ac:dyDescent="0.3">
      <c r="A55">
        <f t="shared" si="5"/>
        <v>52</v>
      </c>
      <c r="B55">
        <f t="shared" si="6"/>
        <v>5</v>
      </c>
      <c r="C55">
        <f t="shared" si="7"/>
        <v>57</v>
      </c>
      <c r="D55">
        <f t="shared" si="1"/>
        <v>5</v>
      </c>
      <c r="E55">
        <f>[1]model_point!$C$2+D55-1</f>
        <v>9</v>
      </c>
      <c r="F55">
        <f>VLOOKUP(E55,'[1]202512 BE mortality'!$A:$C,3,0)</f>
        <v>4.6243394137694353E-3</v>
      </c>
      <c r="G55">
        <f>VLOOKUP(D55,'[1]202512 BE lapse'!$C:$D,2,0)</f>
        <v>9.718511533450087E-3</v>
      </c>
      <c r="H55">
        <f>VLOOKUP($B55,'[1]202512 RFR'!$A:$B,2,0)</f>
        <v>0.01</v>
      </c>
      <c r="I55">
        <f t="shared" si="8"/>
        <v>1.9052645892261961</v>
      </c>
      <c r="J55">
        <f t="shared" si="9"/>
        <v>7.3606087252801454E-4</v>
      </c>
      <c r="K55">
        <f t="shared" si="10"/>
        <v>0</v>
      </c>
      <c r="L55">
        <f t="shared" si="2"/>
        <v>0.95779826706351345</v>
      </c>
      <c r="M55">
        <f>IF(AND(MOD(C55,12)=1,D55&lt;='[1]Product parameters'!$C$2),I54*[1]model_point!$G$2,0)</f>
        <v>0</v>
      </c>
      <c r="N55">
        <f t="shared" si="3"/>
        <v>0</v>
      </c>
      <c r="O55">
        <f>[2]results_sample_product_cf!G54</f>
        <v>0</v>
      </c>
      <c r="P55">
        <f>[2]results_sample_product_cf!H54</f>
        <v>0</v>
      </c>
      <c r="Q55">
        <f t="shared" si="4"/>
        <v>0</v>
      </c>
      <c r="R55">
        <f t="shared" si="0"/>
        <v>0</v>
      </c>
    </row>
    <row r="56" spans="1:18" x14ac:dyDescent="0.3">
      <c r="A56">
        <f t="shared" si="5"/>
        <v>53</v>
      </c>
      <c r="B56">
        <f t="shared" si="6"/>
        <v>5</v>
      </c>
      <c r="C56">
        <f t="shared" si="7"/>
        <v>58</v>
      </c>
      <c r="D56">
        <f t="shared" si="1"/>
        <v>5</v>
      </c>
      <c r="E56">
        <f>[1]model_point!$C$2+D56-1</f>
        <v>9</v>
      </c>
      <c r="F56">
        <f>VLOOKUP(E56,'[1]202512 BE mortality'!$A:$C,3,0)</f>
        <v>4.6243394137694353E-3</v>
      </c>
      <c r="G56">
        <f>VLOOKUP(D56,'[1]202512 BE lapse'!$C:$D,2,0)</f>
        <v>9.718511533450087E-3</v>
      </c>
      <c r="H56">
        <f>VLOOKUP($B56,'[1]202512 RFR'!$A:$B,2,0)</f>
        <v>0.01</v>
      </c>
      <c r="I56">
        <f t="shared" si="8"/>
        <v>1.9045288126062512</v>
      </c>
      <c r="J56">
        <f t="shared" si="9"/>
        <v>7.3577661994497442E-4</v>
      </c>
      <c r="K56">
        <f t="shared" si="10"/>
        <v>0</v>
      </c>
      <c r="L56">
        <f t="shared" si="2"/>
        <v>0.95700439544189764</v>
      </c>
      <c r="M56">
        <f>IF(AND(MOD(C56,12)=1,D56&lt;='[1]Product parameters'!$C$2),I55*[1]model_point!$G$2,0)</f>
        <v>0</v>
      </c>
      <c r="N56">
        <f t="shared" si="3"/>
        <v>0</v>
      </c>
      <c r="O56">
        <f>[2]results_sample_product_cf!G55</f>
        <v>0</v>
      </c>
      <c r="P56">
        <f>[2]results_sample_product_cf!H55</f>
        <v>0</v>
      </c>
      <c r="Q56">
        <f t="shared" si="4"/>
        <v>0</v>
      </c>
      <c r="R56">
        <f t="shared" si="0"/>
        <v>0</v>
      </c>
    </row>
    <row r="57" spans="1:18" x14ac:dyDescent="0.3">
      <c r="A57">
        <f t="shared" si="5"/>
        <v>54</v>
      </c>
      <c r="B57">
        <f t="shared" si="6"/>
        <v>5</v>
      </c>
      <c r="C57">
        <f t="shared" si="7"/>
        <v>59</v>
      </c>
      <c r="D57">
        <f t="shared" si="1"/>
        <v>5</v>
      </c>
      <c r="E57">
        <f>[1]model_point!$C$2+D57-1</f>
        <v>9</v>
      </c>
      <c r="F57">
        <f>VLOOKUP(E57,'[1]202512 BE mortality'!$A:$C,3,0)</f>
        <v>4.6243394137694353E-3</v>
      </c>
      <c r="G57">
        <f>VLOOKUP(D57,'[1]202512 BE lapse'!$C:$D,2,0)</f>
        <v>9.718511533450087E-3</v>
      </c>
      <c r="H57">
        <f>VLOOKUP($B57,'[1]202512 RFR'!$A:$B,2,0)</f>
        <v>0.01</v>
      </c>
      <c r="I57">
        <f t="shared" si="8"/>
        <v>1.9037933201291164</v>
      </c>
      <c r="J57">
        <f t="shared" si="9"/>
        <v>7.3549247713482679E-4</v>
      </c>
      <c r="K57">
        <f t="shared" si="10"/>
        <v>0</v>
      </c>
      <c r="L57">
        <f t="shared" si="2"/>
        <v>0.95621118182121301</v>
      </c>
      <c r="M57">
        <f>IF(AND(MOD(C57,12)=1,D57&lt;='[1]Product parameters'!$C$2),I56*[1]model_point!$G$2,0)</f>
        <v>0</v>
      </c>
      <c r="N57">
        <f t="shared" si="3"/>
        <v>0</v>
      </c>
      <c r="O57">
        <f>[2]results_sample_product_cf!G56</f>
        <v>0</v>
      </c>
      <c r="P57">
        <f>[2]results_sample_product_cf!H56</f>
        <v>0</v>
      </c>
      <c r="Q57">
        <f t="shared" si="4"/>
        <v>0</v>
      </c>
      <c r="R57">
        <f t="shared" si="0"/>
        <v>0</v>
      </c>
    </row>
    <row r="58" spans="1:18" x14ac:dyDescent="0.3">
      <c r="A58">
        <f t="shared" si="5"/>
        <v>55</v>
      </c>
      <c r="B58">
        <f t="shared" si="6"/>
        <v>5</v>
      </c>
      <c r="C58">
        <f t="shared" si="7"/>
        <v>60</v>
      </c>
      <c r="D58">
        <f t="shared" si="1"/>
        <v>5</v>
      </c>
      <c r="E58">
        <f>[1]model_point!$C$2+D58-1</f>
        <v>9</v>
      </c>
      <c r="F58">
        <f>VLOOKUP(E58,'[1]202512 BE mortality'!$A:$C,3,0)</f>
        <v>4.6243394137694353E-3</v>
      </c>
      <c r="G58">
        <f>VLOOKUP(D58,'[1]202512 BE lapse'!$C:$D,2,0)</f>
        <v>9.718511533450087E-3</v>
      </c>
      <c r="H58">
        <f>VLOOKUP($B58,'[1]202512 RFR'!$A:$B,2,0)</f>
        <v>0.01</v>
      </c>
      <c r="I58">
        <f t="shared" si="8"/>
        <v>1.8845632194778241</v>
      </c>
      <c r="J58">
        <f t="shared" si="9"/>
        <v>7.3520844405517924E-4</v>
      </c>
      <c r="K58">
        <f t="shared" si="10"/>
        <v>1.8494892207237011E-2</v>
      </c>
      <c r="L58">
        <f t="shared" si="2"/>
        <v>0.95541862565607505</v>
      </c>
      <c r="M58">
        <f>IF(AND(MOD(C58,12)=1,D58&lt;='[1]Product parameters'!$C$2),I57*[1]model_point!$G$2,0)</f>
        <v>0</v>
      </c>
      <c r="N58">
        <f t="shared" si="3"/>
        <v>0</v>
      </c>
      <c r="O58">
        <f>[2]results_sample_product_cf!G57</f>
        <v>0</v>
      </c>
      <c r="P58">
        <f>[2]results_sample_product_cf!H57</f>
        <v>0</v>
      </c>
      <c r="Q58">
        <f t="shared" si="4"/>
        <v>0</v>
      </c>
      <c r="R58">
        <f t="shared" si="0"/>
        <v>0</v>
      </c>
    </row>
    <row r="59" spans="1:18" x14ac:dyDescent="0.3">
      <c r="A59">
        <f t="shared" si="5"/>
        <v>56</v>
      </c>
      <c r="B59">
        <f t="shared" si="6"/>
        <v>5</v>
      </c>
      <c r="C59">
        <f t="shared" si="7"/>
        <v>61</v>
      </c>
      <c r="D59">
        <f t="shared" si="1"/>
        <v>6</v>
      </c>
      <c r="E59">
        <f>[1]model_point!$C$2+D59-1</f>
        <v>10</v>
      </c>
      <c r="F59">
        <f>VLOOKUP(E59,'[1]202512 BE mortality'!$A:$C,3,0)</f>
        <v>2.4193608315434944E-3</v>
      </c>
      <c r="G59">
        <f>VLOOKUP(D59,'[1]202512 BE lapse'!$C:$D,2,0)</f>
        <v>3.7923290135600017E-3</v>
      </c>
      <c r="H59">
        <f>VLOOKUP($B59,'[1]202512 RFR'!$A:$B,2,0)</f>
        <v>0.01</v>
      </c>
      <c r="I59">
        <f t="shared" si="8"/>
        <v>1.88418284430217</v>
      </c>
      <c r="J59">
        <f t="shared" si="9"/>
        <v>3.8037517565411611E-4</v>
      </c>
      <c r="K59">
        <f t="shared" si="10"/>
        <v>0</v>
      </c>
      <c r="L59">
        <f t="shared" si="2"/>
        <v>0.95462672640155144</v>
      </c>
      <c r="M59">
        <f>IF(AND(MOD(C59,12)=1,D59&lt;='[1]Product parameters'!$C$2),I58*[1]model_point!$G$2,0)</f>
        <v>0</v>
      </c>
      <c r="N59">
        <f t="shared" si="3"/>
        <v>0</v>
      </c>
      <c r="O59">
        <f>[2]results_sample_product_cf!G58</f>
        <v>0</v>
      </c>
      <c r="P59">
        <f>[2]results_sample_product_cf!H58</f>
        <v>0</v>
      </c>
      <c r="Q59">
        <f t="shared" si="4"/>
        <v>0</v>
      </c>
      <c r="R59">
        <f t="shared" si="0"/>
        <v>0</v>
      </c>
    </row>
    <row r="60" spans="1:18" x14ac:dyDescent="0.3">
      <c r="A60">
        <f t="shared" si="5"/>
        <v>57</v>
      </c>
      <c r="B60">
        <f t="shared" si="6"/>
        <v>5</v>
      </c>
      <c r="C60">
        <f t="shared" si="7"/>
        <v>62</v>
      </c>
      <c r="D60">
        <f t="shared" si="1"/>
        <v>6</v>
      </c>
      <c r="E60">
        <f>[1]model_point!$C$2+D60-1</f>
        <v>10</v>
      </c>
      <c r="F60">
        <f>VLOOKUP(E60,'[1]202512 BE mortality'!$A:$C,3,0)</f>
        <v>2.4193608315434944E-3</v>
      </c>
      <c r="G60">
        <f>VLOOKUP(D60,'[1]202512 BE lapse'!$C:$D,2,0)</f>
        <v>3.7923290135600017E-3</v>
      </c>
      <c r="H60">
        <f>VLOOKUP($B60,'[1]202512 RFR'!$A:$B,2,0)</f>
        <v>0.01</v>
      </c>
      <c r="I60">
        <f t="shared" si="8"/>
        <v>1.8838025459004191</v>
      </c>
      <c r="J60">
        <f t="shared" si="9"/>
        <v>3.8029840175088028E-4</v>
      </c>
      <c r="K60">
        <f t="shared" si="10"/>
        <v>0</v>
      </c>
      <c r="L60">
        <f t="shared" si="2"/>
        <v>0.9538354835131615</v>
      </c>
      <c r="M60">
        <f>IF(AND(MOD(C60,12)=1,D60&lt;='[1]Product parameters'!$C$2),I59*[1]model_point!$G$2,0)</f>
        <v>0</v>
      </c>
      <c r="N60">
        <f t="shared" si="3"/>
        <v>0</v>
      </c>
      <c r="O60">
        <f>[2]results_sample_product_cf!G59</f>
        <v>0</v>
      </c>
      <c r="P60">
        <f>[2]results_sample_product_cf!H59</f>
        <v>0</v>
      </c>
      <c r="Q60">
        <f t="shared" si="4"/>
        <v>0</v>
      </c>
      <c r="R60">
        <f t="shared" si="0"/>
        <v>0</v>
      </c>
    </row>
    <row r="61" spans="1:18" x14ac:dyDescent="0.3">
      <c r="A61">
        <f t="shared" si="5"/>
        <v>58</v>
      </c>
      <c r="B61">
        <f t="shared" si="6"/>
        <v>5</v>
      </c>
      <c r="C61">
        <f t="shared" si="7"/>
        <v>63</v>
      </c>
      <c r="D61">
        <f t="shared" si="1"/>
        <v>6</v>
      </c>
      <c r="E61">
        <f>[1]model_point!$C$2+D61-1</f>
        <v>10</v>
      </c>
      <c r="F61">
        <f>VLOOKUP(E61,'[1]202512 BE mortality'!$A:$C,3,0)</f>
        <v>2.4193608315434944E-3</v>
      </c>
      <c r="G61">
        <f>VLOOKUP(D61,'[1]202512 BE lapse'!$C:$D,2,0)</f>
        <v>3.7923290135600017E-3</v>
      </c>
      <c r="H61">
        <f>VLOOKUP($B61,'[1]202512 RFR'!$A:$B,2,0)</f>
        <v>0.01</v>
      </c>
      <c r="I61">
        <f t="shared" si="8"/>
        <v>1.8834223242570756</v>
      </c>
      <c r="J61">
        <f t="shared" si="9"/>
        <v>3.8022164334348285E-4</v>
      </c>
      <c r="K61">
        <f t="shared" si="10"/>
        <v>0</v>
      </c>
      <c r="L61">
        <f t="shared" si="2"/>
        <v>0.95304489644687573</v>
      </c>
      <c r="M61">
        <f>IF(AND(MOD(C61,12)=1,D61&lt;='[1]Product parameters'!$C$2),I60*[1]model_point!$G$2,0)</f>
        <v>0</v>
      </c>
      <c r="N61">
        <f t="shared" si="3"/>
        <v>0</v>
      </c>
      <c r="O61">
        <f>[2]results_sample_product_cf!G60</f>
        <v>0</v>
      </c>
      <c r="P61">
        <f>[2]results_sample_product_cf!H60</f>
        <v>0</v>
      </c>
      <c r="Q61">
        <f t="shared" si="4"/>
        <v>0</v>
      </c>
      <c r="R61">
        <f t="shared" si="0"/>
        <v>0</v>
      </c>
    </row>
    <row r="62" spans="1:18" x14ac:dyDescent="0.3">
      <c r="A62">
        <f t="shared" si="5"/>
        <v>59</v>
      </c>
      <c r="B62">
        <f t="shared" si="6"/>
        <v>5</v>
      </c>
      <c r="C62">
        <f t="shared" si="7"/>
        <v>64</v>
      </c>
      <c r="D62">
        <f t="shared" si="1"/>
        <v>6</v>
      </c>
      <c r="E62">
        <f>[1]model_point!$C$2+D62-1</f>
        <v>10</v>
      </c>
      <c r="F62">
        <f>VLOOKUP(E62,'[1]202512 BE mortality'!$A:$C,3,0)</f>
        <v>2.4193608315434944E-3</v>
      </c>
      <c r="G62">
        <f>VLOOKUP(D62,'[1]202512 BE lapse'!$C:$D,2,0)</f>
        <v>3.7923290135600017E-3</v>
      </c>
      <c r="H62">
        <f>VLOOKUP($B62,'[1]202512 RFR'!$A:$B,2,0)</f>
        <v>0.01</v>
      </c>
      <c r="I62">
        <f t="shared" si="8"/>
        <v>1.8830421793566468</v>
      </c>
      <c r="J62">
        <f t="shared" si="9"/>
        <v>3.8014490042879604E-4</v>
      </c>
      <c r="K62">
        <f t="shared" si="10"/>
        <v>0</v>
      </c>
      <c r="L62">
        <f t="shared" si="2"/>
        <v>0.95225496465911563</v>
      </c>
      <c r="M62">
        <f>IF(AND(MOD(C62,12)=1,D62&lt;='[1]Product parameters'!$C$2),I61*[1]model_point!$G$2,0)</f>
        <v>0</v>
      </c>
      <c r="N62">
        <f t="shared" si="3"/>
        <v>0</v>
      </c>
      <c r="O62">
        <f>[2]results_sample_product_cf!G61</f>
        <v>0</v>
      </c>
      <c r="P62">
        <f>[2]results_sample_product_cf!H61</f>
        <v>0</v>
      </c>
      <c r="Q62">
        <f t="shared" si="4"/>
        <v>0</v>
      </c>
      <c r="R62">
        <f t="shared" si="0"/>
        <v>0</v>
      </c>
    </row>
    <row r="63" spans="1:18" x14ac:dyDescent="0.3">
      <c r="A63">
        <f t="shared" si="5"/>
        <v>60</v>
      </c>
      <c r="B63">
        <f t="shared" si="6"/>
        <v>5</v>
      </c>
      <c r="C63">
        <f t="shared" si="7"/>
        <v>65</v>
      </c>
      <c r="D63">
        <f t="shared" si="1"/>
        <v>6</v>
      </c>
      <c r="E63">
        <f>[1]model_point!$C$2+D63-1</f>
        <v>10</v>
      </c>
      <c r="F63">
        <f>VLOOKUP(E63,'[1]202512 BE mortality'!$A:$C,3,0)</f>
        <v>2.4193608315434944E-3</v>
      </c>
      <c r="G63">
        <f>VLOOKUP(D63,'[1]202512 BE lapse'!$C:$D,2,0)</f>
        <v>3.7923290135600017E-3</v>
      </c>
      <c r="H63">
        <f>VLOOKUP($B63,'[1]202512 RFR'!$A:$B,2,0)</f>
        <v>0.01</v>
      </c>
      <c r="I63">
        <f t="shared" si="8"/>
        <v>1.882662111183643</v>
      </c>
      <c r="J63">
        <f t="shared" si="9"/>
        <v>3.8006817300369287E-4</v>
      </c>
      <c r="K63">
        <f t="shared" si="10"/>
        <v>0</v>
      </c>
      <c r="L63">
        <f t="shared" si="2"/>
        <v>0.95146568760675321</v>
      </c>
      <c r="M63">
        <f>IF(AND(MOD(C63,12)=1,D63&lt;='[1]Product parameters'!$C$2),I62*[1]model_point!$G$2,0)</f>
        <v>0</v>
      </c>
      <c r="N63">
        <f t="shared" si="3"/>
        <v>0</v>
      </c>
      <c r="O63">
        <f>[2]results_sample_product_cf!G62</f>
        <v>0</v>
      </c>
      <c r="P63">
        <f>[2]results_sample_product_cf!H62</f>
        <v>0</v>
      </c>
      <c r="Q63">
        <f t="shared" si="4"/>
        <v>0</v>
      </c>
      <c r="R63">
        <f t="shared" si="0"/>
        <v>0</v>
      </c>
    </row>
    <row r="64" spans="1:18" x14ac:dyDescent="0.3">
      <c r="A64">
        <f t="shared" si="5"/>
        <v>61</v>
      </c>
      <c r="B64">
        <f t="shared" si="6"/>
        <v>6</v>
      </c>
      <c r="C64">
        <f t="shared" si="7"/>
        <v>66</v>
      </c>
      <c r="D64">
        <f t="shared" si="1"/>
        <v>6</v>
      </c>
      <c r="E64">
        <f>[1]model_point!$C$2+D64-1</f>
        <v>10</v>
      </c>
      <c r="F64">
        <f>VLOOKUP(E64,'[1]202512 BE mortality'!$A:$C,3,0)</f>
        <v>2.4193608315434944E-3</v>
      </c>
      <c r="G64">
        <f>VLOOKUP(D64,'[1]202512 BE lapse'!$C:$D,2,0)</f>
        <v>3.7923290135600017E-3</v>
      </c>
      <c r="H64">
        <f>VLOOKUP($B64,'[1]202512 RFR'!$A:$B,2,0)</f>
        <v>0.01</v>
      </c>
      <c r="I64">
        <f t="shared" si="8"/>
        <v>1.8822821197225779</v>
      </c>
      <c r="J64">
        <f t="shared" si="9"/>
        <v>3.7999146106504702E-4</v>
      </c>
      <c r="K64">
        <f t="shared" si="10"/>
        <v>0</v>
      </c>
      <c r="L64">
        <f t="shared" si="2"/>
        <v>0.95067706474711078</v>
      </c>
      <c r="M64">
        <f>IF(AND(MOD(C64,12)=1,D64&lt;='[1]Product parameters'!$C$2),I63*[1]model_point!$G$2,0)</f>
        <v>0</v>
      </c>
      <c r="N64">
        <f t="shared" si="3"/>
        <v>0</v>
      </c>
      <c r="O64">
        <f>[2]results_sample_product_cf!G63</f>
        <v>0</v>
      </c>
      <c r="P64">
        <f>[2]results_sample_product_cf!H63</f>
        <v>0</v>
      </c>
      <c r="Q64">
        <f t="shared" si="4"/>
        <v>0</v>
      </c>
      <c r="R64">
        <f t="shared" si="0"/>
        <v>0</v>
      </c>
    </row>
    <row r="65" spans="1:18" x14ac:dyDescent="0.3">
      <c r="A65">
        <f t="shared" si="5"/>
        <v>62</v>
      </c>
      <c r="B65">
        <f t="shared" si="6"/>
        <v>6</v>
      </c>
      <c r="C65">
        <f t="shared" si="7"/>
        <v>67</v>
      </c>
      <c r="D65">
        <f t="shared" si="1"/>
        <v>6</v>
      </c>
      <c r="E65">
        <f>[1]model_point!$C$2+D65-1</f>
        <v>10</v>
      </c>
      <c r="F65">
        <f>VLOOKUP(E65,'[1]202512 BE mortality'!$A:$C,3,0)</f>
        <v>2.4193608315434944E-3</v>
      </c>
      <c r="G65">
        <f>VLOOKUP(D65,'[1]202512 BE lapse'!$C:$D,2,0)</f>
        <v>3.7923290135600017E-3</v>
      </c>
      <c r="H65">
        <f>VLOOKUP($B65,'[1]202512 RFR'!$A:$B,2,0)</f>
        <v>0.01</v>
      </c>
      <c r="I65">
        <f t="shared" si="8"/>
        <v>1.8819022049579681</v>
      </c>
      <c r="J65">
        <f t="shared" si="9"/>
        <v>3.799147646097327E-4</v>
      </c>
      <c r="K65">
        <f t="shared" si="10"/>
        <v>0</v>
      </c>
      <c r="L65">
        <f t="shared" si="2"/>
        <v>0.94988909553796019</v>
      </c>
      <c r="M65">
        <f>IF(AND(MOD(C65,12)=1,D65&lt;='[1]Product parameters'!$C$2),I64*[1]model_point!$G$2,0)</f>
        <v>0</v>
      </c>
      <c r="N65">
        <f t="shared" si="3"/>
        <v>0</v>
      </c>
      <c r="O65">
        <f>[2]results_sample_product_cf!G64</f>
        <v>0</v>
      </c>
      <c r="P65">
        <f>[2]results_sample_product_cf!H64</f>
        <v>0</v>
      </c>
      <c r="Q65">
        <f t="shared" si="4"/>
        <v>0</v>
      </c>
      <c r="R65">
        <f t="shared" si="0"/>
        <v>0</v>
      </c>
    </row>
    <row r="66" spans="1:18" x14ac:dyDescent="0.3">
      <c r="A66">
        <f t="shared" si="5"/>
        <v>63</v>
      </c>
      <c r="B66">
        <f t="shared" si="6"/>
        <v>6</v>
      </c>
      <c r="C66">
        <f t="shared" si="7"/>
        <v>68</v>
      </c>
      <c r="D66">
        <f t="shared" si="1"/>
        <v>6</v>
      </c>
      <c r="E66">
        <f>[1]model_point!$C$2+D66-1</f>
        <v>10</v>
      </c>
      <c r="F66">
        <f>VLOOKUP(E66,'[1]202512 BE mortality'!$A:$C,3,0)</f>
        <v>2.4193608315434944E-3</v>
      </c>
      <c r="G66">
        <f>VLOOKUP(D66,'[1]202512 BE lapse'!$C:$D,2,0)</f>
        <v>3.7923290135600017E-3</v>
      </c>
      <c r="H66">
        <f>VLOOKUP($B66,'[1]202512 RFR'!$A:$B,2,0)</f>
        <v>0.01</v>
      </c>
      <c r="I66">
        <f t="shared" si="8"/>
        <v>1.8815223668743335</v>
      </c>
      <c r="J66">
        <f t="shared" si="9"/>
        <v>3.798380836346248E-4</v>
      </c>
      <c r="K66">
        <f t="shared" si="10"/>
        <v>0</v>
      </c>
      <c r="L66">
        <f t="shared" si="2"/>
        <v>0.94910177943752305</v>
      </c>
      <c r="M66">
        <f>IF(AND(MOD(C66,12)=1,D66&lt;='[1]Product parameters'!$C$2),I65*[1]model_point!$G$2,0)</f>
        <v>0</v>
      </c>
      <c r="N66">
        <f t="shared" si="3"/>
        <v>0</v>
      </c>
      <c r="O66">
        <f>[2]results_sample_product_cf!G65</f>
        <v>0</v>
      </c>
      <c r="P66">
        <f>[2]results_sample_product_cf!H65</f>
        <v>0</v>
      </c>
      <c r="Q66">
        <f t="shared" si="4"/>
        <v>0</v>
      </c>
      <c r="R66">
        <f t="shared" si="0"/>
        <v>0</v>
      </c>
    </row>
    <row r="67" spans="1:18" x14ac:dyDescent="0.3">
      <c r="A67">
        <f t="shared" si="5"/>
        <v>64</v>
      </c>
      <c r="B67">
        <f t="shared" si="6"/>
        <v>6</v>
      </c>
      <c r="C67">
        <f t="shared" si="7"/>
        <v>69</v>
      </c>
      <c r="D67">
        <f t="shared" si="1"/>
        <v>6</v>
      </c>
      <c r="E67">
        <f>[1]model_point!$C$2+D67-1</f>
        <v>10</v>
      </c>
      <c r="F67">
        <f>VLOOKUP(E67,'[1]202512 BE mortality'!$A:$C,3,0)</f>
        <v>2.4193608315434944E-3</v>
      </c>
      <c r="G67">
        <f>VLOOKUP(D67,'[1]202512 BE lapse'!$C:$D,2,0)</f>
        <v>3.7923290135600017E-3</v>
      </c>
      <c r="H67">
        <f>VLOOKUP($B67,'[1]202512 RFR'!$A:$B,2,0)</f>
        <v>0.01</v>
      </c>
      <c r="I67">
        <f t="shared" si="8"/>
        <v>1.8811426054561968</v>
      </c>
      <c r="J67">
        <f t="shared" si="9"/>
        <v>3.7976141813659886E-4</v>
      </c>
      <c r="K67">
        <f t="shared" si="10"/>
        <v>0</v>
      </c>
      <c r="L67">
        <f t="shared" si="2"/>
        <v>0.94831511590446971</v>
      </c>
      <c r="M67">
        <f>IF(AND(MOD(C67,12)=1,D67&lt;='[1]Product parameters'!$C$2),I66*[1]model_point!$G$2,0)</f>
        <v>0</v>
      </c>
      <c r="N67">
        <f t="shared" si="3"/>
        <v>0</v>
      </c>
      <c r="O67">
        <f>[2]results_sample_product_cf!G66</f>
        <v>0</v>
      </c>
      <c r="P67">
        <f>[2]results_sample_product_cf!H66</f>
        <v>0</v>
      </c>
      <c r="Q67">
        <f t="shared" si="4"/>
        <v>0</v>
      </c>
      <c r="R67">
        <f t="shared" ref="R67:R130" si="11">ROUND(N67-P67,6)</f>
        <v>0</v>
      </c>
    </row>
    <row r="68" spans="1:18" x14ac:dyDescent="0.3">
      <c r="A68">
        <f t="shared" si="5"/>
        <v>65</v>
      </c>
      <c r="B68">
        <f t="shared" si="6"/>
        <v>6</v>
      </c>
      <c r="C68">
        <f t="shared" si="7"/>
        <v>70</v>
      </c>
      <c r="D68">
        <f t="shared" ref="D68:D131" si="12">TRUNC((C68-1)/12,0)+1</f>
        <v>6</v>
      </c>
      <c r="E68">
        <f>[1]model_point!$C$2+D68-1</f>
        <v>10</v>
      </c>
      <c r="F68">
        <f>VLOOKUP(E68,'[1]202512 BE mortality'!$A:$C,3,0)</f>
        <v>2.4193608315434944E-3</v>
      </c>
      <c r="G68">
        <f>VLOOKUP(D68,'[1]202512 BE lapse'!$C:$D,2,0)</f>
        <v>3.7923290135600017E-3</v>
      </c>
      <c r="H68">
        <f>VLOOKUP($B68,'[1]202512 RFR'!$A:$B,2,0)</f>
        <v>0.01</v>
      </c>
      <c r="I68">
        <f t="shared" si="8"/>
        <v>1.8807629206880843</v>
      </c>
      <c r="J68">
        <f t="shared" si="9"/>
        <v>3.7968476811253097E-4</v>
      </c>
      <c r="K68">
        <f t="shared" si="10"/>
        <v>0</v>
      </c>
      <c r="L68">
        <f t="shared" ref="L68:L131" si="13">L67/(1+H68)^(1/12)</f>
        <v>0.94752910439791938</v>
      </c>
      <c r="M68">
        <f>IF(AND(MOD(C68,12)=1,D68&lt;='[1]Product parameters'!$C$2),I67*[1]model_point!$G$2,0)</f>
        <v>0</v>
      </c>
      <c r="N68">
        <f t="shared" ref="N68:N131" si="14">SUMPRODUCT(L68:L1267,M69:M1268)/L68</f>
        <v>0</v>
      </c>
      <c r="O68">
        <f>[2]results_sample_product_cf!G67</f>
        <v>0</v>
      </c>
      <c r="P68">
        <f>[2]results_sample_product_cf!H67</f>
        <v>0</v>
      </c>
      <c r="Q68">
        <f t="shared" ref="Q68:Q131" si="15">ROUND(M68-O68,6)</f>
        <v>0</v>
      </c>
      <c r="R68">
        <f t="shared" si="11"/>
        <v>0</v>
      </c>
    </row>
    <row r="69" spans="1:18" x14ac:dyDescent="0.3">
      <c r="A69">
        <f t="shared" ref="A69:A132" si="16">A68+1</f>
        <v>66</v>
      </c>
      <c r="B69">
        <f t="shared" ref="B69:B132" si="17">INT((A69-1)/12)+1</f>
        <v>6</v>
      </c>
      <c r="C69">
        <f t="shared" ref="C69:C132" si="18">C68+1</f>
        <v>71</v>
      </c>
      <c r="D69">
        <f t="shared" si="12"/>
        <v>6</v>
      </c>
      <c r="E69">
        <f>[1]model_point!$C$2+D69-1</f>
        <v>10</v>
      </c>
      <c r="F69">
        <f>VLOOKUP(E69,'[1]202512 BE mortality'!$A:$C,3,0)</f>
        <v>2.4193608315434944E-3</v>
      </c>
      <c r="G69">
        <f>VLOOKUP(D69,'[1]202512 BE lapse'!$C:$D,2,0)</f>
        <v>3.7923290135600017E-3</v>
      </c>
      <c r="H69">
        <f>VLOOKUP($B69,'[1]202512 RFR'!$A:$B,2,0)</f>
        <v>0.01</v>
      </c>
      <c r="I69">
        <f t="shared" ref="I69:I132" si="19">I68-J69-K69</f>
        <v>1.8803833125545251</v>
      </c>
      <c r="J69">
        <f t="shared" ref="J69:J132" si="20">I68*(1-(1-F69)^(1/12))</f>
        <v>3.7960813355929798E-4</v>
      </c>
      <c r="K69">
        <f t="shared" ref="K69:K132" si="21">(I68-J69)*IF(MOD(C69,12)=0,G69,0)</f>
        <v>0</v>
      </c>
      <c r="L69">
        <f t="shared" si="13"/>
        <v>0.94674374437743947</v>
      </c>
      <c r="M69">
        <f>IF(AND(MOD(C69,12)=1,D69&lt;='[1]Product parameters'!$C$2),I68*[1]model_point!$G$2,0)</f>
        <v>0</v>
      </c>
      <c r="N69">
        <f t="shared" si="14"/>
        <v>0</v>
      </c>
      <c r="O69">
        <f>[2]results_sample_product_cf!G68</f>
        <v>0</v>
      </c>
      <c r="P69">
        <f>[2]results_sample_product_cf!H68</f>
        <v>0</v>
      </c>
      <c r="Q69">
        <f t="shared" si="15"/>
        <v>0</v>
      </c>
      <c r="R69">
        <f t="shared" si="11"/>
        <v>0</v>
      </c>
    </row>
    <row r="70" spans="1:18" x14ac:dyDescent="0.3">
      <c r="A70">
        <f t="shared" si="16"/>
        <v>67</v>
      </c>
      <c r="B70">
        <f t="shared" si="17"/>
        <v>6</v>
      </c>
      <c r="C70">
        <f t="shared" si="18"/>
        <v>72</v>
      </c>
      <c r="D70">
        <f t="shared" si="12"/>
        <v>6</v>
      </c>
      <c r="E70">
        <f>[1]model_point!$C$2+D70-1</f>
        <v>10</v>
      </c>
      <c r="F70">
        <f>VLOOKUP(E70,'[1]202512 BE mortality'!$A:$C,3,0)</f>
        <v>2.4193608315434944E-3</v>
      </c>
      <c r="G70">
        <f>VLOOKUP(D70,'[1]202512 BE lapse'!$C:$D,2,0)</f>
        <v>3.7923290135600017E-3</v>
      </c>
      <c r="H70">
        <f>VLOOKUP($B70,'[1]202512 RFR'!$A:$B,2,0)</f>
        <v>0.01</v>
      </c>
      <c r="I70">
        <f t="shared" si="19"/>
        <v>1.8728741881556108</v>
      </c>
      <c r="J70">
        <f t="shared" si="20"/>
        <v>3.7953151447377728E-4</v>
      </c>
      <c r="K70">
        <f t="shared" si="21"/>
        <v>7.1295928844406914E-3</v>
      </c>
      <c r="L70">
        <f t="shared" si="13"/>
        <v>0.94595903530304548</v>
      </c>
      <c r="M70">
        <f>IF(AND(MOD(C70,12)=1,D70&lt;='[1]Product parameters'!$C$2),I69*[1]model_point!$G$2,0)</f>
        <v>0</v>
      </c>
      <c r="N70">
        <f t="shared" si="14"/>
        <v>0</v>
      </c>
      <c r="O70">
        <f>[2]results_sample_product_cf!G69</f>
        <v>0</v>
      </c>
      <c r="P70">
        <f>[2]results_sample_product_cf!H69</f>
        <v>0</v>
      </c>
      <c r="Q70">
        <f t="shared" si="15"/>
        <v>0</v>
      </c>
      <c r="R70">
        <f t="shared" si="11"/>
        <v>0</v>
      </c>
    </row>
    <row r="71" spans="1:18" x14ac:dyDescent="0.3">
      <c r="A71">
        <f t="shared" si="16"/>
        <v>68</v>
      </c>
      <c r="B71">
        <f t="shared" si="17"/>
        <v>6</v>
      </c>
      <c r="C71">
        <f t="shared" si="18"/>
        <v>73</v>
      </c>
      <c r="D71">
        <f t="shared" si="12"/>
        <v>7</v>
      </c>
      <c r="E71">
        <f>[1]model_point!$C$2+D71-1</f>
        <v>11</v>
      </c>
      <c r="F71">
        <f>VLOOKUP(E71,'[1]202512 BE mortality'!$A:$C,3,0)</f>
        <v>5.6123690547769446E-4</v>
      </c>
      <c r="G71">
        <f>VLOOKUP(D71,'[1]202512 BE lapse'!$C:$D,2,0)</f>
        <v>3.6842585108723294E-4</v>
      </c>
      <c r="H71">
        <f>VLOOKUP($B71,'[1]202512 RFR'!$A:$B,2,0)</f>
        <v>0.01</v>
      </c>
      <c r="I71">
        <f t="shared" si="19"/>
        <v>1.8727865717726413</v>
      </c>
      <c r="J71">
        <f t="shared" si="20"/>
        <v>8.7616382969536559E-5</v>
      </c>
      <c r="K71">
        <f t="shared" si="21"/>
        <v>0</v>
      </c>
      <c r="L71">
        <f t="shared" si="13"/>
        <v>0.94517497663520034</v>
      </c>
      <c r="M71">
        <f>IF(AND(MOD(C71,12)=1,D71&lt;='[1]Product parameters'!$C$2),I70*[1]model_point!$G$2,0)</f>
        <v>0</v>
      </c>
      <c r="N71">
        <f t="shared" si="14"/>
        <v>0</v>
      </c>
      <c r="O71">
        <f>[2]results_sample_product_cf!G70</f>
        <v>0</v>
      </c>
      <c r="P71">
        <f>[2]results_sample_product_cf!H70</f>
        <v>0</v>
      </c>
      <c r="Q71">
        <f t="shared" si="15"/>
        <v>0</v>
      </c>
      <c r="R71">
        <f t="shared" si="11"/>
        <v>0</v>
      </c>
    </row>
    <row r="72" spans="1:18" x14ac:dyDescent="0.3">
      <c r="A72">
        <f t="shared" si="16"/>
        <v>69</v>
      </c>
      <c r="B72">
        <f t="shared" si="17"/>
        <v>6</v>
      </c>
      <c r="C72">
        <f t="shared" si="18"/>
        <v>74</v>
      </c>
      <c r="D72">
        <f t="shared" si="12"/>
        <v>7</v>
      </c>
      <c r="E72">
        <f>[1]model_point!$C$2+D72-1</f>
        <v>11</v>
      </c>
      <c r="F72">
        <f>VLOOKUP(E72,'[1]202512 BE mortality'!$A:$C,3,0)</f>
        <v>5.6123690547769446E-4</v>
      </c>
      <c r="G72">
        <f>VLOOKUP(D72,'[1]202512 BE lapse'!$C:$D,2,0)</f>
        <v>3.6842585108723294E-4</v>
      </c>
      <c r="H72">
        <f>VLOOKUP($B72,'[1]202512 RFR'!$A:$B,2,0)</f>
        <v>0.01</v>
      </c>
      <c r="I72">
        <f t="shared" si="19"/>
        <v>1.8726989594885219</v>
      </c>
      <c r="J72">
        <f t="shared" si="20"/>
        <v>8.7612284119430552E-5</v>
      </c>
      <c r="K72">
        <f t="shared" si="21"/>
        <v>0</v>
      </c>
      <c r="L72">
        <f t="shared" si="13"/>
        <v>0.94439156783481426</v>
      </c>
      <c r="M72">
        <f>IF(AND(MOD(C72,12)=1,D72&lt;='[1]Product parameters'!$C$2),I71*[1]model_point!$G$2,0)</f>
        <v>0</v>
      </c>
      <c r="N72">
        <f t="shared" si="14"/>
        <v>0</v>
      </c>
      <c r="O72">
        <f>[2]results_sample_product_cf!G71</f>
        <v>0</v>
      </c>
      <c r="P72">
        <f>[2]results_sample_product_cf!H71</f>
        <v>0</v>
      </c>
      <c r="Q72">
        <f t="shared" si="15"/>
        <v>0</v>
      </c>
      <c r="R72">
        <f t="shared" si="11"/>
        <v>0</v>
      </c>
    </row>
    <row r="73" spans="1:18" x14ac:dyDescent="0.3">
      <c r="A73">
        <f t="shared" si="16"/>
        <v>70</v>
      </c>
      <c r="B73">
        <f t="shared" si="17"/>
        <v>6</v>
      </c>
      <c r="C73">
        <f t="shared" si="18"/>
        <v>75</v>
      </c>
      <c r="D73">
        <f t="shared" si="12"/>
        <v>7</v>
      </c>
      <c r="E73">
        <f>[1]model_point!$C$2+D73-1</f>
        <v>11</v>
      </c>
      <c r="F73">
        <f>VLOOKUP(E73,'[1]202512 BE mortality'!$A:$C,3,0)</f>
        <v>5.6123690547769446E-4</v>
      </c>
      <c r="G73">
        <f>VLOOKUP(D73,'[1]202512 BE lapse'!$C:$D,2,0)</f>
        <v>3.6842585108723294E-4</v>
      </c>
      <c r="H73">
        <f>VLOOKUP($B73,'[1]202512 RFR'!$A:$B,2,0)</f>
        <v>0.01</v>
      </c>
      <c r="I73">
        <f t="shared" si="19"/>
        <v>1.8726113513030609</v>
      </c>
      <c r="J73">
        <f t="shared" si="20"/>
        <v>8.760818546107604E-5</v>
      </c>
      <c r="K73">
        <f t="shared" si="21"/>
        <v>0</v>
      </c>
      <c r="L73">
        <f t="shared" si="13"/>
        <v>0.94360880836324423</v>
      </c>
      <c r="M73">
        <f>IF(AND(MOD(C73,12)=1,D73&lt;='[1]Product parameters'!$C$2),I72*[1]model_point!$G$2,0)</f>
        <v>0</v>
      </c>
      <c r="N73">
        <f t="shared" si="14"/>
        <v>0</v>
      </c>
      <c r="O73">
        <f>[2]results_sample_product_cf!G72</f>
        <v>0</v>
      </c>
      <c r="P73">
        <f>[2]results_sample_product_cf!H72</f>
        <v>0</v>
      </c>
      <c r="Q73">
        <f t="shared" si="15"/>
        <v>0</v>
      </c>
      <c r="R73">
        <f t="shared" si="11"/>
        <v>0</v>
      </c>
    </row>
    <row r="74" spans="1:18" x14ac:dyDescent="0.3">
      <c r="A74">
        <f t="shared" si="16"/>
        <v>71</v>
      </c>
      <c r="B74">
        <f t="shared" si="17"/>
        <v>6</v>
      </c>
      <c r="C74">
        <f t="shared" si="18"/>
        <v>76</v>
      </c>
      <c r="D74">
        <f t="shared" si="12"/>
        <v>7</v>
      </c>
      <c r="E74">
        <f>[1]model_point!$C$2+D74-1</f>
        <v>11</v>
      </c>
      <c r="F74">
        <f>VLOOKUP(E74,'[1]202512 BE mortality'!$A:$C,3,0)</f>
        <v>5.6123690547769446E-4</v>
      </c>
      <c r="G74">
        <f>VLOOKUP(D74,'[1]202512 BE lapse'!$C:$D,2,0)</f>
        <v>3.6842585108723294E-4</v>
      </c>
      <c r="H74">
        <f>VLOOKUP($B74,'[1]202512 RFR'!$A:$B,2,0)</f>
        <v>0.01</v>
      </c>
      <c r="I74">
        <f t="shared" si="19"/>
        <v>1.8725237472160665</v>
      </c>
      <c r="J74">
        <f t="shared" si="20"/>
        <v>8.7604086994464038E-5</v>
      </c>
      <c r="K74">
        <f t="shared" si="21"/>
        <v>0</v>
      </c>
      <c r="L74">
        <f t="shared" si="13"/>
        <v>0.94282669768229366</v>
      </c>
      <c r="M74">
        <f>IF(AND(MOD(C74,12)=1,D74&lt;='[1]Product parameters'!$C$2),I73*[1]model_point!$G$2,0)</f>
        <v>0</v>
      </c>
      <c r="N74">
        <f t="shared" si="14"/>
        <v>0</v>
      </c>
      <c r="O74">
        <f>[2]results_sample_product_cf!G73</f>
        <v>0</v>
      </c>
      <c r="P74">
        <f>[2]results_sample_product_cf!H73</f>
        <v>0</v>
      </c>
      <c r="Q74">
        <f t="shared" si="15"/>
        <v>0</v>
      </c>
      <c r="R74">
        <f t="shared" si="11"/>
        <v>0</v>
      </c>
    </row>
    <row r="75" spans="1:18" x14ac:dyDescent="0.3">
      <c r="A75">
        <f t="shared" si="16"/>
        <v>72</v>
      </c>
      <c r="B75">
        <f t="shared" si="17"/>
        <v>6</v>
      </c>
      <c r="C75">
        <f t="shared" si="18"/>
        <v>77</v>
      </c>
      <c r="D75">
        <f t="shared" si="12"/>
        <v>7</v>
      </c>
      <c r="E75">
        <f>[1]model_point!$C$2+D75-1</f>
        <v>11</v>
      </c>
      <c r="F75">
        <f>VLOOKUP(E75,'[1]202512 BE mortality'!$A:$C,3,0)</f>
        <v>5.6123690547769446E-4</v>
      </c>
      <c r="G75">
        <f>VLOOKUP(D75,'[1]202512 BE lapse'!$C:$D,2,0)</f>
        <v>3.6842585108723294E-4</v>
      </c>
      <c r="H75">
        <f>VLOOKUP($B75,'[1]202512 RFR'!$A:$B,2,0)</f>
        <v>0.01</v>
      </c>
      <c r="I75">
        <f t="shared" si="19"/>
        <v>1.872436147227347</v>
      </c>
      <c r="J75">
        <f t="shared" si="20"/>
        <v>8.7599988719585601E-5</v>
      </c>
      <c r="K75">
        <f t="shared" si="21"/>
        <v>0</v>
      </c>
      <c r="L75">
        <f t="shared" si="13"/>
        <v>0.94204523525421213</v>
      </c>
      <c r="M75">
        <f>IF(AND(MOD(C75,12)=1,D75&lt;='[1]Product parameters'!$C$2),I74*[1]model_point!$G$2,0)</f>
        <v>0</v>
      </c>
      <c r="N75">
        <f t="shared" si="14"/>
        <v>0</v>
      </c>
      <c r="O75">
        <f>[2]results_sample_product_cf!G74</f>
        <v>0</v>
      </c>
      <c r="P75">
        <f>[2]results_sample_product_cf!H74</f>
        <v>0</v>
      </c>
      <c r="Q75">
        <f t="shared" si="15"/>
        <v>0</v>
      </c>
      <c r="R75">
        <f t="shared" si="11"/>
        <v>0</v>
      </c>
    </row>
    <row r="76" spans="1:18" x14ac:dyDescent="0.3">
      <c r="A76">
        <f t="shared" si="16"/>
        <v>73</v>
      </c>
      <c r="B76">
        <f t="shared" si="17"/>
        <v>7</v>
      </c>
      <c r="C76">
        <f t="shared" si="18"/>
        <v>78</v>
      </c>
      <c r="D76">
        <f t="shared" si="12"/>
        <v>7</v>
      </c>
      <c r="E76">
        <f>[1]model_point!$C$2+D76-1</f>
        <v>11</v>
      </c>
      <c r="F76">
        <f>VLOOKUP(E76,'[1]202512 BE mortality'!$A:$C,3,0)</f>
        <v>5.6123690547769446E-4</v>
      </c>
      <c r="G76">
        <f>VLOOKUP(D76,'[1]202512 BE lapse'!$C:$D,2,0)</f>
        <v>3.6842585108723294E-4</v>
      </c>
      <c r="H76">
        <f>VLOOKUP($B76,'[1]202512 RFR'!$A:$B,2,0)</f>
        <v>0.01</v>
      </c>
      <c r="I76">
        <f t="shared" si="19"/>
        <v>1.8723485513367106</v>
      </c>
      <c r="J76">
        <f t="shared" si="20"/>
        <v>8.7595890636431743E-5</v>
      </c>
      <c r="K76">
        <f t="shared" si="21"/>
        <v>0</v>
      </c>
      <c r="L76">
        <f t="shared" si="13"/>
        <v>0.94126442054169479</v>
      </c>
      <c r="M76">
        <f>IF(AND(MOD(C76,12)=1,D76&lt;='[1]Product parameters'!$C$2),I75*[1]model_point!$G$2,0)</f>
        <v>0</v>
      </c>
      <c r="N76">
        <f t="shared" si="14"/>
        <v>0</v>
      </c>
      <c r="O76">
        <f>[2]results_sample_product_cf!G75</f>
        <v>0</v>
      </c>
      <c r="P76">
        <f>[2]results_sample_product_cf!H75</f>
        <v>0</v>
      </c>
      <c r="Q76">
        <f t="shared" si="15"/>
        <v>0</v>
      </c>
      <c r="R76">
        <f t="shared" si="11"/>
        <v>0</v>
      </c>
    </row>
    <row r="77" spans="1:18" x14ac:dyDescent="0.3">
      <c r="A77">
        <f t="shared" si="16"/>
        <v>74</v>
      </c>
      <c r="B77">
        <f t="shared" si="17"/>
        <v>7</v>
      </c>
      <c r="C77">
        <f t="shared" si="18"/>
        <v>79</v>
      </c>
      <c r="D77">
        <f t="shared" si="12"/>
        <v>7</v>
      </c>
      <c r="E77">
        <f>[1]model_point!$C$2+D77-1</f>
        <v>11</v>
      </c>
      <c r="F77">
        <f>VLOOKUP(E77,'[1]202512 BE mortality'!$A:$C,3,0)</f>
        <v>5.6123690547769446E-4</v>
      </c>
      <c r="G77">
        <f>VLOOKUP(D77,'[1]202512 BE lapse'!$C:$D,2,0)</f>
        <v>3.6842585108723294E-4</v>
      </c>
      <c r="H77">
        <f>VLOOKUP($B77,'[1]202512 RFR'!$A:$B,2,0)</f>
        <v>0.01</v>
      </c>
      <c r="I77">
        <f t="shared" si="19"/>
        <v>1.8722609595439657</v>
      </c>
      <c r="J77">
        <f t="shared" si="20"/>
        <v>8.7591792744993506E-5</v>
      </c>
      <c r="K77">
        <f t="shared" si="21"/>
        <v>0</v>
      </c>
      <c r="L77">
        <f t="shared" si="13"/>
        <v>0.94048425300788241</v>
      </c>
      <c r="M77">
        <f>IF(AND(MOD(C77,12)=1,D77&lt;='[1]Product parameters'!$C$2),I76*[1]model_point!$G$2,0)</f>
        <v>0</v>
      </c>
      <c r="N77">
        <f t="shared" si="14"/>
        <v>0</v>
      </c>
      <c r="O77">
        <f>[2]results_sample_product_cf!G76</f>
        <v>0</v>
      </c>
      <c r="P77">
        <f>[2]results_sample_product_cf!H76</f>
        <v>0</v>
      </c>
      <c r="Q77">
        <f t="shared" si="15"/>
        <v>0</v>
      </c>
      <c r="R77">
        <f t="shared" si="11"/>
        <v>0</v>
      </c>
    </row>
    <row r="78" spans="1:18" x14ac:dyDescent="0.3">
      <c r="A78">
        <f t="shared" si="16"/>
        <v>75</v>
      </c>
      <c r="B78">
        <f t="shared" si="17"/>
        <v>7</v>
      </c>
      <c r="C78">
        <f t="shared" si="18"/>
        <v>80</v>
      </c>
      <c r="D78">
        <f t="shared" si="12"/>
        <v>7</v>
      </c>
      <c r="E78">
        <f>[1]model_point!$C$2+D78-1</f>
        <v>11</v>
      </c>
      <c r="F78">
        <f>VLOOKUP(E78,'[1]202512 BE mortality'!$A:$C,3,0)</f>
        <v>5.6123690547769446E-4</v>
      </c>
      <c r="G78">
        <f>VLOOKUP(D78,'[1]202512 BE lapse'!$C:$D,2,0)</f>
        <v>3.6842585108723294E-4</v>
      </c>
      <c r="H78">
        <f>VLOOKUP($B78,'[1]202512 RFR'!$A:$B,2,0)</f>
        <v>0.01</v>
      </c>
      <c r="I78">
        <f t="shared" si="19"/>
        <v>1.8721733718489204</v>
      </c>
      <c r="J78">
        <f t="shared" si="20"/>
        <v>8.7587695045261891E-5</v>
      </c>
      <c r="K78">
        <f t="shared" si="21"/>
        <v>0</v>
      </c>
      <c r="L78">
        <f t="shared" si="13"/>
        <v>0.93970473211636041</v>
      </c>
      <c r="M78">
        <f>IF(AND(MOD(C78,12)=1,D78&lt;='[1]Product parameters'!$C$2),I77*[1]model_point!$G$2,0)</f>
        <v>0</v>
      </c>
      <c r="N78">
        <f t="shared" si="14"/>
        <v>0</v>
      </c>
      <c r="O78">
        <f>[2]results_sample_product_cf!G77</f>
        <v>0</v>
      </c>
      <c r="P78">
        <f>[2]results_sample_product_cf!H77</f>
        <v>0</v>
      </c>
      <c r="Q78">
        <f t="shared" si="15"/>
        <v>0</v>
      </c>
      <c r="R78">
        <f t="shared" si="11"/>
        <v>0</v>
      </c>
    </row>
    <row r="79" spans="1:18" x14ac:dyDescent="0.3">
      <c r="A79">
        <f t="shared" si="16"/>
        <v>76</v>
      </c>
      <c r="B79">
        <f t="shared" si="17"/>
        <v>7</v>
      </c>
      <c r="C79">
        <f t="shared" si="18"/>
        <v>81</v>
      </c>
      <c r="D79">
        <f t="shared" si="12"/>
        <v>7</v>
      </c>
      <c r="E79">
        <f>[1]model_point!$C$2+D79-1</f>
        <v>11</v>
      </c>
      <c r="F79">
        <f>VLOOKUP(E79,'[1]202512 BE mortality'!$A:$C,3,0)</f>
        <v>5.6123690547769446E-4</v>
      </c>
      <c r="G79">
        <f>VLOOKUP(D79,'[1]202512 BE lapse'!$C:$D,2,0)</f>
        <v>3.6842585108723294E-4</v>
      </c>
      <c r="H79">
        <f>VLOOKUP($B79,'[1]202512 RFR'!$A:$B,2,0)</f>
        <v>0.01</v>
      </c>
      <c r="I79">
        <f t="shared" si="19"/>
        <v>1.8720857882513833</v>
      </c>
      <c r="J79">
        <f t="shared" si="20"/>
        <v>8.7583597537227968E-5</v>
      </c>
      <c r="K79">
        <f t="shared" si="21"/>
        <v>0</v>
      </c>
      <c r="L79">
        <f t="shared" si="13"/>
        <v>0.93892585733115907</v>
      </c>
      <c r="M79">
        <f>IF(AND(MOD(C79,12)=1,D79&lt;='[1]Product parameters'!$C$2),I78*[1]model_point!$G$2,0)</f>
        <v>0</v>
      </c>
      <c r="N79">
        <f t="shared" si="14"/>
        <v>0</v>
      </c>
      <c r="O79">
        <f>[2]results_sample_product_cf!G78</f>
        <v>0</v>
      </c>
      <c r="P79">
        <f>[2]results_sample_product_cf!H78</f>
        <v>0</v>
      </c>
      <c r="Q79">
        <f t="shared" si="15"/>
        <v>0</v>
      </c>
      <c r="R79">
        <f t="shared" si="11"/>
        <v>0</v>
      </c>
    </row>
    <row r="80" spans="1:18" x14ac:dyDescent="0.3">
      <c r="A80">
        <f t="shared" si="16"/>
        <v>77</v>
      </c>
      <c r="B80">
        <f t="shared" si="17"/>
        <v>7</v>
      </c>
      <c r="C80">
        <f t="shared" si="18"/>
        <v>82</v>
      </c>
      <c r="D80">
        <f t="shared" si="12"/>
        <v>7</v>
      </c>
      <c r="E80">
        <f>[1]model_point!$C$2+D80-1</f>
        <v>11</v>
      </c>
      <c r="F80">
        <f>VLOOKUP(E80,'[1]202512 BE mortality'!$A:$C,3,0)</f>
        <v>5.6123690547769446E-4</v>
      </c>
      <c r="G80">
        <f>VLOOKUP(D80,'[1]202512 BE lapse'!$C:$D,2,0)</f>
        <v>3.6842585108723294E-4</v>
      </c>
      <c r="H80">
        <f>VLOOKUP($B80,'[1]202512 RFR'!$A:$B,2,0)</f>
        <v>0.01</v>
      </c>
      <c r="I80">
        <f t="shared" si="19"/>
        <v>1.8719982087511624</v>
      </c>
      <c r="J80">
        <f t="shared" si="20"/>
        <v>8.7579500220882751E-5</v>
      </c>
      <c r="K80">
        <f t="shared" si="21"/>
        <v>0</v>
      </c>
      <c r="L80">
        <f t="shared" si="13"/>
        <v>0.93814762811675279</v>
      </c>
      <c r="M80">
        <f>IF(AND(MOD(C80,12)=1,D80&lt;='[1]Product parameters'!$C$2),I79*[1]model_point!$G$2,0)</f>
        <v>0</v>
      </c>
      <c r="N80">
        <f t="shared" si="14"/>
        <v>0</v>
      </c>
      <c r="O80">
        <f>[2]results_sample_product_cf!G79</f>
        <v>0</v>
      </c>
      <c r="P80">
        <f>[2]results_sample_product_cf!H79</f>
        <v>0</v>
      </c>
      <c r="Q80">
        <f t="shared" si="15"/>
        <v>0</v>
      </c>
      <c r="R80">
        <f t="shared" si="11"/>
        <v>0</v>
      </c>
    </row>
    <row r="81" spans="1:18" x14ac:dyDescent="0.3">
      <c r="A81">
        <f t="shared" si="16"/>
        <v>78</v>
      </c>
      <c r="B81">
        <f t="shared" si="17"/>
        <v>7</v>
      </c>
      <c r="C81">
        <f t="shared" si="18"/>
        <v>83</v>
      </c>
      <c r="D81">
        <f t="shared" si="12"/>
        <v>7</v>
      </c>
      <c r="E81">
        <f>[1]model_point!$C$2+D81-1</f>
        <v>11</v>
      </c>
      <c r="F81">
        <f>VLOOKUP(E81,'[1]202512 BE mortality'!$A:$C,3,0)</f>
        <v>5.6123690547769446E-4</v>
      </c>
      <c r="G81">
        <f>VLOOKUP(D81,'[1]202512 BE lapse'!$C:$D,2,0)</f>
        <v>3.6842585108723294E-4</v>
      </c>
      <c r="H81">
        <f>VLOOKUP($B81,'[1]202512 RFR'!$A:$B,2,0)</f>
        <v>0.01</v>
      </c>
      <c r="I81">
        <f t="shared" si="19"/>
        <v>1.8719106333480662</v>
      </c>
      <c r="J81">
        <f t="shared" si="20"/>
        <v>8.7575403096217281E-5</v>
      </c>
      <c r="K81">
        <f t="shared" si="21"/>
        <v>0</v>
      </c>
      <c r="L81">
        <f t="shared" si="13"/>
        <v>0.93737004393805978</v>
      </c>
      <c r="M81">
        <f>IF(AND(MOD(C81,12)=1,D81&lt;='[1]Product parameters'!$C$2),I80*[1]model_point!$G$2,0)</f>
        <v>0</v>
      </c>
      <c r="N81">
        <f t="shared" si="14"/>
        <v>0</v>
      </c>
      <c r="O81">
        <f>[2]results_sample_product_cf!G80</f>
        <v>0</v>
      </c>
      <c r="P81">
        <f>[2]results_sample_product_cf!H80</f>
        <v>0</v>
      </c>
      <c r="Q81">
        <f t="shared" si="15"/>
        <v>0</v>
      </c>
      <c r="R81">
        <f t="shared" si="11"/>
        <v>0</v>
      </c>
    </row>
    <row r="82" spans="1:18" x14ac:dyDescent="0.3">
      <c r="A82">
        <f t="shared" si="16"/>
        <v>79</v>
      </c>
      <c r="B82">
        <f t="shared" si="17"/>
        <v>7</v>
      </c>
      <c r="C82">
        <f t="shared" si="18"/>
        <v>84</v>
      </c>
      <c r="D82">
        <f t="shared" si="12"/>
        <v>7</v>
      </c>
      <c r="E82">
        <f>[1]model_point!$C$2+D82-1</f>
        <v>11</v>
      </c>
      <c r="F82">
        <f>VLOOKUP(E82,'[1]202512 BE mortality'!$A:$C,3,0)</f>
        <v>5.6123690547769446E-4</v>
      </c>
      <c r="G82">
        <f>VLOOKUP(D82,'[1]202512 BE lapse'!$C:$D,2,0)</f>
        <v>3.6842585108723294E-4</v>
      </c>
      <c r="H82">
        <f>VLOOKUP($B82,'[1]202512 RFR'!$A:$B,2,0)</f>
        <v>0.01</v>
      </c>
      <c r="I82">
        <f t="shared" si="19"/>
        <v>1.8711334340371855</v>
      </c>
      <c r="J82">
        <f t="shared" si="20"/>
        <v>8.7571306163222574E-5</v>
      </c>
      <c r="K82">
        <f t="shared" si="21"/>
        <v>6.8962800471749849E-4</v>
      </c>
      <c r="L82">
        <f t="shared" si="13"/>
        <v>0.93659310426044196</v>
      </c>
      <c r="M82">
        <f>IF(AND(MOD(C82,12)=1,D82&lt;='[1]Product parameters'!$C$2),I81*[1]model_point!$G$2,0)</f>
        <v>0</v>
      </c>
      <c r="N82">
        <f t="shared" si="14"/>
        <v>0</v>
      </c>
      <c r="O82">
        <f>[2]results_sample_product_cf!G81</f>
        <v>0</v>
      </c>
      <c r="P82">
        <f>[2]results_sample_product_cf!H81</f>
        <v>0</v>
      </c>
      <c r="Q82">
        <f t="shared" si="15"/>
        <v>0</v>
      </c>
      <c r="R82">
        <f t="shared" si="11"/>
        <v>0</v>
      </c>
    </row>
    <row r="83" spans="1:18" x14ac:dyDescent="0.3">
      <c r="A83">
        <f t="shared" si="16"/>
        <v>80</v>
      </c>
      <c r="B83">
        <f t="shared" si="17"/>
        <v>7</v>
      </c>
      <c r="C83">
        <f t="shared" si="18"/>
        <v>85</v>
      </c>
      <c r="D83">
        <f t="shared" si="12"/>
        <v>8</v>
      </c>
      <c r="E83">
        <f>[1]model_point!$C$2+D83-1</f>
        <v>12</v>
      </c>
      <c r="F83">
        <f>VLOOKUP(E83,'[1]202512 BE mortality'!$A:$C,3,0)</f>
        <v>8.2183179536042487E-3</v>
      </c>
      <c r="G83">
        <f>VLOOKUP(D83,'[1]202512 BE lapse'!$C:$D,2,0)</f>
        <v>5.7368780095573566E-3</v>
      </c>
      <c r="H83">
        <f>VLOOKUP($B83,'[1]202512 RFR'!$A:$B,2,0)</f>
        <v>0.01</v>
      </c>
      <c r="I83">
        <f t="shared" si="19"/>
        <v>1.8698471174873901</v>
      </c>
      <c r="J83">
        <f t="shared" si="20"/>
        <v>1.286316549795475E-3</v>
      </c>
      <c r="K83">
        <f t="shared" si="21"/>
        <v>0</v>
      </c>
      <c r="L83">
        <f t="shared" si="13"/>
        <v>0.93581680854970417</v>
      </c>
      <c r="M83">
        <f>IF(AND(MOD(C83,12)=1,D83&lt;='[1]Product parameters'!$C$2),I82*[1]model_point!$G$2,0)</f>
        <v>0</v>
      </c>
      <c r="N83">
        <f t="shared" si="14"/>
        <v>0</v>
      </c>
      <c r="O83">
        <f>[2]results_sample_product_cf!G82</f>
        <v>0</v>
      </c>
      <c r="P83">
        <f>[2]results_sample_product_cf!H82</f>
        <v>0</v>
      </c>
      <c r="Q83">
        <f t="shared" si="15"/>
        <v>0</v>
      </c>
      <c r="R83">
        <f t="shared" si="11"/>
        <v>0</v>
      </c>
    </row>
    <row r="84" spans="1:18" x14ac:dyDescent="0.3">
      <c r="A84">
        <f t="shared" si="16"/>
        <v>81</v>
      </c>
      <c r="B84">
        <f t="shared" si="17"/>
        <v>7</v>
      </c>
      <c r="C84">
        <f t="shared" si="18"/>
        <v>86</v>
      </c>
      <c r="D84">
        <f t="shared" si="12"/>
        <v>8</v>
      </c>
      <c r="E84">
        <f>[1]model_point!$C$2+D84-1</f>
        <v>12</v>
      </c>
      <c r="F84">
        <f>VLOOKUP(E84,'[1]202512 BE mortality'!$A:$C,3,0)</f>
        <v>8.2183179536042487E-3</v>
      </c>
      <c r="G84">
        <f>VLOOKUP(D84,'[1]202512 BE lapse'!$C:$D,2,0)</f>
        <v>5.7368780095573566E-3</v>
      </c>
      <c r="H84">
        <f>VLOOKUP($B84,'[1]202512 RFR'!$A:$B,2,0)</f>
        <v>0.01</v>
      </c>
      <c r="I84">
        <f t="shared" si="19"/>
        <v>1.8685616852199425</v>
      </c>
      <c r="J84">
        <f t="shared" si="20"/>
        <v>1.2854322674475786E-3</v>
      </c>
      <c r="K84">
        <f t="shared" si="21"/>
        <v>0</v>
      </c>
      <c r="L84">
        <f t="shared" si="13"/>
        <v>0.93504115627209416</v>
      </c>
      <c r="M84">
        <f>IF(AND(MOD(C84,12)=1,D84&lt;='[1]Product parameters'!$C$2),I83*[1]model_point!$G$2,0)</f>
        <v>0</v>
      </c>
      <c r="N84">
        <f t="shared" si="14"/>
        <v>0</v>
      </c>
      <c r="O84">
        <f>[2]results_sample_product_cf!G83</f>
        <v>0</v>
      </c>
      <c r="P84">
        <f>[2]results_sample_product_cf!H83</f>
        <v>0</v>
      </c>
      <c r="Q84">
        <f t="shared" si="15"/>
        <v>0</v>
      </c>
      <c r="R84">
        <f t="shared" si="11"/>
        <v>0</v>
      </c>
    </row>
    <row r="85" spans="1:18" x14ac:dyDescent="0.3">
      <c r="A85">
        <f t="shared" si="16"/>
        <v>82</v>
      </c>
      <c r="B85">
        <f t="shared" si="17"/>
        <v>7</v>
      </c>
      <c r="C85">
        <f t="shared" si="18"/>
        <v>87</v>
      </c>
      <c r="D85">
        <f t="shared" si="12"/>
        <v>8</v>
      </c>
      <c r="E85">
        <f>[1]model_point!$C$2+D85-1</f>
        <v>12</v>
      </c>
      <c r="F85">
        <f>VLOOKUP(E85,'[1]202512 BE mortality'!$A:$C,3,0)</f>
        <v>8.2183179536042487E-3</v>
      </c>
      <c r="G85">
        <f>VLOOKUP(D85,'[1]202512 BE lapse'!$C:$D,2,0)</f>
        <v>5.7368780095573566E-3</v>
      </c>
      <c r="H85">
        <f>VLOOKUP($B85,'[1]202512 RFR'!$A:$B,2,0)</f>
        <v>0.01</v>
      </c>
      <c r="I85">
        <f t="shared" si="19"/>
        <v>1.8672771366269401</v>
      </c>
      <c r="J85">
        <f t="shared" si="20"/>
        <v>1.2845485930023568E-3</v>
      </c>
      <c r="K85">
        <f t="shared" si="21"/>
        <v>0</v>
      </c>
      <c r="L85">
        <f t="shared" si="13"/>
        <v>0.93426614689430199</v>
      </c>
      <c r="M85">
        <f>IF(AND(MOD(C85,12)=1,D85&lt;='[1]Product parameters'!$C$2),I84*[1]model_point!$G$2,0)</f>
        <v>0</v>
      </c>
      <c r="N85">
        <f t="shared" si="14"/>
        <v>0</v>
      </c>
      <c r="O85">
        <f>[2]results_sample_product_cf!G84</f>
        <v>0</v>
      </c>
      <c r="P85">
        <f>[2]results_sample_product_cf!H84</f>
        <v>0</v>
      </c>
      <c r="Q85">
        <f t="shared" si="15"/>
        <v>0</v>
      </c>
      <c r="R85">
        <f t="shared" si="11"/>
        <v>0</v>
      </c>
    </row>
    <row r="86" spans="1:18" x14ac:dyDescent="0.3">
      <c r="A86">
        <f t="shared" si="16"/>
        <v>83</v>
      </c>
      <c r="B86">
        <f t="shared" si="17"/>
        <v>7</v>
      </c>
      <c r="C86">
        <f t="shared" si="18"/>
        <v>88</v>
      </c>
      <c r="D86">
        <f t="shared" si="12"/>
        <v>8</v>
      </c>
      <c r="E86">
        <f>[1]model_point!$C$2+D86-1</f>
        <v>12</v>
      </c>
      <c r="F86">
        <f>VLOOKUP(E86,'[1]202512 BE mortality'!$A:$C,3,0)</f>
        <v>8.2183179536042487E-3</v>
      </c>
      <c r="G86">
        <f>VLOOKUP(D86,'[1]202512 BE lapse'!$C:$D,2,0)</f>
        <v>5.7368780095573566E-3</v>
      </c>
      <c r="H86">
        <f>VLOOKUP($B86,'[1]202512 RFR'!$A:$B,2,0)</f>
        <v>0.01</v>
      </c>
      <c r="I86">
        <f t="shared" si="19"/>
        <v>1.8659934711008981</v>
      </c>
      <c r="J86">
        <f t="shared" si="20"/>
        <v>1.2836655260419047E-3</v>
      </c>
      <c r="K86">
        <f t="shared" si="21"/>
        <v>0</v>
      </c>
      <c r="L86">
        <f t="shared" si="13"/>
        <v>0.93349177988345977</v>
      </c>
      <c r="M86">
        <f>IF(AND(MOD(C86,12)=1,D86&lt;='[1]Product parameters'!$C$2),I85*[1]model_point!$G$2,0)</f>
        <v>0</v>
      </c>
      <c r="N86">
        <f t="shared" si="14"/>
        <v>0</v>
      </c>
      <c r="O86">
        <f>[2]results_sample_product_cf!G85</f>
        <v>0</v>
      </c>
      <c r="P86">
        <f>[2]results_sample_product_cf!H85</f>
        <v>0</v>
      </c>
      <c r="Q86">
        <f t="shared" si="15"/>
        <v>0</v>
      </c>
      <c r="R86">
        <f t="shared" si="11"/>
        <v>0</v>
      </c>
    </row>
    <row r="87" spans="1:18" x14ac:dyDescent="0.3">
      <c r="A87">
        <f t="shared" si="16"/>
        <v>84</v>
      </c>
      <c r="B87">
        <f t="shared" si="17"/>
        <v>7</v>
      </c>
      <c r="C87">
        <f t="shared" si="18"/>
        <v>89</v>
      </c>
      <c r="D87">
        <f t="shared" si="12"/>
        <v>8</v>
      </c>
      <c r="E87">
        <f>[1]model_point!$C$2+D87-1</f>
        <v>12</v>
      </c>
      <c r="F87">
        <f>VLOOKUP(E87,'[1]202512 BE mortality'!$A:$C,3,0)</f>
        <v>8.2183179536042487E-3</v>
      </c>
      <c r="G87">
        <f>VLOOKUP(D87,'[1]202512 BE lapse'!$C:$D,2,0)</f>
        <v>5.7368780095573566E-3</v>
      </c>
      <c r="H87">
        <f>VLOOKUP($B87,'[1]202512 RFR'!$A:$B,2,0)</f>
        <v>0.01</v>
      </c>
      <c r="I87">
        <f t="shared" si="19"/>
        <v>1.8647106880347495</v>
      </c>
      <c r="J87">
        <f t="shared" si="20"/>
        <v>1.2827830661486051E-3</v>
      </c>
      <c r="K87">
        <f t="shared" si="21"/>
        <v>0</v>
      </c>
      <c r="L87">
        <f t="shared" si="13"/>
        <v>0.93271805470714142</v>
      </c>
      <c r="M87">
        <f>IF(AND(MOD(C87,12)=1,D87&lt;='[1]Product parameters'!$C$2),I86*[1]model_point!$G$2,0)</f>
        <v>0</v>
      </c>
      <c r="N87">
        <f t="shared" si="14"/>
        <v>0</v>
      </c>
      <c r="O87">
        <f>[2]results_sample_product_cf!G86</f>
        <v>0</v>
      </c>
      <c r="P87">
        <f>[2]results_sample_product_cf!H86</f>
        <v>0</v>
      </c>
      <c r="Q87">
        <f t="shared" si="15"/>
        <v>0</v>
      </c>
      <c r="R87">
        <f t="shared" si="11"/>
        <v>0</v>
      </c>
    </row>
    <row r="88" spans="1:18" x14ac:dyDescent="0.3">
      <c r="A88">
        <f t="shared" si="16"/>
        <v>85</v>
      </c>
      <c r="B88">
        <f t="shared" si="17"/>
        <v>8</v>
      </c>
      <c r="C88">
        <f t="shared" si="18"/>
        <v>90</v>
      </c>
      <c r="D88">
        <f t="shared" si="12"/>
        <v>8</v>
      </c>
      <c r="E88">
        <f>[1]model_point!$C$2+D88-1</f>
        <v>12</v>
      </c>
      <c r="F88">
        <f>VLOOKUP(E88,'[1]202512 BE mortality'!$A:$C,3,0)</f>
        <v>8.2183179536042487E-3</v>
      </c>
      <c r="G88">
        <f>VLOOKUP(D88,'[1]202512 BE lapse'!$C:$D,2,0)</f>
        <v>5.7368780095573566E-3</v>
      </c>
      <c r="H88">
        <f>VLOOKUP($B88,'[1]202512 RFR'!$A:$B,2,0)</f>
        <v>0.01</v>
      </c>
      <c r="I88">
        <f t="shared" si="19"/>
        <v>1.8634287868218444</v>
      </c>
      <c r="J88">
        <f t="shared" si="20"/>
        <v>1.281901212905128E-3</v>
      </c>
      <c r="K88">
        <f t="shared" si="21"/>
        <v>0</v>
      </c>
      <c r="L88">
        <f t="shared" si="13"/>
        <v>0.93194497083336192</v>
      </c>
      <c r="M88">
        <f>IF(AND(MOD(C88,12)=1,D88&lt;='[1]Product parameters'!$C$2),I87*[1]model_point!$G$2,0)</f>
        <v>0</v>
      </c>
      <c r="N88">
        <f t="shared" si="14"/>
        <v>0</v>
      </c>
      <c r="O88">
        <f>[2]results_sample_product_cf!G87</f>
        <v>0</v>
      </c>
      <c r="P88">
        <f>[2]results_sample_product_cf!H87</f>
        <v>0</v>
      </c>
      <c r="Q88">
        <f t="shared" si="15"/>
        <v>0</v>
      </c>
      <c r="R88">
        <f t="shared" si="11"/>
        <v>0</v>
      </c>
    </row>
    <row r="89" spans="1:18" x14ac:dyDescent="0.3">
      <c r="A89">
        <f t="shared" si="16"/>
        <v>86</v>
      </c>
      <c r="B89">
        <f t="shared" si="17"/>
        <v>8</v>
      </c>
      <c r="C89">
        <f t="shared" si="18"/>
        <v>91</v>
      </c>
      <c r="D89">
        <f t="shared" si="12"/>
        <v>8</v>
      </c>
      <c r="E89">
        <f>[1]model_point!$C$2+D89-1</f>
        <v>12</v>
      </c>
      <c r="F89">
        <f>VLOOKUP(E89,'[1]202512 BE mortality'!$A:$C,3,0)</f>
        <v>8.2183179536042487E-3</v>
      </c>
      <c r="G89">
        <f>VLOOKUP(D89,'[1]202512 BE lapse'!$C:$D,2,0)</f>
        <v>5.7368780095573566E-3</v>
      </c>
      <c r="H89">
        <f>VLOOKUP($B89,'[1]202512 RFR'!$A:$B,2,0)</f>
        <v>0.01</v>
      </c>
      <c r="I89">
        <f t="shared" si="19"/>
        <v>1.8621477668559501</v>
      </c>
      <c r="J89">
        <f t="shared" si="20"/>
        <v>1.2810199658944298E-3</v>
      </c>
      <c r="K89">
        <f t="shared" si="21"/>
        <v>0</v>
      </c>
      <c r="L89">
        <f t="shared" si="13"/>
        <v>0.93117252773057735</v>
      </c>
      <c r="M89">
        <f>IF(AND(MOD(C89,12)=1,D89&lt;='[1]Product parameters'!$C$2),I88*[1]model_point!$G$2,0)</f>
        <v>0</v>
      </c>
      <c r="N89">
        <f t="shared" si="14"/>
        <v>0</v>
      </c>
      <c r="O89">
        <f>[2]results_sample_product_cf!G88</f>
        <v>0</v>
      </c>
      <c r="P89">
        <f>[2]results_sample_product_cf!H88</f>
        <v>0</v>
      </c>
      <c r="Q89">
        <f t="shared" si="15"/>
        <v>0</v>
      </c>
      <c r="R89">
        <f t="shared" si="11"/>
        <v>0</v>
      </c>
    </row>
    <row r="90" spans="1:18" x14ac:dyDescent="0.3">
      <c r="A90">
        <f t="shared" si="16"/>
        <v>87</v>
      </c>
      <c r="B90">
        <f t="shared" si="17"/>
        <v>8</v>
      </c>
      <c r="C90">
        <f t="shared" si="18"/>
        <v>92</v>
      </c>
      <c r="D90">
        <f t="shared" si="12"/>
        <v>8</v>
      </c>
      <c r="E90">
        <f>[1]model_point!$C$2+D90-1</f>
        <v>12</v>
      </c>
      <c r="F90">
        <f>VLOOKUP(E90,'[1]202512 BE mortality'!$A:$C,3,0)</f>
        <v>8.2183179536042487E-3</v>
      </c>
      <c r="G90">
        <f>VLOOKUP(D90,'[1]202512 BE lapse'!$C:$D,2,0)</f>
        <v>5.7368780095573566E-3</v>
      </c>
      <c r="H90">
        <f>VLOOKUP($B90,'[1]202512 RFR'!$A:$B,2,0)</f>
        <v>0.01</v>
      </c>
      <c r="I90">
        <f t="shared" si="19"/>
        <v>1.8608676275312503</v>
      </c>
      <c r="J90">
        <f t="shared" si="20"/>
        <v>1.2801393246997539E-3</v>
      </c>
      <c r="K90">
        <f t="shared" si="21"/>
        <v>0</v>
      </c>
      <c r="L90">
        <f t="shared" si="13"/>
        <v>0.93040072486768433</v>
      </c>
      <c r="M90">
        <f>IF(AND(MOD(C90,12)=1,D90&lt;='[1]Product parameters'!$C$2),I89*[1]model_point!$G$2,0)</f>
        <v>0</v>
      </c>
      <c r="N90">
        <f t="shared" si="14"/>
        <v>0</v>
      </c>
      <c r="O90">
        <f>[2]results_sample_product_cf!G89</f>
        <v>0</v>
      </c>
      <c r="P90">
        <f>[2]results_sample_product_cf!H89</f>
        <v>0</v>
      </c>
      <c r="Q90">
        <f t="shared" si="15"/>
        <v>0</v>
      </c>
      <c r="R90">
        <f t="shared" si="11"/>
        <v>0</v>
      </c>
    </row>
    <row r="91" spans="1:18" x14ac:dyDescent="0.3">
      <c r="A91">
        <f t="shared" si="16"/>
        <v>88</v>
      </c>
      <c r="B91">
        <f t="shared" si="17"/>
        <v>8</v>
      </c>
      <c r="C91">
        <f t="shared" si="18"/>
        <v>93</v>
      </c>
      <c r="D91">
        <f t="shared" si="12"/>
        <v>8</v>
      </c>
      <c r="E91">
        <f>[1]model_point!$C$2+D91-1</f>
        <v>12</v>
      </c>
      <c r="F91">
        <f>VLOOKUP(E91,'[1]202512 BE mortality'!$A:$C,3,0)</f>
        <v>8.2183179536042487E-3</v>
      </c>
      <c r="G91">
        <f>VLOOKUP(D91,'[1]202512 BE lapse'!$C:$D,2,0)</f>
        <v>5.7368780095573566E-3</v>
      </c>
      <c r="H91">
        <f>VLOOKUP($B91,'[1]202512 RFR'!$A:$B,2,0)</f>
        <v>0.01</v>
      </c>
      <c r="I91">
        <f t="shared" si="19"/>
        <v>1.8595883682423457</v>
      </c>
      <c r="J91">
        <f t="shared" si="20"/>
        <v>1.2792592889046303E-3</v>
      </c>
      <c r="K91">
        <f t="shared" si="21"/>
        <v>0</v>
      </c>
      <c r="L91">
        <f t="shared" si="13"/>
        <v>0.92962956171401967</v>
      </c>
      <c r="M91">
        <f>IF(AND(MOD(C91,12)=1,D91&lt;='[1]Product parameters'!$C$2),I90*[1]model_point!$G$2,0)</f>
        <v>0</v>
      </c>
      <c r="N91">
        <f t="shared" si="14"/>
        <v>0</v>
      </c>
      <c r="O91">
        <f>[2]results_sample_product_cf!G90</f>
        <v>0</v>
      </c>
      <c r="P91">
        <f>[2]results_sample_product_cf!H90</f>
        <v>0</v>
      </c>
      <c r="Q91">
        <f t="shared" si="15"/>
        <v>0</v>
      </c>
      <c r="R91">
        <f t="shared" si="11"/>
        <v>0</v>
      </c>
    </row>
    <row r="92" spans="1:18" x14ac:dyDescent="0.3">
      <c r="A92">
        <f t="shared" si="16"/>
        <v>89</v>
      </c>
      <c r="B92">
        <f t="shared" si="17"/>
        <v>8</v>
      </c>
      <c r="C92">
        <f t="shared" si="18"/>
        <v>94</v>
      </c>
      <c r="D92">
        <f t="shared" si="12"/>
        <v>8</v>
      </c>
      <c r="E92">
        <f>[1]model_point!$C$2+D92-1</f>
        <v>12</v>
      </c>
      <c r="F92">
        <f>VLOOKUP(E92,'[1]202512 BE mortality'!$A:$C,3,0)</f>
        <v>8.2183179536042487E-3</v>
      </c>
      <c r="G92">
        <f>VLOOKUP(D92,'[1]202512 BE lapse'!$C:$D,2,0)</f>
        <v>5.7368780095573566E-3</v>
      </c>
      <c r="H92">
        <f>VLOOKUP($B92,'[1]202512 RFR'!$A:$B,2,0)</f>
        <v>0.01</v>
      </c>
      <c r="I92">
        <f t="shared" si="19"/>
        <v>1.8583099883842529</v>
      </c>
      <c r="J92">
        <f t="shared" si="20"/>
        <v>1.2783798580928752E-3</v>
      </c>
      <c r="K92">
        <f t="shared" si="21"/>
        <v>0</v>
      </c>
      <c r="L92">
        <f t="shared" si="13"/>
        <v>0.92885903773935996</v>
      </c>
      <c r="M92">
        <f>IF(AND(MOD(C92,12)=1,D92&lt;='[1]Product parameters'!$C$2),I91*[1]model_point!$G$2,0)</f>
        <v>0</v>
      </c>
      <c r="N92">
        <f t="shared" si="14"/>
        <v>0</v>
      </c>
      <c r="O92">
        <f>[2]results_sample_product_cf!G91</f>
        <v>0</v>
      </c>
      <c r="P92">
        <f>[2]results_sample_product_cf!H91</f>
        <v>0</v>
      </c>
      <c r="Q92">
        <f t="shared" si="15"/>
        <v>0</v>
      </c>
      <c r="R92">
        <f t="shared" si="11"/>
        <v>0</v>
      </c>
    </row>
    <row r="93" spans="1:18" x14ac:dyDescent="0.3">
      <c r="A93">
        <f t="shared" si="16"/>
        <v>90</v>
      </c>
      <c r="B93">
        <f t="shared" si="17"/>
        <v>8</v>
      </c>
      <c r="C93">
        <f t="shared" si="18"/>
        <v>95</v>
      </c>
      <c r="D93">
        <f t="shared" si="12"/>
        <v>8</v>
      </c>
      <c r="E93">
        <f>[1]model_point!$C$2+D93-1</f>
        <v>12</v>
      </c>
      <c r="F93">
        <f>VLOOKUP(E93,'[1]202512 BE mortality'!$A:$C,3,0)</f>
        <v>8.2183179536042487E-3</v>
      </c>
      <c r="G93">
        <f>VLOOKUP(D93,'[1]202512 BE lapse'!$C:$D,2,0)</f>
        <v>5.7368780095573566E-3</v>
      </c>
      <c r="H93">
        <f>VLOOKUP($B93,'[1]202512 RFR'!$A:$B,2,0)</f>
        <v>0.01</v>
      </c>
      <c r="I93">
        <f t="shared" si="19"/>
        <v>1.8570324873524042</v>
      </c>
      <c r="J93">
        <f t="shared" si="20"/>
        <v>1.2775010318485907E-3</v>
      </c>
      <c r="K93">
        <f t="shared" si="21"/>
        <v>0</v>
      </c>
      <c r="L93">
        <f t="shared" si="13"/>
        <v>0.92808915241392143</v>
      </c>
      <c r="M93">
        <f>IF(AND(MOD(C93,12)=1,D93&lt;='[1]Product parameters'!$C$2),I92*[1]model_point!$G$2,0)</f>
        <v>0</v>
      </c>
      <c r="N93">
        <f t="shared" si="14"/>
        <v>0</v>
      </c>
      <c r="O93">
        <f>[2]results_sample_product_cf!G92</f>
        <v>0</v>
      </c>
      <c r="P93">
        <f>[2]results_sample_product_cf!H92</f>
        <v>0</v>
      </c>
      <c r="Q93">
        <f t="shared" si="15"/>
        <v>0</v>
      </c>
      <c r="R93">
        <f t="shared" si="11"/>
        <v>0</v>
      </c>
    </row>
    <row r="94" spans="1:18" x14ac:dyDescent="0.3">
      <c r="A94">
        <f t="shared" si="16"/>
        <v>91</v>
      </c>
      <c r="B94">
        <f t="shared" si="17"/>
        <v>8</v>
      </c>
      <c r="C94">
        <f t="shared" si="18"/>
        <v>96</v>
      </c>
      <c r="D94">
        <f t="shared" si="12"/>
        <v>8</v>
      </c>
      <c r="E94">
        <f>[1]model_point!$C$2+D94-1</f>
        <v>12</v>
      </c>
      <c r="F94">
        <f>VLOOKUP(E94,'[1]202512 BE mortality'!$A:$C,3,0)</f>
        <v>8.2183179536042487E-3</v>
      </c>
      <c r="G94">
        <f>VLOOKUP(D94,'[1]202512 BE lapse'!$C:$D,2,0)</f>
        <v>5.7368780095573566E-3</v>
      </c>
      <c r="H94">
        <f>VLOOKUP($B94,'[1]202512 RFR'!$A:$B,2,0)</f>
        <v>0.01</v>
      </c>
      <c r="I94">
        <f t="shared" si="19"/>
        <v>1.8451096195322461</v>
      </c>
      <c r="J94">
        <f t="shared" si="20"/>
        <v>1.2766228097561649E-3</v>
      </c>
      <c r="K94">
        <f t="shared" si="21"/>
        <v>1.0646245010401817E-2</v>
      </c>
      <c r="L94">
        <f t="shared" si="13"/>
        <v>0.92731990520835927</v>
      </c>
      <c r="M94">
        <f>IF(AND(MOD(C94,12)=1,D94&lt;='[1]Product parameters'!$C$2),I93*[1]model_point!$G$2,0)</f>
        <v>0</v>
      </c>
      <c r="N94">
        <f t="shared" si="14"/>
        <v>0</v>
      </c>
      <c r="O94">
        <f>[2]results_sample_product_cf!G93</f>
        <v>0</v>
      </c>
      <c r="P94">
        <f>[2]results_sample_product_cf!H93</f>
        <v>0</v>
      </c>
      <c r="Q94">
        <f t="shared" si="15"/>
        <v>0</v>
      </c>
      <c r="R94">
        <f t="shared" si="11"/>
        <v>0</v>
      </c>
    </row>
    <row r="95" spans="1:18" x14ac:dyDescent="0.3">
      <c r="A95">
        <f t="shared" si="16"/>
        <v>92</v>
      </c>
      <c r="B95">
        <f t="shared" si="17"/>
        <v>8</v>
      </c>
      <c r="C95">
        <f t="shared" si="18"/>
        <v>97</v>
      </c>
      <c r="D95">
        <f t="shared" si="12"/>
        <v>9</v>
      </c>
      <c r="E95">
        <f>[1]model_point!$C$2+D95-1</f>
        <v>13</v>
      </c>
      <c r="F95">
        <f>VLOOKUP(E95,'[1]202512 BE mortality'!$A:$C,3,0)</f>
        <v>5.9254463616920331E-3</v>
      </c>
      <c r="G95">
        <f>VLOOKUP(D95,'[1]202512 BE lapse'!$C:$D,2,0)</f>
        <v>9.7429004362011677E-3</v>
      </c>
      <c r="H95">
        <f>VLOOKUP($B95,'[1]202512 RFR'!$A:$B,2,0)</f>
        <v>0.01</v>
      </c>
      <c r="I95">
        <f t="shared" si="19"/>
        <v>1.8441960442482623</v>
      </c>
      <c r="J95">
        <f t="shared" si="20"/>
        <v>9.135752839837416E-4</v>
      </c>
      <c r="K95">
        <f t="shared" si="21"/>
        <v>0</v>
      </c>
      <c r="L95">
        <f t="shared" si="13"/>
        <v>0.92655129559376748</v>
      </c>
      <c r="M95">
        <f>IF(AND(MOD(C95,12)=1,D95&lt;='[1]Product parameters'!$C$2),I94*[1]model_point!$G$2,0)</f>
        <v>0</v>
      </c>
      <c r="N95">
        <f t="shared" si="14"/>
        <v>0</v>
      </c>
      <c r="O95">
        <f>[2]results_sample_product_cf!G94</f>
        <v>0</v>
      </c>
      <c r="P95">
        <f>[2]results_sample_product_cf!H94</f>
        <v>0</v>
      </c>
      <c r="Q95">
        <f t="shared" si="15"/>
        <v>0</v>
      </c>
      <c r="R95">
        <f t="shared" si="11"/>
        <v>0</v>
      </c>
    </row>
    <row r="96" spans="1:18" x14ac:dyDescent="0.3">
      <c r="A96">
        <f t="shared" si="16"/>
        <v>93</v>
      </c>
      <c r="B96">
        <f t="shared" si="17"/>
        <v>8</v>
      </c>
      <c r="C96">
        <f t="shared" si="18"/>
        <v>98</v>
      </c>
      <c r="D96">
        <f t="shared" si="12"/>
        <v>9</v>
      </c>
      <c r="E96">
        <f>[1]model_point!$C$2+D96-1</f>
        <v>13</v>
      </c>
      <c r="F96">
        <f>VLOOKUP(E96,'[1]202512 BE mortality'!$A:$C,3,0)</f>
        <v>5.9254463616920331E-3</v>
      </c>
      <c r="G96">
        <f>VLOOKUP(D96,'[1]202512 BE lapse'!$C:$D,2,0)</f>
        <v>9.7429004362011677E-3</v>
      </c>
      <c r="H96">
        <f>VLOOKUP($B96,'[1]202512 RFR'!$A:$B,2,0)</f>
        <v>0.01</v>
      </c>
      <c r="I96">
        <f t="shared" si="19"/>
        <v>1.8432829213058579</v>
      </c>
      <c r="J96">
        <f t="shared" si="20"/>
        <v>9.1312294240431966E-4</v>
      </c>
      <c r="K96">
        <f t="shared" si="21"/>
        <v>0</v>
      </c>
      <c r="L96">
        <f t="shared" si="13"/>
        <v>0.92578332304167832</v>
      </c>
      <c r="M96">
        <f>IF(AND(MOD(C96,12)=1,D96&lt;='[1]Product parameters'!$C$2),I95*[1]model_point!$G$2,0)</f>
        <v>0</v>
      </c>
      <c r="N96">
        <f t="shared" si="14"/>
        <v>0</v>
      </c>
      <c r="O96">
        <f>[2]results_sample_product_cf!G95</f>
        <v>0</v>
      </c>
      <c r="P96">
        <f>[2]results_sample_product_cf!H95</f>
        <v>0</v>
      </c>
      <c r="Q96">
        <f t="shared" si="15"/>
        <v>0</v>
      </c>
      <c r="R96">
        <f t="shared" si="11"/>
        <v>0</v>
      </c>
    </row>
    <row r="97" spans="1:18" x14ac:dyDescent="0.3">
      <c r="A97">
        <f t="shared" si="16"/>
        <v>94</v>
      </c>
      <c r="B97">
        <f t="shared" si="17"/>
        <v>8</v>
      </c>
      <c r="C97">
        <f t="shared" si="18"/>
        <v>99</v>
      </c>
      <c r="D97">
        <f t="shared" si="12"/>
        <v>9</v>
      </c>
      <c r="E97">
        <f>[1]model_point!$C$2+D97-1</f>
        <v>13</v>
      </c>
      <c r="F97">
        <f>VLOOKUP(E97,'[1]202512 BE mortality'!$A:$C,3,0)</f>
        <v>5.9254463616920331E-3</v>
      </c>
      <c r="G97">
        <f>VLOOKUP(D97,'[1]202512 BE lapse'!$C:$D,2,0)</f>
        <v>9.7429004362011677E-3</v>
      </c>
      <c r="H97">
        <f>VLOOKUP($B97,'[1]202512 RFR'!$A:$B,2,0)</f>
        <v>0.01</v>
      </c>
      <c r="I97">
        <f t="shared" si="19"/>
        <v>1.8423702504810635</v>
      </c>
      <c r="J97">
        <f t="shared" si="20"/>
        <v>9.1267082479429349E-4</v>
      </c>
      <c r="K97">
        <f t="shared" si="21"/>
        <v>0</v>
      </c>
      <c r="L97">
        <f t="shared" si="13"/>
        <v>0.92501598702406229</v>
      </c>
      <c r="M97">
        <f>IF(AND(MOD(C97,12)=1,D97&lt;='[1]Product parameters'!$C$2),I96*[1]model_point!$G$2,0)</f>
        <v>0</v>
      </c>
      <c r="N97">
        <f t="shared" si="14"/>
        <v>0</v>
      </c>
      <c r="O97">
        <f>[2]results_sample_product_cf!G96</f>
        <v>0</v>
      </c>
      <c r="P97">
        <f>[2]results_sample_product_cf!H96</f>
        <v>0</v>
      </c>
      <c r="Q97">
        <f t="shared" si="15"/>
        <v>0</v>
      </c>
      <c r="R97">
        <f t="shared" si="11"/>
        <v>0</v>
      </c>
    </row>
    <row r="98" spans="1:18" x14ac:dyDescent="0.3">
      <c r="A98">
        <f t="shared" si="16"/>
        <v>95</v>
      </c>
      <c r="B98">
        <f t="shared" si="17"/>
        <v>8</v>
      </c>
      <c r="C98">
        <f t="shared" si="18"/>
        <v>100</v>
      </c>
      <c r="D98">
        <f t="shared" si="12"/>
        <v>9</v>
      </c>
      <c r="E98">
        <f>[1]model_point!$C$2+D98-1</f>
        <v>13</v>
      </c>
      <c r="F98">
        <f>VLOOKUP(E98,'[1]202512 BE mortality'!$A:$C,3,0)</f>
        <v>5.9254463616920331E-3</v>
      </c>
      <c r="G98">
        <f>VLOOKUP(D98,'[1]202512 BE lapse'!$C:$D,2,0)</f>
        <v>9.7429004362011677E-3</v>
      </c>
      <c r="H98">
        <f>VLOOKUP($B98,'[1]202512 RFR'!$A:$B,2,0)</f>
        <v>0.01</v>
      </c>
      <c r="I98">
        <f t="shared" si="19"/>
        <v>1.8414580315500206</v>
      </c>
      <c r="J98">
        <f t="shared" si="20"/>
        <v>9.122189310427685E-4</v>
      </c>
      <c r="K98">
        <f t="shared" si="21"/>
        <v>0</v>
      </c>
      <c r="L98">
        <f t="shared" si="13"/>
        <v>0.92424928701332743</v>
      </c>
      <c r="M98">
        <f>IF(AND(MOD(C98,12)=1,D98&lt;='[1]Product parameters'!$C$2),I97*[1]model_point!$G$2,0)</f>
        <v>0</v>
      </c>
      <c r="N98">
        <f t="shared" si="14"/>
        <v>0</v>
      </c>
      <c r="O98">
        <f>[2]results_sample_product_cf!G97</f>
        <v>0</v>
      </c>
      <c r="P98">
        <f>[2]results_sample_product_cf!H97</f>
        <v>0</v>
      </c>
      <c r="Q98">
        <f t="shared" si="15"/>
        <v>0</v>
      </c>
      <c r="R98">
        <f t="shared" si="11"/>
        <v>0</v>
      </c>
    </row>
    <row r="99" spans="1:18" x14ac:dyDescent="0.3">
      <c r="A99">
        <f t="shared" si="16"/>
        <v>96</v>
      </c>
      <c r="B99">
        <f t="shared" si="17"/>
        <v>8</v>
      </c>
      <c r="C99">
        <f t="shared" si="18"/>
        <v>101</v>
      </c>
      <c r="D99">
        <f t="shared" si="12"/>
        <v>9</v>
      </c>
      <c r="E99">
        <f>[1]model_point!$C$2+D99-1</f>
        <v>13</v>
      </c>
      <c r="F99">
        <f>VLOOKUP(E99,'[1]202512 BE mortality'!$A:$C,3,0)</f>
        <v>5.9254463616920331E-3</v>
      </c>
      <c r="G99">
        <f>VLOOKUP(D99,'[1]202512 BE lapse'!$C:$D,2,0)</f>
        <v>9.7429004362011677E-3</v>
      </c>
      <c r="H99">
        <f>VLOOKUP($B99,'[1]202512 RFR'!$A:$B,2,0)</f>
        <v>0.01</v>
      </c>
      <c r="I99">
        <f t="shared" si="19"/>
        <v>1.8405462642889818</v>
      </c>
      <c r="J99">
        <f t="shared" si="20"/>
        <v>9.1176726103890497E-4</v>
      </c>
      <c r="K99">
        <f t="shared" si="21"/>
        <v>0</v>
      </c>
      <c r="L99">
        <f t="shared" si="13"/>
        <v>0.92348322248231918</v>
      </c>
      <c r="M99">
        <f>IF(AND(MOD(C99,12)=1,D99&lt;='[1]Product parameters'!$C$2),I98*[1]model_point!$G$2,0)</f>
        <v>0</v>
      </c>
      <c r="N99">
        <f t="shared" si="14"/>
        <v>0</v>
      </c>
      <c r="O99">
        <f>[2]results_sample_product_cf!G98</f>
        <v>0</v>
      </c>
      <c r="P99">
        <f>[2]results_sample_product_cf!H98</f>
        <v>0</v>
      </c>
      <c r="Q99">
        <f t="shared" si="15"/>
        <v>0</v>
      </c>
      <c r="R99">
        <f t="shared" si="11"/>
        <v>0</v>
      </c>
    </row>
    <row r="100" spans="1:18" x14ac:dyDescent="0.3">
      <c r="A100">
        <f t="shared" si="16"/>
        <v>97</v>
      </c>
      <c r="B100">
        <f t="shared" si="17"/>
        <v>9</v>
      </c>
      <c r="C100">
        <f t="shared" si="18"/>
        <v>102</v>
      </c>
      <c r="D100">
        <f t="shared" si="12"/>
        <v>9</v>
      </c>
      <c r="E100">
        <f>[1]model_point!$C$2+D100-1</f>
        <v>13</v>
      </c>
      <c r="F100">
        <f>VLOOKUP(E100,'[1]202512 BE mortality'!$A:$C,3,0)</f>
        <v>5.9254463616920331E-3</v>
      </c>
      <c r="G100">
        <f>VLOOKUP(D100,'[1]202512 BE lapse'!$C:$D,2,0)</f>
        <v>9.7429004362011677E-3</v>
      </c>
      <c r="H100">
        <f>VLOOKUP($B100,'[1]202512 RFR'!$A:$B,2,0)</f>
        <v>0.01</v>
      </c>
      <c r="I100">
        <f t="shared" si="19"/>
        <v>1.83963494847431</v>
      </c>
      <c r="J100">
        <f t="shared" si="20"/>
        <v>9.1131581467191792E-4</v>
      </c>
      <c r="K100">
        <f t="shared" si="21"/>
        <v>0</v>
      </c>
      <c r="L100">
        <f t="shared" si="13"/>
        <v>0.92271779290431966</v>
      </c>
      <c r="M100">
        <f>IF(AND(MOD(C100,12)=1,D100&lt;='[1]Product parameters'!$C$2),I99*[1]model_point!$G$2,0)</f>
        <v>0</v>
      </c>
      <c r="N100">
        <f t="shared" si="14"/>
        <v>0</v>
      </c>
      <c r="O100">
        <f>[2]results_sample_product_cf!G99</f>
        <v>0</v>
      </c>
      <c r="P100">
        <f>[2]results_sample_product_cf!H99</f>
        <v>0</v>
      </c>
      <c r="Q100">
        <f t="shared" si="15"/>
        <v>0</v>
      </c>
      <c r="R100">
        <f t="shared" si="11"/>
        <v>0</v>
      </c>
    </row>
    <row r="101" spans="1:18" x14ac:dyDescent="0.3">
      <c r="A101">
        <f t="shared" si="16"/>
        <v>98</v>
      </c>
      <c r="B101">
        <f t="shared" si="17"/>
        <v>9</v>
      </c>
      <c r="C101">
        <f t="shared" si="18"/>
        <v>103</v>
      </c>
      <c r="D101">
        <f t="shared" si="12"/>
        <v>9</v>
      </c>
      <c r="E101">
        <f>[1]model_point!$C$2+D101-1</f>
        <v>13</v>
      </c>
      <c r="F101">
        <f>VLOOKUP(E101,'[1]202512 BE mortality'!$A:$C,3,0)</f>
        <v>5.9254463616920331E-3</v>
      </c>
      <c r="G101">
        <f>VLOOKUP(D101,'[1]202512 BE lapse'!$C:$D,2,0)</f>
        <v>9.7429004362011677E-3</v>
      </c>
      <c r="H101">
        <f>VLOOKUP($B101,'[1]202512 RFR'!$A:$B,2,0)</f>
        <v>0.01</v>
      </c>
      <c r="I101">
        <f t="shared" si="19"/>
        <v>1.838724083882479</v>
      </c>
      <c r="J101">
        <f t="shared" si="20"/>
        <v>9.1086459183107725E-4</v>
      </c>
      <c r="K101">
        <f t="shared" si="21"/>
        <v>0</v>
      </c>
      <c r="L101">
        <f t="shared" si="13"/>
        <v>0.92195299775304784</v>
      </c>
      <c r="M101">
        <f>IF(AND(MOD(C101,12)=1,D101&lt;='[1]Product parameters'!$C$2),I100*[1]model_point!$G$2,0)</f>
        <v>0</v>
      </c>
      <c r="N101">
        <f t="shared" si="14"/>
        <v>0</v>
      </c>
      <c r="O101">
        <f>[2]results_sample_product_cf!G100</f>
        <v>0</v>
      </c>
      <c r="P101">
        <f>[2]results_sample_product_cf!H100</f>
        <v>0</v>
      </c>
      <c r="Q101">
        <f t="shared" si="15"/>
        <v>0</v>
      </c>
      <c r="R101">
        <f t="shared" si="11"/>
        <v>0</v>
      </c>
    </row>
    <row r="102" spans="1:18" x14ac:dyDescent="0.3">
      <c r="A102">
        <f t="shared" si="16"/>
        <v>99</v>
      </c>
      <c r="B102">
        <f t="shared" si="17"/>
        <v>9</v>
      </c>
      <c r="C102">
        <f t="shared" si="18"/>
        <v>104</v>
      </c>
      <c r="D102">
        <f t="shared" si="12"/>
        <v>9</v>
      </c>
      <c r="E102">
        <f>[1]model_point!$C$2+D102-1</f>
        <v>13</v>
      </c>
      <c r="F102">
        <f>VLOOKUP(E102,'[1]202512 BE mortality'!$A:$C,3,0)</f>
        <v>5.9254463616920331E-3</v>
      </c>
      <c r="G102">
        <f>VLOOKUP(D102,'[1]202512 BE lapse'!$C:$D,2,0)</f>
        <v>9.7429004362011677E-3</v>
      </c>
      <c r="H102">
        <f>VLOOKUP($B102,'[1]202512 RFR'!$A:$B,2,0)</f>
        <v>0.01</v>
      </c>
      <c r="I102">
        <f t="shared" si="19"/>
        <v>1.8378136702900734</v>
      </c>
      <c r="J102">
        <f t="shared" si="20"/>
        <v>9.1041359240570782E-4</v>
      </c>
      <c r="K102">
        <f t="shared" si="21"/>
        <v>0</v>
      </c>
      <c r="L102">
        <f t="shared" si="13"/>
        <v>0.9211888365026587</v>
      </c>
      <c r="M102">
        <f>IF(AND(MOD(C102,12)=1,D102&lt;='[1]Product parameters'!$C$2),I101*[1]model_point!$G$2,0)</f>
        <v>0</v>
      </c>
      <c r="N102">
        <f t="shared" si="14"/>
        <v>0</v>
      </c>
      <c r="O102">
        <f>[2]results_sample_product_cf!G101</f>
        <v>0</v>
      </c>
      <c r="P102">
        <f>[2]results_sample_product_cf!H101</f>
        <v>0</v>
      </c>
      <c r="Q102">
        <f t="shared" si="15"/>
        <v>0</v>
      </c>
      <c r="R102">
        <f t="shared" si="11"/>
        <v>0</v>
      </c>
    </row>
    <row r="103" spans="1:18" x14ac:dyDescent="0.3">
      <c r="A103">
        <f t="shared" si="16"/>
        <v>100</v>
      </c>
      <c r="B103">
        <f t="shared" si="17"/>
        <v>9</v>
      </c>
      <c r="C103">
        <f t="shared" si="18"/>
        <v>105</v>
      </c>
      <c r="D103">
        <f t="shared" si="12"/>
        <v>9</v>
      </c>
      <c r="E103">
        <f>[1]model_point!$C$2+D103-1</f>
        <v>13</v>
      </c>
      <c r="F103">
        <f>VLOOKUP(E103,'[1]202512 BE mortality'!$A:$C,3,0)</f>
        <v>5.9254463616920331E-3</v>
      </c>
      <c r="G103">
        <f>VLOOKUP(D103,'[1]202512 BE lapse'!$C:$D,2,0)</f>
        <v>9.7429004362011677E-3</v>
      </c>
      <c r="H103">
        <f>VLOOKUP($B103,'[1]202512 RFR'!$A:$B,2,0)</f>
        <v>0.01</v>
      </c>
      <c r="I103">
        <f t="shared" si="19"/>
        <v>1.8369037074737882</v>
      </c>
      <c r="J103">
        <f t="shared" si="20"/>
        <v>9.0996281628518902E-4</v>
      </c>
      <c r="K103">
        <f t="shared" si="21"/>
        <v>0</v>
      </c>
      <c r="L103">
        <f t="shared" si="13"/>
        <v>0.92042530862774319</v>
      </c>
      <c r="M103">
        <f>IF(AND(MOD(C103,12)=1,D103&lt;='[1]Product parameters'!$C$2),I102*[1]model_point!$G$2,0)</f>
        <v>0</v>
      </c>
      <c r="N103">
        <f t="shared" si="14"/>
        <v>0</v>
      </c>
      <c r="O103">
        <f>[2]results_sample_product_cf!G102</f>
        <v>0</v>
      </c>
      <c r="P103">
        <f>[2]results_sample_product_cf!H102</f>
        <v>0</v>
      </c>
      <c r="Q103">
        <f t="shared" si="15"/>
        <v>0</v>
      </c>
      <c r="R103">
        <f t="shared" si="11"/>
        <v>0</v>
      </c>
    </row>
    <row r="104" spans="1:18" x14ac:dyDescent="0.3">
      <c r="A104">
        <f t="shared" si="16"/>
        <v>101</v>
      </c>
      <c r="B104">
        <f t="shared" si="17"/>
        <v>9</v>
      </c>
      <c r="C104">
        <f t="shared" si="18"/>
        <v>106</v>
      </c>
      <c r="D104">
        <f t="shared" si="12"/>
        <v>9</v>
      </c>
      <c r="E104">
        <f>[1]model_point!$C$2+D104-1</f>
        <v>13</v>
      </c>
      <c r="F104">
        <f>VLOOKUP(E104,'[1]202512 BE mortality'!$A:$C,3,0)</f>
        <v>5.9254463616920331E-3</v>
      </c>
      <c r="G104">
        <f>VLOOKUP(D104,'[1]202512 BE lapse'!$C:$D,2,0)</f>
        <v>9.7429004362011677E-3</v>
      </c>
      <c r="H104">
        <f>VLOOKUP($B104,'[1]202512 RFR'!$A:$B,2,0)</f>
        <v>0.01</v>
      </c>
      <c r="I104">
        <f t="shared" si="19"/>
        <v>1.8359941952104293</v>
      </c>
      <c r="J104">
        <f t="shared" si="20"/>
        <v>9.0951226335895521E-4</v>
      </c>
      <c r="K104">
        <f t="shared" si="21"/>
        <v>0</v>
      </c>
      <c r="L104">
        <f t="shared" si="13"/>
        <v>0.91966241360332768</v>
      </c>
      <c r="M104">
        <f>IF(AND(MOD(C104,12)=1,D104&lt;='[1]Product parameters'!$C$2),I103*[1]model_point!$G$2,0)</f>
        <v>0</v>
      </c>
      <c r="N104">
        <f t="shared" si="14"/>
        <v>0</v>
      </c>
      <c r="O104">
        <f>[2]results_sample_product_cf!G103</f>
        <v>0</v>
      </c>
      <c r="P104">
        <f>[2]results_sample_product_cf!H103</f>
        <v>0</v>
      </c>
      <c r="Q104">
        <f t="shared" si="15"/>
        <v>0</v>
      </c>
      <c r="R104">
        <f t="shared" si="11"/>
        <v>0</v>
      </c>
    </row>
    <row r="105" spans="1:18" x14ac:dyDescent="0.3">
      <c r="A105">
        <f t="shared" si="16"/>
        <v>102</v>
      </c>
      <c r="B105">
        <f t="shared" si="17"/>
        <v>9</v>
      </c>
      <c r="C105">
        <f t="shared" si="18"/>
        <v>107</v>
      </c>
      <c r="D105">
        <f t="shared" si="12"/>
        <v>9</v>
      </c>
      <c r="E105">
        <f>[1]model_point!$C$2+D105-1</f>
        <v>13</v>
      </c>
      <c r="F105">
        <f>VLOOKUP(E105,'[1]202512 BE mortality'!$A:$C,3,0)</f>
        <v>5.9254463616920331E-3</v>
      </c>
      <c r="G105">
        <f>VLOOKUP(D105,'[1]202512 BE lapse'!$C:$D,2,0)</f>
        <v>9.7429004362011677E-3</v>
      </c>
      <c r="H105">
        <f>VLOOKUP($B105,'[1]202512 RFR'!$A:$B,2,0)</f>
        <v>0.01</v>
      </c>
      <c r="I105">
        <f t="shared" si="19"/>
        <v>1.8350851332769127</v>
      </c>
      <c r="J105">
        <f t="shared" si="20"/>
        <v>9.0906193351649562E-4</v>
      </c>
      <c r="K105">
        <f t="shared" si="21"/>
        <v>0</v>
      </c>
      <c r="L105">
        <f t="shared" si="13"/>
        <v>0.91890015090487365</v>
      </c>
      <c r="M105">
        <f>IF(AND(MOD(C105,12)=1,D105&lt;='[1]Product parameters'!$C$2),I104*[1]model_point!$G$2,0)</f>
        <v>0</v>
      </c>
      <c r="N105">
        <f t="shared" si="14"/>
        <v>0</v>
      </c>
      <c r="O105">
        <f>[2]results_sample_product_cf!G104</f>
        <v>0</v>
      </c>
      <c r="P105">
        <f>[2]results_sample_product_cf!H104</f>
        <v>0</v>
      </c>
      <c r="Q105">
        <f t="shared" si="15"/>
        <v>0</v>
      </c>
      <c r="R105">
        <f t="shared" si="11"/>
        <v>0</v>
      </c>
    </row>
    <row r="106" spans="1:18" x14ac:dyDescent="0.3">
      <c r="A106">
        <f t="shared" si="16"/>
        <v>103</v>
      </c>
      <c r="B106">
        <f t="shared" si="17"/>
        <v>9</v>
      </c>
      <c r="C106">
        <f t="shared" si="18"/>
        <v>108</v>
      </c>
      <c r="D106">
        <f t="shared" si="12"/>
        <v>9</v>
      </c>
      <c r="E106">
        <f>[1]model_point!$C$2+D106-1</f>
        <v>13</v>
      </c>
      <c r="F106">
        <f>VLOOKUP(E106,'[1]202512 BE mortality'!$A:$C,3,0)</f>
        <v>5.9254463616920331E-3</v>
      </c>
      <c r="G106">
        <f>VLOOKUP(D106,'[1]202512 BE lapse'!$C:$D,2,0)</f>
        <v>9.7429004362011677E-3</v>
      </c>
      <c r="H106">
        <f>VLOOKUP($B106,'[1]202512 RFR'!$A:$B,2,0)</f>
        <v>0.01</v>
      </c>
      <c r="I106">
        <f t="shared" si="19"/>
        <v>1.8163063222193576</v>
      </c>
      <c r="J106">
        <f t="shared" si="20"/>
        <v>9.0861182664735368E-4</v>
      </c>
      <c r="K106">
        <f t="shared" si="21"/>
        <v>1.787019923090773E-2</v>
      </c>
      <c r="L106">
        <f t="shared" si="13"/>
        <v>0.91813852000827745</v>
      </c>
      <c r="M106">
        <f>IF(AND(MOD(C106,12)=1,D106&lt;='[1]Product parameters'!$C$2),I105*[1]model_point!$G$2,0)</f>
        <v>0</v>
      </c>
      <c r="N106">
        <f t="shared" si="14"/>
        <v>0</v>
      </c>
      <c r="O106">
        <f>[2]results_sample_product_cf!G105</f>
        <v>0</v>
      </c>
      <c r="P106">
        <f>[2]results_sample_product_cf!H105</f>
        <v>0</v>
      </c>
      <c r="Q106">
        <f t="shared" si="15"/>
        <v>0</v>
      </c>
      <c r="R106">
        <f t="shared" si="11"/>
        <v>0</v>
      </c>
    </row>
    <row r="107" spans="1:18" x14ac:dyDescent="0.3">
      <c r="A107">
        <f t="shared" si="16"/>
        <v>104</v>
      </c>
      <c r="B107">
        <f t="shared" si="17"/>
        <v>9</v>
      </c>
      <c r="C107">
        <f t="shared" si="18"/>
        <v>109</v>
      </c>
      <c r="D107">
        <f t="shared" si="12"/>
        <v>10</v>
      </c>
      <c r="E107">
        <f>[1]model_point!$C$2+D107-1</f>
        <v>14</v>
      </c>
      <c r="F107">
        <f>VLOOKUP(E107,'[1]202512 BE mortality'!$A:$C,3,0)</f>
        <v>1.7947762260182608E-3</v>
      </c>
      <c r="G107">
        <f>VLOOKUP(D107,'[1]202512 BE lapse'!$C:$D,2,0)</f>
        <v>6.9498752604241843E-3</v>
      </c>
      <c r="H107">
        <f>VLOOKUP($B107,'[1]202512 RFR'!$A:$B,2,0)</f>
        <v>0.01</v>
      </c>
      <c r="I107">
        <f t="shared" si="19"/>
        <v>1.8160344432137214</v>
      </c>
      <c r="J107">
        <f t="shared" si="20"/>
        <v>2.7187900563624575E-4</v>
      </c>
      <c r="K107">
        <f t="shared" si="21"/>
        <v>0</v>
      </c>
      <c r="L107">
        <f t="shared" si="13"/>
        <v>0.91737752038986964</v>
      </c>
      <c r="M107">
        <f>IF(AND(MOD(C107,12)=1,D107&lt;='[1]Product parameters'!$C$2),I106*[1]model_point!$G$2,0)</f>
        <v>0</v>
      </c>
      <c r="N107">
        <f t="shared" si="14"/>
        <v>0</v>
      </c>
      <c r="O107">
        <f>[2]results_sample_product_cf!G106</f>
        <v>0</v>
      </c>
      <c r="P107">
        <f>[2]results_sample_product_cf!H106</f>
        <v>0</v>
      </c>
      <c r="Q107">
        <f t="shared" si="15"/>
        <v>0</v>
      </c>
      <c r="R107">
        <f t="shared" si="11"/>
        <v>0</v>
      </c>
    </row>
    <row r="108" spans="1:18" x14ac:dyDescent="0.3">
      <c r="A108">
        <f t="shared" si="16"/>
        <v>105</v>
      </c>
      <c r="B108">
        <f t="shared" si="17"/>
        <v>9</v>
      </c>
      <c r="C108">
        <f t="shared" si="18"/>
        <v>110</v>
      </c>
      <c r="D108">
        <f t="shared" si="12"/>
        <v>10</v>
      </c>
      <c r="E108">
        <f>[1]model_point!$C$2+D108-1</f>
        <v>14</v>
      </c>
      <c r="F108">
        <f>VLOOKUP(E108,'[1]202512 BE mortality'!$A:$C,3,0)</f>
        <v>1.7947762260182608E-3</v>
      </c>
      <c r="G108">
        <f>VLOOKUP(D108,'[1]202512 BE lapse'!$C:$D,2,0)</f>
        <v>6.9498752604241843E-3</v>
      </c>
      <c r="H108">
        <f>VLOOKUP($B108,'[1]202512 RFR'!$A:$B,2,0)</f>
        <v>0.01</v>
      </c>
      <c r="I108">
        <f t="shared" si="19"/>
        <v>1.8157626049050717</v>
      </c>
      <c r="J108">
        <f t="shared" si="20"/>
        <v>2.7183830864983908E-4</v>
      </c>
      <c r="K108">
        <f t="shared" si="21"/>
        <v>0</v>
      </c>
      <c r="L108">
        <f t="shared" si="13"/>
        <v>0.9166171515264151</v>
      </c>
      <c r="M108">
        <f>IF(AND(MOD(C108,12)=1,D108&lt;='[1]Product parameters'!$C$2),I107*[1]model_point!$G$2,0)</f>
        <v>0</v>
      </c>
      <c r="N108">
        <f t="shared" si="14"/>
        <v>0</v>
      </c>
      <c r="O108">
        <f>[2]results_sample_product_cf!G107</f>
        <v>0</v>
      </c>
      <c r="P108">
        <f>[2]results_sample_product_cf!H107</f>
        <v>0</v>
      </c>
      <c r="Q108">
        <f t="shared" si="15"/>
        <v>0</v>
      </c>
      <c r="R108">
        <f t="shared" si="11"/>
        <v>0</v>
      </c>
    </row>
    <row r="109" spans="1:18" x14ac:dyDescent="0.3">
      <c r="A109">
        <f t="shared" si="16"/>
        <v>106</v>
      </c>
      <c r="B109">
        <f t="shared" si="17"/>
        <v>9</v>
      </c>
      <c r="C109">
        <f t="shared" si="18"/>
        <v>111</v>
      </c>
      <c r="D109">
        <f t="shared" si="12"/>
        <v>10</v>
      </c>
      <c r="E109">
        <f>[1]model_point!$C$2+D109-1</f>
        <v>14</v>
      </c>
      <c r="F109">
        <f>VLOOKUP(E109,'[1]202512 BE mortality'!$A:$C,3,0)</f>
        <v>1.7947762260182608E-3</v>
      </c>
      <c r="G109">
        <f>VLOOKUP(D109,'[1]202512 BE lapse'!$C:$D,2,0)</f>
        <v>6.9498752604241843E-3</v>
      </c>
      <c r="H109">
        <f>VLOOKUP($B109,'[1]202512 RFR'!$A:$B,2,0)</f>
        <v>0.01</v>
      </c>
      <c r="I109">
        <f t="shared" si="19"/>
        <v>1.8154908072873164</v>
      </c>
      <c r="J109">
        <f t="shared" si="20"/>
        <v>2.7179761775527716E-4</v>
      </c>
      <c r="K109">
        <f t="shared" si="21"/>
        <v>0</v>
      </c>
      <c r="L109">
        <f t="shared" si="13"/>
        <v>0.91585741289511213</v>
      </c>
      <c r="M109">
        <f>IF(AND(MOD(C109,12)=1,D109&lt;='[1]Product parameters'!$C$2),I108*[1]model_point!$G$2,0)</f>
        <v>0</v>
      </c>
      <c r="N109">
        <f t="shared" si="14"/>
        <v>0</v>
      </c>
      <c r="O109">
        <f>[2]results_sample_product_cf!G108</f>
        <v>0</v>
      </c>
      <c r="P109">
        <f>[2]results_sample_product_cf!H108</f>
        <v>0</v>
      </c>
      <c r="Q109">
        <f t="shared" si="15"/>
        <v>0</v>
      </c>
      <c r="R109">
        <f t="shared" si="11"/>
        <v>0</v>
      </c>
    </row>
    <row r="110" spans="1:18" x14ac:dyDescent="0.3">
      <c r="A110">
        <f t="shared" si="16"/>
        <v>107</v>
      </c>
      <c r="B110">
        <f t="shared" si="17"/>
        <v>9</v>
      </c>
      <c r="C110">
        <f t="shared" si="18"/>
        <v>112</v>
      </c>
      <c r="D110">
        <f t="shared" si="12"/>
        <v>10</v>
      </c>
      <c r="E110">
        <f>[1]model_point!$C$2+D110-1</f>
        <v>14</v>
      </c>
      <c r="F110">
        <f>VLOOKUP(E110,'[1]202512 BE mortality'!$A:$C,3,0)</f>
        <v>1.7947762260182608E-3</v>
      </c>
      <c r="G110">
        <f>VLOOKUP(D110,'[1]202512 BE lapse'!$C:$D,2,0)</f>
        <v>6.9498752604241843E-3</v>
      </c>
      <c r="H110">
        <f>VLOOKUP($B110,'[1]202512 RFR'!$A:$B,2,0)</f>
        <v>0.01</v>
      </c>
      <c r="I110">
        <f t="shared" si="19"/>
        <v>1.8152190503543648</v>
      </c>
      <c r="J110">
        <f t="shared" si="20"/>
        <v>2.7175693295164818E-4</v>
      </c>
      <c r="K110">
        <f t="shared" si="21"/>
        <v>0</v>
      </c>
      <c r="L110">
        <f t="shared" si="13"/>
        <v>0.91509830397359249</v>
      </c>
      <c r="M110">
        <f>IF(AND(MOD(C110,12)=1,D110&lt;='[1]Product parameters'!$C$2),I109*[1]model_point!$G$2,0)</f>
        <v>0</v>
      </c>
      <c r="N110">
        <f t="shared" si="14"/>
        <v>0</v>
      </c>
      <c r="O110">
        <f>[2]results_sample_product_cf!G109</f>
        <v>0</v>
      </c>
      <c r="P110">
        <f>[2]results_sample_product_cf!H109</f>
        <v>0</v>
      </c>
      <c r="Q110">
        <f t="shared" si="15"/>
        <v>0</v>
      </c>
      <c r="R110">
        <f t="shared" si="11"/>
        <v>0</v>
      </c>
    </row>
    <row r="111" spans="1:18" x14ac:dyDescent="0.3">
      <c r="A111">
        <f t="shared" si="16"/>
        <v>108</v>
      </c>
      <c r="B111">
        <f t="shared" si="17"/>
        <v>9</v>
      </c>
      <c r="C111">
        <f t="shared" si="18"/>
        <v>113</v>
      </c>
      <c r="D111">
        <f t="shared" si="12"/>
        <v>10</v>
      </c>
      <c r="E111">
        <f>[1]model_point!$C$2+D111-1</f>
        <v>14</v>
      </c>
      <c r="F111">
        <f>VLOOKUP(E111,'[1]202512 BE mortality'!$A:$C,3,0)</f>
        <v>1.7947762260182608E-3</v>
      </c>
      <c r="G111">
        <f>VLOOKUP(D111,'[1]202512 BE lapse'!$C:$D,2,0)</f>
        <v>6.9498752604241843E-3</v>
      </c>
      <c r="H111">
        <f>VLOOKUP($B111,'[1]202512 RFR'!$A:$B,2,0)</f>
        <v>0.01</v>
      </c>
      <c r="I111">
        <f t="shared" si="19"/>
        <v>1.8149473341001268</v>
      </c>
      <c r="J111">
        <f t="shared" si="20"/>
        <v>2.7171625423804037E-4</v>
      </c>
      <c r="K111">
        <f t="shared" si="21"/>
        <v>0</v>
      </c>
      <c r="L111">
        <f t="shared" si="13"/>
        <v>0.91433982423992088</v>
      </c>
      <c r="M111">
        <f>IF(AND(MOD(C111,12)=1,D111&lt;='[1]Product parameters'!$C$2),I110*[1]model_point!$G$2,0)</f>
        <v>0</v>
      </c>
      <c r="N111">
        <f t="shared" si="14"/>
        <v>0</v>
      </c>
      <c r="O111">
        <f>[2]results_sample_product_cf!G110</f>
        <v>0</v>
      </c>
      <c r="P111">
        <f>[2]results_sample_product_cf!H110</f>
        <v>0</v>
      </c>
      <c r="Q111">
        <f t="shared" si="15"/>
        <v>0</v>
      </c>
      <c r="R111">
        <f t="shared" si="11"/>
        <v>0</v>
      </c>
    </row>
    <row r="112" spans="1:18" x14ac:dyDescent="0.3">
      <c r="A112">
        <f t="shared" si="16"/>
        <v>109</v>
      </c>
      <c r="B112">
        <f t="shared" si="17"/>
        <v>10</v>
      </c>
      <c r="C112">
        <f t="shared" si="18"/>
        <v>114</v>
      </c>
      <c r="D112">
        <f t="shared" si="12"/>
        <v>10</v>
      </c>
      <c r="E112">
        <f>[1]model_point!$C$2+D112-1</f>
        <v>14</v>
      </c>
      <c r="F112">
        <f>VLOOKUP(E112,'[1]202512 BE mortality'!$A:$C,3,0)</f>
        <v>1.7947762260182608E-3</v>
      </c>
      <c r="G112">
        <f>VLOOKUP(D112,'[1]202512 BE lapse'!$C:$D,2,0)</f>
        <v>6.9498752604241843E-3</v>
      </c>
      <c r="H112">
        <f>VLOOKUP($B112,'[1]202512 RFR'!$A:$B,2,0)</f>
        <v>0.01</v>
      </c>
      <c r="I112">
        <f t="shared" si="19"/>
        <v>1.8146756585185133</v>
      </c>
      <c r="J112">
        <f t="shared" si="20"/>
        <v>2.7167558161354208E-4</v>
      </c>
      <c r="K112">
        <f t="shared" si="21"/>
        <v>0</v>
      </c>
      <c r="L112">
        <f t="shared" si="13"/>
        <v>0.9135819731725946</v>
      </c>
      <c r="M112">
        <f>IF(AND(MOD(C112,12)=1,D112&lt;='[1]Product parameters'!$C$2),I111*[1]model_point!$G$2,0)</f>
        <v>0</v>
      </c>
      <c r="N112">
        <f t="shared" si="14"/>
        <v>0</v>
      </c>
      <c r="O112">
        <f>[2]results_sample_product_cf!G111</f>
        <v>0</v>
      </c>
      <c r="P112">
        <f>[2]results_sample_product_cf!H111</f>
        <v>0</v>
      </c>
      <c r="Q112">
        <f t="shared" si="15"/>
        <v>0</v>
      </c>
      <c r="R112">
        <f t="shared" si="11"/>
        <v>0</v>
      </c>
    </row>
    <row r="113" spans="1:18" x14ac:dyDescent="0.3">
      <c r="A113">
        <f t="shared" si="16"/>
        <v>110</v>
      </c>
      <c r="B113">
        <f t="shared" si="17"/>
        <v>10</v>
      </c>
      <c r="C113">
        <f t="shared" si="18"/>
        <v>115</v>
      </c>
      <c r="D113">
        <f t="shared" si="12"/>
        <v>10</v>
      </c>
      <c r="E113">
        <f>[1]model_point!$C$2+D113-1</f>
        <v>14</v>
      </c>
      <c r="F113">
        <f>VLOOKUP(E113,'[1]202512 BE mortality'!$A:$C,3,0)</f>
        <v>1.7947762260182608E-3</v>
      </c>
      <c r="G113">
        <f>VLOOKUP(D113,'[1]202512 BE lapse'!$C:$D,2,0)</f>
        <v>6.9498752604241843E-3</v>
      </c>
      <c r="H113">
        <f>VLOOKUP($B113,'[1]202512 RFR'!$A:$B,2,0)</f>
        <v>0.01</v>
      </c>
      <c r="I113">
        <f t="shared" si="19"/>
        <v>1.814404023603436</v>
      </c>
      <c r="J113">
        <f t="shared" si="20"/>
        <v>2.7163491507724194E-4</v>
      </c>
      <c r="K113">
        <f t="shared" si="21"/>
        <v>0</v>
      </c>
      <c r="L113">
        <f t="shared" si="13"/>
        <v>0.91282475025054322</v>
      </c>
      <c r="M113">
        <f>IF(AND(MOD(C113,12)=1,D113&lt;='[1]Product parameters'!$C$2),I112*[1]model_point!$G$2,0)</f>
        <v>0</v>
      </c>
      <c r="N113">
        <f t="shared" si="14"/>
        <v>0</v>
      </c>
      <c r="O113">
        <f>[2]results_sample_product_cf!G112</f>
        <v>0</v>
      </c>
      <c r="P113">
        <f>[2]results_sample_product_cf!H112</f>
        <v>0</v>
      </c>
      <c r="Q113">
        <f t="shared" si="15"/>
        <v>0</v>
      </c>
      <c r="R113">
        <f t="shared" si="11"/>
        <v>0</v>
      </c>
    </row>
    <row r="114" spans="1:18" x14ac:dyDescent="0.3">
      <c r="A114">
        <f t="shared" si="16"/>
        <v>111</v>
      </c>
      <c r="B114">
        <f t="shared" si="17"/>
        <v>10</v>
      </c>
      <c r="C114">
        <f t="shared" si="18"/>
        <v>116</v>
      </c>
      <c r="D114">
        <f t="shared" si="12"/>
        <v>10</v>
      </c>
      <c r="E114">
        <f>[1]model_point!$C$2+D114-1</f>
        <v>14</v>
      </c>
      <c r="F114">
        <f>VLOOKUP(E114,'[1]202512 BE mortality'!$A:$C,3,0)</f>
        <v>1.7947762260182608E-3</v>
      </c>
      <c r="G114">
        <f>VLOOKUP(D114,'[1]202512 BE lapse'!$C:$D,2,0)</f>
        <v>6.9498752604241843E-3</v>
      </c>
      <c r="H114">
        <f>VLOOKUP($B114,'[1]202512 RFR'!$A:$B,2,0)</f>
        <v>0.01</v>
      </c>
      <c r="I114">
        <f t="shared" si="19"/>
        <v>1.8141324293488077</v>
      </c>
      <c r="J114">
        <f t="shared" si="20"/>
        <v>2.7159425462822855E-4</v>
      </c>
      <c r="K114">
        <f t="shared" si="21"/>
        <v>0</v>
      </c>
      <c r="L114">
        <f t="shared" si="13"/>
        <v>0.91206815495312821</v>
      </c>
      <c r="M114">
        <f>IF(AND(MOD(C114,12)=1,D114&lt;='[1]Product parameters'!$C$2),I113*[1]model_point!$G$2,0)</f>
        <v>0</v>
      </c>
      <c r="N114">
        <f t="shared" si="14"/>
        <v>0</v>
      </c>
      <c r="O114">
        <f>[2]results_sample_product_cf!G113</f>
        <v>0</v>
      </c>
      <c r="P114">
        <f>[2]results_sample_product_cf!H113</f>
        <v>0</v>
      </c>
      <c r="Q114">
        <f t="shared" si="15"/>
        <v>0</v>
      </c>
      <c r="R114">
        <f t="shared" si="11"/>
        <v>0</v>
      </c>
    </row>
    <row r="115" spans="1:18" x14ac:dyDescent="0.3">
      <c r="A115">
        <f t="shared" si="16"/>
        <v>112</v>
      </c>
      <c r="B115">
        <f t="shared" si="17"/>
        <v>10</v>
      </c>
      <c r="C115">
        <f t="shared" si="18"/>
        <v>117</v>
      </c>
      <c r="D115">
        <f t="shared" si="12"/>
        <v>10</v>
      </c>
      <c r="E115">
        <f>[1]model_point!$C$2+D115-1</f>
        <v>14</v>
      </c>
      <c r="F115">
        <f>VLOOKUP(E115,'[1]202512 BE mortality'!$A:$C,3,0)</f>
        <v>1.7947762260182608E-3</v>
      </c>
      <c r="G115">
        <f>VLOOKUP(D115,'[1]202512 BE lapse'!$C:$D,2,0)</f>
        <v>6.9498752604241843E-3</v>
      </c>
      <c r="H115">
        <f>VLOOKUP($B115,'[1]202512 RFR'!$A:$B,2,0)</f>
        <v>0.01</v>
      </c>
      <c r="I115">
        <f t="shared" si="19"/>
        <v>1.8138608757485422</v>
      </c>
      <c r="J115">
        <f t="shared" si="20"/>
        <v>2.7155360026559071E-4</v>
      </c>
      <c r="K115">
        <f t="shared" si="21"/>
        <v>0</v>
      </c>
      <c r="L115">
        <f t="shared" si="13"/>
        <v>0.91131218676014247</v>
      </c>
      <c r="M115">
        <f>IF(AND(MOD(C115,12)=1,D115&lt;='[1]Product parameters'!$C$2),I114*[1]model_point!$G$2,0)</f>
        <v>0</v>
      </c>
      <c r="N115">
        <f t="shared" si="14"/>
        <v>0</v>
      </c>
      <c r="O115">
        <f>[2]results_sample_product_cf!G114</f>
        <v>0</v>
      </c>
      <c r="P115">
        <f>[2]results_sample_product_cf!H114</f>
        <v>0</v>
      </c>
      <c r="Q115">
        <f t="shared" si="15"/>
        <v>0</v>
      </c>
      <c r="R115">
        <f t="shared" si="11"/>
        <v>0</v>
      </c>
    </row>
    <row r="116" spans="1:18" x14ac:dyDescent="0.3">
      <c r="A116">
        <f t="shared" si="16"/>
        <v>113</v>
      </c>
      <c r="B116">
        <f t="shared" si="17"/>
        <v>10</v>
      </c>
      <c r="C116">
        <f t="shared" si="18"/>
        <v>118</v>
      </c>
      <c r="D116">
        <f t="shared" si="12"/>
        <v>10</v>
      </c>
      <c r="E116">
        <f>[1]model_point!$C$2+D116-1</f>
        <v>14</v>
      </c>
      <c r="F116">
        <f>VLOOKUP(E116,'[1]202512 BE mortality'!$A:$C,3,0)</f>
        <v>1.7947762260182608E-3</v>
      </c>
      <c r="G116">
        <f>VLOOKUP(D116,'[1]202512 BE lapse'!$C:$D,2,0)</f>
        <v>6.9498752604241843E-3</v>
      </c>
      <c r="H116">
        <f>VLOOKUP($B116,'[1]202512 RFR'!$A:$B,2,0)</f>
        <v>0.01</v>
      </c>
      <c r="I116">
        <f t="shared" si="19"/>
        <v>1.8135893627965538</v>
      </c>
      <c r="J116">
        <f t="shared" si="20"/>
        <v>2.7151295198841747E-4</v>
      </c>
      <c r="K116">
        <f t="shared" si="21"/>
        <v>0</v>
      </c>
      <c r="L116">
        <f t="shared" si="13"/>
        <v>0.91055684515181023</v>
      </c>
      <c r="M116">
        <f>IF(AND(MOD(C116,12)=1,D116&lt;='[1]Product parameters'!$C$2),I115*[1]model_point!$G$2,0)</f>
        <v>0</v>
      </c>
      <c r="N116">
        <f t="shared" si="14"/>
        <v>0</v>
      </c>
      <c r="O116">
        <f>[2]results_sample_product_cf!G115</f>
        <v>0</v>
      </c>
      <c r="P116">
        <f>[2]results_sample_product_cf!H115</f>
        <v>0</v>
      </c>
      <c r="Q116">
        <f t="shared" si="15"/>
        <v>0</v>
      </c>
      <c r="R116">
        <f t="shared" si="11"/>
        <v>0</v>
      </c>
    </row>
    <row r="117" spans="1:18" x14ac:dyDescent="0.3">
      <c r="A117">
        <f t="shared" si="16"/>
        <v>114</v>
      </c>
      <c r="B117">
        <f t="shared" si="17"/>
        <v>10</v>
      </c>
      <c r="C117">
        <f t="shared" si="18"/>
        <v>119</v>
      </c>
      <c r="D117">
        <f t="shared" si="12"/>
        <v>10</v>
      </c>
      <c r="E117">
        <f>[1]model_point!$C$2+D117-1</f>
        <v>14</v>
      </c>
      <c r="F117">
        <f>VLOOKUP(E117,'[1]202512 BE mortality'!$A:$C,3,0)</f>
        <v>1.7947762260182608E-3</v>
      </c>
      <c r="G117">
        <f>VLOOKUP(D117,'[1]202512 BE lapse'!$C:$D,2,0)</f>
        <v>6.9498752604241843E-3</v>
      </c>
      <c r="H117">
        <f>VLOOKUP($B117,'[1]202512 RFR'!$A:$B,2,0)</f>
        <v>0.01</v>
      </c>
      <c r="I117">
        <f t="shared" si="19"/>
        <v>1.813317890486758</v>
      </c>
      <c r="J117">
        <f t="shared" si="20"/>
        <v>2.7147230979579777E-4</v>
      </c>
      <c r="K117">
        <f t="shared" si="21"/>
        <v>0</v>
      </c>
      <c r="L117">
        <f t="shared" si="13"/>
        <v>0.90980212960878648</v>
      </c>
      <c r="M117">
        <f>IF(AND(MOD(C117,12)=1,D117&lt;='[1]Product parameters'!$C$2),I116*[1]model_point!$G$2,0)</f>
        <v>0</v>
      </c>
      <c r="N117">
        <f t="shared" si="14"/>
        <v>0</v>
      </c>
      <c r="O117">
        <f>[2]results_sample_product_cf!G116</f>
        <v>0</v>
      </c>
      <c r="P117">
        <f>[2]results_sample_product_cf!H116</f>
        <v>0</v>
      </c>
      <c r="Q117">
        <f t="shared" si="15"/>
        <v>0</v>
      </c>
      <c r="R117">
        <f t="shared" si="11"/>
        <v>0</v>
      </c>
    </row>
    <row r="118" spans="1:18" x14ac:dyDescent="0.3">
      <c r="A118">
        <f t="shared" si="16"/>
        <v>115</v>
      </c>
      <c r="B118">
        <f t="shared" si="17"/>
        <v>10</v>
      </c>
      <c r="C118">
        <f t="shared" si="18"/>
        <v>120</v>
      </c>
      <c r="D118">
        <f t="shared" si="12"/>
        <v>10</v>
      </c>
      <c r="E118">
        <f>[1]model_point!$C$2+D118-1</f>
        <v>14</v>
      </c>
      <c r="F118">
        <f>VLOOKUP(E118,'[1]202512 BE mortality'!$A:$C,3,0)</f>
        <v>1.7947762260182608E-3</v>
      </c>
      <c r="G118">
        <f>VLOOKUP(D118,'[1]202512 BE lapse'!$C:$D,2,0)</f>
        <v>6.9498752604241843E-3</v>
      </c>
      <c r="H118">
        <f>VLOOKUP($B118,'[1]202512 RFR'!$A:$B,2,0)</f>
        <v>0.01</v>
      </c>
      <c r="I118">
        <f t="shared" si="19"/>
        <v>1.8004460120829664</v>
      </c>
      <c r="J118">
        <f t="shared" si="20"/>
        <v>2.7143167368682094E-4</v>
      </c>
      <c r="K118">
        <f t="shared" si="21"/>
        <v>1.2600446730104638E-2</v>
      </c>
      <c r="L118">
        <f t="shared" si="13"/>
        <v>0.90904803961215652</v>
      </c>
      <c r="M118">
        <f>IF(AND(MOD(C118,12)=1,D118&lt;='[1]Product parameters'!$C$2),I117*[1]model_point!$G$2,0)</f>
        <v>0</v>
      </c>
      <c r="N118">
        <f t="shared" si="14"/>
        <v>0</v>
      </c>
      <c r="O118">
        <f>[2]results_sample_product_cf!G117</f>
        <v>0</v>
      </c>
      <c r="P118">
        <f>[2]results_sample_product_cf!H117</f>
        <v>0</v>
      </c>
      <c r="Q118">
        <f t="shared" si="15"/>
        <v>0</v>
      </c>
      <c r="R118">
        <f t="shared" si="11"/>
        <v>0</v>
      </c>
    </row>
    <row r="119" spans="1:18" x14ac:dyDescent="0.3">
      <c r="A119">
        <f t="shared" si="16"/>
        <v>116</v>
      </c>
      <c r="B119">
        <f t="shared" si="17"/>
        <v>10</v>
      </c>
      <c r="C119">
        <f t="shared" si="18"/>
        <v>121</v>
      </c>
      <c r="D119">
        <f t="shared" si="12"/>
        <v>11</v>
      </c>
      <c r="E119">
        <f>[1]model_point!$C$2+D119-1</f>
        <v>15</v>
      </c>
      <c r="F119">
        <f>VLOOKUP(E119,'[1]202512 BE mortality'!$A:$C,3,0)</f>
        <v>6.0654879821912084E-4</v>
      </c>
      <c r="G119">
        <f>VLOOKUP(D119,'[1]202512 BE lapse'!$C:$D,2,0)</f>
        <v>9.0664402902416105E-3</v>
      </c>
      <c r="H119">
        <f>VLOOKUP($B119,'[1]202512 RFR'!$A:$B,2,0)</f>
        <v>0.01</v>
      </c>
      <c r="I119">
        <f t="shared" si="19"/>
        <v>1.800354981909926</v>
      </c>
      <c r="J119">
        <f t="shared" si="20"/>
        <v>9.103017304045874E-5</v>
      </c>
      <c r="K119">
        <f t="shared" si="21"/>
        <v>0</v>
      </c>
      <c r="L119">
        <f t="shared" si="13"/>
        <v>0.90829457464343599</v>
      </c>
      <c r="M119">
        <f>IF(AND(MOD(C119,12)=1,D119&lt;='[1]Product parameters'!$C$2),I118*[1]model_point!$G$2,0)</f>
        <v>0</v>
      </c>
      <c r="N119">
        <f t="shared" si="14"/>
        <v>0</v>
      </c>
      <c r="O119">
        <f>[2]results_sample_product_cf!G118</f>
        <v>0</v>
      </c>
      <c r="P119">
        <f>[2]results_sample_product_cf!H118</f>
        <v>0</v>
      </c>
      <c r="Q119">
        <f t="shared" si="15"/>
        <v>0</v>
      </c>
      <c r="R119">
        <f t="shared" si="11"/>
        <v>0</v>
      </c>
    </row>
    <row r="120" spans="1:18" x14ac:dyDescent="0.3">
      <c r="A120">
        <f t="shared" si="16"/>
        <v>117</v>
      </c>
      <c r="B120">
        <f t="shared" si="17"/>
        <v>10</v>
      </c>
      <c r="C120">
        <f t="shared" si="18"/>
        <v>122</v>
      </c>
      <c r="D120">
        <f t="shared" si="12"/>
        <v>11</v>
      </c>
      <c r="E120">
        <f>[1]model_point!$C$2+D120-1</f>
        <v>15</v>
      </c>
      <c r="F120">
        <f>VLOOKUP(E120,'[1]202512 BE mortality'!$A:$C,3,0)</f>
        <v>6.0654879821912084E-4</v>
      </c>
      <c r="G120">
        <f>VLOOKUP(D120,'[1]202512 BE lapse'!$C:$D,2,0)</f>
        <v>9.0664402902416105E-3</v>
      </c>
      <c r="H120">
        <f>VLOOKUP($B120,'[1]202512 RFR'!$A:$B,2,0)</f>
        <v>0.01</v>
      </c>
      <c r="I120">
        <f t="shared" si="19"/>
        <v>1.8002639563393521</v>
      </c>
      <c r="J120">
        <f t="shared" si="20"/>
        <v>9.102557057398757E-5</v>
      </c>
      <c r="K120">
        <f t="shared" si="21"/>
        <v>0</v>
      </c>
      <c r="L120">
        <f t="shared" si="13"/>
        <v>0.90754173418457007</v>
      </c>
      <c r="M120">
        <f>IF(AND(MOD(C120,12)=1,D120&lt;='[1]Product parameters'!$C$2),I119*[1]model_point!$G$2,0)</f>
        <v>0</v>
      </c>
      <c r="N120">
        <f t="shared" si="14"/>
        <v>0</v>
      </c>
      <c r="O120">
        <f>[2]results_sample_product_cf!G119</f>
        <v>0</v>
      </c>
      <c r="P120">
        <f>[2]results_sample_product_cf!H119</f>
        <v>0</v>
      </c>
      <c r="Q120">
        <f t="shared" si="15"/>
        <v>0</v>
      </c>
      <c r="R120">
        <f t="shared" si="11"/>
        <v>0</v>
      </c>
    </row>
    <row r="121" spans="1:18" x14ac:dyDescent="0.3">
      <c r="A121">
        <f t="shared" si="16"/>
        <v>118</v>
      </c>
      <c r="B121">
        <f t="shared" si="17"/>
        <v>10</v>
      </c>
      <c r="C121">
        <f t="shared" si="18"/>
        <v>123</v>
      </c>
      <c r="D121">
        <f t="shared" si="12"/>
        <v>11</v>
      </c>
      <c r="E121">
        <f>[1]model_point!$C$2+D121-1</f>
        <v>15</v>
      </c>
      <c r="F121">
        <f>VLOOKUP(E121,'[1]202512 BE mortality'!$A:$C,3,0)</f>
        <v>6.0654879821912084E-4</v>
      </c>
      <c r="G121">
        <f>VLOOKUP(D121,'[1]202512 BE lapse'!$C:$D,2,0)</f>
        <v>9.0664402902416105E-3</v>
      </c>
      <c r="H121">
        <f>VLOOKUP($B121,'[1]202512 RFR'!$A:$B,2,0)</f>
        <v>0.01</v>
      </c>
      <c r="I121">
        <f t="shared" si="19"/>
        <v>1.8001729353710119</v>
      </c>
      <c r="J121">
        <f t="shared" si="20"/>
        <v>9.1020968340216137E-5</v>
      </c>
      <c r="K121">
        <f t="shared" si="21"/>
        <v>0</v>
      </c>
      <c r="L121">
        <f t="shared" si="13"/>
        <v>0.90678951771793348</v>
      </c>
      <c r="M121">
        <f>IF(AND(MOD(C121,12)=1,D121&lt;='[1]Product parameters'!$C$2),I120*[1]model_point!$G$2,0)</f>
        <v>0</v>
      </c>
      <c r="N121">
        <f t="shared" si="14"/>
        <v>0</v>
      </c>
      <c r="O121">
        <f>[2]results_sample_product_cf!G120</f>
        <v>0</v>
      </c>
      <c r="P121">
        <f>[2]results_sample_product_cf!H120</f>
        <v>0</v>
      </c>
      <c r="Q121">
        <f t="shared" si="15"/>
        <v>0</v>
      </c>
      <c r="R121">
        <f t="shared" si="11"/>
        <v>0</v>
      </c>
    </row>
    <row r="122" spans="1:18" x14ac:dyDescent="0.3">
      <c r="A122">
        <f t="shared" si="16"/>
        <v>119</v>
      </c>
      <c r="B122">
        <f t="shared" si="17"/>
        <v>10</v>
      </c>
      <c r="C122">
        <f t="shared" si="18"/>
        <v>124</v>
      </c>
      <c r="D122">
        <f t="shared" si="12"/>
        <v>11</v>
      </c>
      <c r="E122">
        <f>[1]model_point!$C$2+D122-1</f>
        <v>15</v>
      </c>
      <c r="F122">
        <f>VLOOKUP(E122,'[1]202512 BE mortality'!$A:$C,3,0)</f>
        <v>6.0654879821912084E-4</v>
      </c>
      <c r="G122">
        <f>VLOOKUP(D122,'[1]202512 BE lapse'!$C:$D,2,0)</f>
        <v>9.0664402902416105E-3</v>
      </c>
      <c r="H122">
        <f>VLOOKUP($B122,'[1]202512 RFR'!$A:$B,2,0)</f>
        <v>0.01</v>
      </c>
      <c r="I122">
        <f t="shared" si="19"/>
        <v>1.8000819190046726</v>
      </c>
      <c r="J122">
        <f t="shared" si="20"/>
        <v>9.1016366339132678E-5</v>
      </c>
      <c r="K122">
        <f t="shared" si="21"/>
        <v>0</v>
      </c>
      <c r="L122">
        <f t="shared" si="13"/>
        <v>0.90603792472632994</v>
      </c>
      <c r="M122">
        <f>IF(AND(MOD(C122,12)=1,D122&lt;='[1]Product parameters'!$C$2),I121*[1]model_point!$G$2,0)</f>
        <v>0</v>
      </c>
      <c r="N122">
        <f t="shared" si="14"/>
        <v>0</v>
      </c>
      <c r="O122">
        <f>[2]results_sample_product_cf!G121</f>
        <v>0</v>
      </c>
      <c r="P122">
        <f>[2]results_sample_product_cf!H121</f>
        <v>0</v>
      </c>
      <c r="Q122">
        <f t="shared" si="15"/>
        <v>0</v>
      </c>
      <c r="R122">
        <f t="shared" si="11"/>
        <v>0</v>
      </c>
    </row>
    <row r="123" spans="1:18" x14ac:dyDescent="0.3">
      <c r="A123">
        <f t="shared" si="16"/>
        <v>120</v>
      </c>
      <c r="B123">
        <f t="shared" si="17"/>
        <v>10</v>
      </c>
      <c r="C123">
        <f t="shared" si="18"/>
        <v>125</v>
      </c>
      <c r="D123">
        <f t="shared" si="12"/>
        <v>11</v>
      </c>
      <c r="E123">
        <f>[1]model_point!$C$2+D123-1</f>
        <v>15</v>
      </c>
      <c r="F123">
        <f>VLOOKUP(E123,'[1]202512 BE mortality'!$A:$C,3,0)</f>
        <v>6.0654879821912084E-4</v>
      </c>
      <c r="G123">
        <f>VLOOKUP(D123,'[1]202512 BE lapse'!$C:$D,2,0)</f>
        <v>9.0664402902416105E-3</v>
      </c>
      <c r="H123">
        <f>VLOOKUP($B123,'[1]202512 RFR'!$A:$B,2,0)</f>
        <v>0.01</v>
      </c>
      <c r="I123">
        <f t="shared" si="19"/>
        <v>1.7999909072401019</v>
      </c>
      <c r="J123">
        <f t="shared" si="20"/>
        <v>9.1011764570725416E-5</v>
      </c>
      <c r="K123">
        <f t="shared" si="21"/>
        <v>0</v>
      </c>
      <c r="L123">
        <f t="shared" si="13"/>
        <v>0.9052869546929917</v>
      </c>
      <c r="M123">
        <f>IF(AND(MOD(C123,12)=1,D123&lt;='[1]Product parameters'!$C$2),I122*[1]model_point!$G$2,0)</f>
        <v>0</v>
      </c>
      <c r="N123">
        <f t="shared" si="14"/>
        <v>0</v>
      </c>
      <c r="O123">
        <f>[2]results_sample_product_cf!G122</f>
        <v>0</v>
      </c>
      <c r="P123">
        <f>[2]results_sample_product_cf!H122</f>
        <v>0</v>
      </c>
      <c r="Q123">
        <f t="shared" si="15"/>
        <v>0</v>
      </c>
      <c r="R123">
        <f t="shared" si="11"/>
        <v>0</v>
      </c>
    </row>
    <row r="124" spans="1:18" x14ac:dyDescent="0.3">
      <c r="A124">
        <f t="shared" si="16"/>
        <v>121</v>
      </c>
      <c r="B124">
        <f t="shared" si="17"/>
        <v>11</v>
      </c>
      <c r="C124">
        <f t="shared" si="18"/>
        <v>126</v>
      </c>
      <c r="D124">
        <f t="shared" si="12"/>
        <v>11</v>
      </c>
      <c r="E124">
        <f>[1]model_point!$C$2+D124-1</f>
        <v>15</v>
      </c>
      <c r="F124">
        <f>VLOOKUP(E124,'[1]202512 BE mortality'!$A:$C,3,0)</f>
        <v>6.0654879821912084E-4</v>
      </c>
      <c r="G124">
        <f>VLOOKUP(D124,'[1]202512 BE lapse'!$C:$D,2,0)</f>
        <v>9.0664402902416105E-3</v>
      </c>
      <c r="H124">
        <f>VLOOKUP($B124,'[1]202512 RFR'!$A:$B,2,0)</f>
        <v>0.01</v>
      </c>
      <c r="I124">
        <f t="shared" si="19"/>
        <v>1.799899900077067</v>
      </c>
      <c r="J124">
        <f t="shared" si="20"/>
        <v>9.1007163034982614E-5</v>
      </c>
      <c r="K124">
        <f t="shared" si="21"/>
        <v>0</v>
      </c>
      <c r="L124">
        <f t="shared" si="13"/>
        <v>0.90453660710157957</v>
      </c>
      <c r="M124">
        <f>IF(AND(MOD(C124,12)=1,D124&lt;='[1]Product parameters'!$C$2),I123*[1]model_point!$G$2,0)</f>
        <v>0</v>
      </c>
      <c r="N124">
        <f t="shared" si="14"/>
        <v>0</v>
      </c>
      <c r="O124">
        <f>[2]results_sample_product_cf!G123</f>
        <v>0</v>
      </c>
      <c r="P124">
        <f>[2]results_sample_product_cf!H123</f>
        <v>0</v>
      </c>
      <c r="Q124">
        <f t="shared" si="15"/>
        <v>0</v>
      </c>
      <c r="R124">
        <f t="shared" si="11"/>
        <v>0</v>
      </c>
    </row>
    <row r="125" spans="1:18" x14ac:dyDescent="0.3">
      <c r="A125">
        <f t="shared" si="16"/>
        <v>122</v>
      </c>
      <c r="B125">
        <f t="shared" si="17"/>
        <v>11</v>
      </c>
      <c r="C125">
        <f t="shared" si="18"/>
        <v>127</v>
      </c>
      <c r="D125">
        <f t="shared" si="12"/>
        <v>11</v>
      </c>
      <c r="E125">
        <f>[1]model_point!$C$2+D125-1</f>
        <v>15</v>
      </c>
      <c r="F125">
        <f>VLOOKUP(E125,'[1]202512 BE mortality'!$A:$C,3,0)</f>
        <v>6.0654879821912084E-4</v>
      </c>
      <c r="G125">
        <f>VLOOKUP(D125,'[1]202512 BE lapse'!$C:$D,2,0)</f>
        <v>9.0664402902416105E-3</v>
      </c>
      <c r="H125">
        <f>VLOOKUP($B125,'[1]202512 RFR'!$A:$B,2,0)</f>
        <v>0.01</v>
      </c>
      <c r="I125">
        <f t="shared" si="19"/>
        <v>1.799808897515335</v>
      </c>
      <c r="J125">
        <f t="shared" si="20"/>
        <v>9.1002561731892494E-5</v>
      </c>
      <c r="K125">
        <f t="shared" si="21"/>
        <v>0</v>
      </c>
      <c r="L125">
        <f t="shared" si="13"/>
        <v>0.90378688143618224</v>
      </c>
      <c r="M125">
        <f>IF(AND(MOD(C125,12)=1,D125&lt;='[1]Product parameters'!$C$2),I124*[1]model_point!$G$2,0)</f>
        <v>0</v>
      </c>
      <c r="N125">
        <f t="shared" si="14"/>
        <v>0</v>
      </c>
      <c r="O125">
        <f>[2]results_sample_product_cf!G124</f>
        <v>0</v>
      </c>
      <c r="P125">
        <f>[2]results_sample_product_cf!H124</f>
        <v>0</v>
      </c>
      <c r="Q125">
        <f t="shared" si="15"/>
        <v>0</v>
      </c>
      <c r="R125">
        <f t="shared" si="11"/>
        <v>0</v>
      </c>
    </row>
    <row r="126" spans="1:18" x14ac:dyDescent="0.3">
      <c r="A126">
        <f t="shared" si="16"/>
        <v>123</v>
      </c>
      <c r="B126">
        <f t="shared" si="17"/>
        <v>11</v>
      </c>
      <c r="C126">
        <f t="shared" si="18"/>
        <v>128</v>
      </c>
      <c r="D126">
        <f t="shared" si="12"/>
        <v>11</v>
      </c>
      <c r="E126">
        <f>[1]model_point!$C$2+D126-1</f>
        <v>15</v>
      </c>
      <c r="F126">
        <f>VLOOKUP(E126,'[1]202512 BE mortality'!$A:$C,3,0)</f>
        <v>6.0654879821912084E-4</v>
      </c>
      <c r="G126">
        <f>VLOOKUP(D126,'[1]202512 BE lapse'!$C:$D,2,0)</f>
        <v>9.0664402902416105E-3</v>
      </c>
      <c r="H126">
        <f>VLOOKUP($B126,'[1]202512 RFR'!$A:$B,2,0)</f>
        <v>0.01</v>
      </c>
      <c r="I126">
        <f t="shared" si="19"/>
        <v>1.7997178995546737</v>
      </c>
      <c r="J126">
        <f t="shared" si="20"/>
        <v>9.0997960661443294E-5</v>
      </c>
      <c r="K126">
        <f t="shared" si="21"/>
        <v>0</v>
      </c>
      <c r="L126">
        <f t="shared" si="13"/>
        <v>0.90303777718131595</v>
      </c>
      <c r="M126">
        <f>IF(AND(MOD(C126,12)=1,D126&lt;='[1]Product parameters'!$C$2),I125*[1]model_point!$G$2,0)</f>
        <v>0</v>
      </c>
      <c r="N126">
        <f t="shared" si="14"/>
        <v>0</v>
      </c>
      <c r="O126">
        <f>[2]results_sample_product_cf!G125</f>
        <v>0</v>
      </c>
      <c r="P126">
        <f>[2]results_sample_product_cf!H125</f>
        <v>0</v>
      </c>
      <c r="Q126">
        <f t="shared" si="15"/>
        <v>0</v>
      </c>
      <c r="R126">
        <f t="shared" si="11"/>
        <v>0</v>
      </c>
    </row>
    <row r="127" spans="1:18" x14ac:dyDescent="0.3">
      <c r="A127">
        <f t="shared" si="16"/>
        <v>124</v>
      </c>
      <c r="B127">
        <f t="shared" si="17"/>
        <v>11</v>
      </c>
      <c r="C127">
        <f t="shared" si="18"/>
        <v>129</v>
      </c>
      <c r="D127">
        <f t="shared" si="12"/>
        <v>11</v>
      </c>
      <c r="E127">
        <f>[1]model_point!$C$2+D127-1</f>
        <v>15</v>
      </c>
      <c r="F127">
        <f>VLOOKUP(E127,'[1]202512 BE mortality'!$A:$C,3,0)</f>
        <v>6.0654879821912084E-4</v>
      </c>
      <c r="G127">
        <f>VLOOKUP(D127,'[1]202512 BE lapse'!$C:$D,2,0)</f>
        <v>9.0664402902416105E-3</v>
      </c>
      <c r="H127">
        <f>VLOOKUP($B127,'[1]202512 RFR'!$A:$B,2,0)</f>
        <v>0.01</v>
      </c>
      <c r="I127">
        <f t="shared" si="19"/>
        <v>1.79962690619485</v>
      </c>
      <c r="J127">
        <f t="shared" si="20"/>
        <v>9.099335982362325E-5</v>
      </c>
      <c r="K127">
        <f t="shared" si="21"/>
        <v>0</v>
      </c>
      <c r="L127">
        <f t="shared" si="13"/>
        <v>0.90228929382192413</v>
      </c>
      <c r="M127">
        <f>IF(AND(MOD(C127,12)=1,D127&lt;='[1]Product parameters'!$C$2),I126*[1]model_point!$G$2,0)</f>
        <v>0</v>
      </c>
      <c r="N127">
        <f t="shared" si="14"/>
        <v>0</v>
      </c>
      <c r="O127">
        <f>[2]results_sample_product_cf!G126</f>
        <v>0</v>
      </c>
      <c r="P127">
        <f>[2]results_sample_product_cf!H126</f>
        <v>0</v>
      </c>
      <c r="Q127">
        <f t="shared" si="15"/>
        <v>0</v>
      </c>
      <c r="R127">
        <f t="shared" si="11"/>
        <v>0</v>
      </c>
    </row>
    <row r="128" spans="1:18" x14ac:dyDescent="0.3">
      <c r="A128">
        <f t="shared" si="16"/>
        <v>125</v>
      </c>
      <c r="B128">
        <f t="shared" si="17"/>
        <v>11</v>
      </c>
      <c r="C128">
        <f t="shared" si="18"/>
        <v>130</v>
      </c>
      <c r="D128">
        <f t="shared" si="12"/>
        <v>11</v>
      </c>
      <c r="E128">
        <f>[1]model_point!$C$2+D128-1</f>
        <v>15</v>
      </c>
      <c r="F128">
        <f>VLOOKUP(E128,'[1]202512 BE mortality'!$A:$C,3,0)</f>
        <v>6.0654879821912084E-4</v>
      </c>
      <c r="G128">
        <f>VLOOKUP(D128,'[1]202512 BE lapse'!$C:$D,2,0)</f>
        <v>9.0664402902416105E-3</v>
      </c>
      <c r="H128">
        <f>VLOOKUP($B128,'[1]202512 RFR'!$A:$B,2,0)</f>
        <v>0.01</v>
      </c>
      <c r="I128">
        <f t="shared" si="19"/>
        <v>1.7995359174356316</v>
      </c>
      <c r="J128">
        <f t="shared" si="20"/>
        <v>9.0988759218420598E-5</v>
      </c>
      <c r="K128">
        <f t="shared" si="21"/>
        <v>0</v>
      </c>
      <c r="L128">
        <f t="shared" si="13"/>
        <v>0.90154143084337734</v>
      </c>
      <c r="M128">
        <f>IF(AND(MOD(C128,12)=1,D128&lt;='[1]Product parameters'!$C$2),I127*[1]model_point!$G$2,0)</f>
        <v>0</v>
      </c>
      <c r="N128">
        <f t="shared" si="14"/>
        <v>0</v>
      </c>
      <c r="O128">
        <f>[2]results_sample_product_cf!G127</f>
        <v>0</v>
      </c>
      <c r="P128">
        <f>[2]results_sample_product_cf!H127</f>
        <v>0</v>
      </c>
      <c r="Q128">
        <f t="shared" si="15"/>
        <v>0</v>
      </c>
      <c r="R128">
        <f t="shared" si="11"/>
        <v>0</v>
      </c>
    </row>
    <row r="129" spans="1:18" x14ac:dyDescent="0.3">
      <c r="A129">
        <f t="shared" si="16"/>
        <v>126</v>
      </c>
      <c r="B129">
        <f t="shared" si="17"/>
        <v>11</v>
      </c>
      <c r="C129">
        <f t="shared" si="18"/>
        <v>131</v>
      </c>
      <c r="D129">
        <f t="shared" si="12"/>
        <v>11</v>
      </c>
      <c r="E129">
        <f>[1]model_point!$C$2+D129-1</f>
        <v>15</v>
      </c>
      <c r="F129">
        <f>VLOOKUP(E129,'[1]202512 BE mortality'!$A:$C,3,0)</f>
        <v>6.0654879821912084E-4</v>
      </c>
      <c r="G129">
        <f>VLOOKUP(D129,'[1]202512 BE lapse'!$C:$D,2,0)</f>
        <v>9.0664402902416105E-3</v>
      </c>
      <c r="H129">
        <f>VLOOKUP($B129,'[1]202512 RFR'!$A:$B,2,0)</f>
        <v>0.01</v>
      </c>
      <c r="I129">
        <f t="shared" si="19"/>
        <v>1.7994449332767857</v>
      </c>
      <c r="J129">
        <f t="shared" si="20"/>
        <v>9.0984158845823588E-5</v>
      </c>
      <c r="K129">
        <f t="shared" si="21"/>
        <v>0</v>
      </c>
      <c r="L129">
        <f t="shared" si="13"/>
        <v>0.90079418773147257</v>
      </c>
      <c r="M129">
        <f>IF(AND(MOD(C129,12)=1,D129&lt;='[1]Product parameters'!$C$2),I128*[1]model_point!$G$2,0)</f>
        <v>0</v>
      </c>
      <c r="N129">
        <f t="shared" si="14"/>
        <v>0</v>
      </c>
      <c r="O129">
        <f>[2]results_sample_product_cf!G128</f>
        <v>0</v>
      </c>
      <c r="P129">
        <f>[2]results_sample_product_cf!H128</f>
        <v>0</v>
      </c>
      <c r="Q129">
        <f t="shared" si="15"/>
        <v>0</v>
      </c>
      <c r="R129">
        <f t="shared" si="11"/>
        <v>0</v>
      </c>
    </row>
    <row r="130" spans="1:18" x14ac:dyDescent="0.3">
      <c r="A130">
        <f t="shared" si="16"/>
        <v>127</v>
      </c>
      <c r="B130">
        <f t="shared" si="17"/>
        <v>11</v>
      </c>
      <c r="C130">
        <f t="shared" si="18"/>
        <v>132</v>
      </c>
      <c r="D130">
        <f t="shared" si="12"/>
        <v>11</v>
      </c>
      <c r="E130">
        <f>[1]model_point!$C$2+D130-1</f>
        <v>15</v>
      </c>
      <c r="F130">
        <f>VLOOKUP(E130,'[1]202512 BE mortality'!$A:$C,3,0)</f>
        <v>6.0654879821912084E-4</v>
      </c>
      <c r="G130">
        <f>VLOOKUP(D130,'[1]202512 BE lapse'!$C:$D,2,0)</f>
        <v>9.0664402902416105E-3</v>
      </c>
      <c r="H130">
        <f>VLOOKUP($B130,'[1]202512 RFR'!$A:$B,2,0)</f>
        <v>0.01</v>
      </c>
      <c r="I130">
        <f t="shared" si="19"/>
        <v>1.7830402185356846</v>
      </c>
      <c r="J130">
        <f t="shared" si="20"/>
        <v>9.0979558705820443E-5</v>
      </c>
      <c r="K130">
        <f t="shared" si="21"/>
        <v>1.6313735182395137E-2</v>
      </c>
      <c r="L130">
        <f t="shared" si="13"/>
        <v>0.90004756397243302</v>
      </c>
      <c r="M130">
        <f>IF(AND(MOD(C130,12)=1,D130&lt;='[1]Product parameters'!$C$2),I129*[1]model_point!$G$2,0)</f>
        <v>0</v>
      </c>
      <c r="N130">
        <f t="shared" si="14"/>
        <v>0</v>
      </c>
      <c r="O130">
        <f>[2]results_sample_product_cf!G129</f>
        <v>0</v>
      </c>
      <c r="P130">
        <f>[2]results_sample_product_cf!H129</f>
        <v>0</v>
      </c>
      <c r="Q130">
        <f t="shared" si="15"/>
        <v>0</v>
      </c>
      <c r="R130">
        <f t="shared" si="11"/>
        <v>0</v>
      </c>
    </row>
    <row r="131" spans="1:18" x14ac:dyDescent="0.3">
      <c r="A131">
        <f t="shared" si="16"/>
        <v>128</v>
      </c>
      <c r="B131">
        <f t="shared" si="17"/>
        <v>11</v>
      </c>
      <c r="C131">
        <f t="shared" si="18"/>
        <v>133</v>
      </c>
      <c r="D131">
        <f t="shared" si="12"/>
        <v>12</v>
      </c>
      <c r="E131">
        <f>[1]model_point!$C$2+D131-1</f>
        <v>16</v>
      </c>
      <c r="F131">
        <f>VLOOKUP(E131,'[1]202512 BE mortality'!$A:$C,3,0)</f>
        <v>7.6041726411284476E-5</v>
      </c>
      <c r="G131">
        <f>VLOOKUP(D131,'[1]202512 BE lapse'!$C:$D,2,0)</f>
        <v>3.4974562848526891E-3</v>
      </c>
      <c r="H131">
        <f>VLOOKUP($B131,'[1]202512 RFR'!$A:$B,2,0)</f>
        <v>0.01</v>
      </c>
      <c r="I131">
        <f t="shared" si="19"/>
        <v>1.7830289193538351</v>
      </c>
      <c r="J131">
        <f t="shared" si="20"/>
        <v>1.1299181849482756E-5</v>
      </c>
      <c r="K131">
        <f t="shared" si="21"/>
        <v>0</v>
      </c>
      <c r="L131">
        <f t="shared" si="13"/>
        <v>0.89930155905290765</v>
      </c>
      <c r="M131">
        <f>IF(AND(MOD(C131,12)=1,D131&lt;='[1]Product parameters'!$C$2),I130*[1]model_point!$G$2,0)</f>
        <v>0</v>
      </c>
      <c r="N131">
        <f t="shared" si="14"/>
        <v>0</v>
      </c>
      <c r="O131">
        <f>[2]results_sample_product_cf!G130</f>
        <v>0</v>
      </c>
      <c r="P131">
        <f>[2]results_sample_product_cf!H130</f>
        <v>0</v>
      </c>
      <c r="Q131">
        <f t="shared" si="15"/>
        <v>0</v>
      </c>
      <c r="R131">
        <f t="shared" ref="R131:R194" si="22">ROUND(N131-P131,6)</f>
        <v>0</v>
      </c>
    </row>
    <row r="132" spans="1:18" x14ac:dyDescent="0.3">
      <c r="A132">
        <f t="shared" si="16"/>
        <v>129</v>
      </c>
      <c r="B132">
        <f t="shared" si="17"/>
        <v>11</v>
      </c>
      <c r="C132">
        <f t="shared" si="18"/>
        <v>134</v>
      </c>
      <c r="D132">
        <f t="shared" ref="D132:D195" si="23">TRUNC((C132-1)/12,0)+1</f>
        <v>12</v>
      </c>
      <c r="E132">
        <f>[1]model_point!$C$2+D132-1</f>
        <v>16</v>
      </c>
      <c r="F132">
        <f>VLOOKUP(E132,'[1]202512 BE mortality'!$A:$C,3,0)</f>
        <v>7.6041726411284476E-5</v>
      </c>
      <c r="G132">
        <f>VLOOKUP(D132,'[1]202512 BE lapse'!$C:$D,2,0)</f>
        <v>3.4974562848526891E-3</v>
      </c>
      <c r="H132">
        <f>VLOOKUP($B132,'[1]202512 RFR'!$A:$B,2,0)</f>
        <v>0.01</v>
      </c>
      <c r="I132">
        <f t="shared" si="19"/>
        <v>1.783017620243589</v>
      </c>
      <c r="J132">
        <f t="shared" si="20"/>
        <v>1.12991102462126E-5</v>
      </c>
      <c r="K132">
        <f t="shared" si="21"/>
        <v>0</v>
      </c>
      <c r="L132">
        <f t="shared" ref="L132:L195" si="24">L131/(1+H132)^(1/12)</f>
        <v>0.8985561724599711</v>
      </c>
      <c r="M132">
        <f>IF(AND(MOD(C132,12)=1,D132&lt;='[1]Product parameters'!$C$2),I131*[1]model_point!$G$2,0)</f>
        <v>0</v>
      </c>
      <c r="N132">
        <f t="shared" ref="N132:N195" si="25">SUMPRODUCT(L132:L1331,M133:M1332)/L132</f>
        <v>0</v>
      </c>
      <c r="O132">
        <f>[2]results_sample_product_cf!G131</f>
        <v>0</v>
      </c>
      <c r="P132">
        <f>[2]results_sample_product_cf!H131</f>
        <v>0</v>
      </c>
      <c r="Q132">
        <f t="shared" ref="Q132:Q195" si="26">ROUND(M132-O132,6)</f>
        <v>0</v>
      </c>
      <c r="R132">
        <f t="shared" si="22"/>
        <v>0</v>
      </c>
    </row>
    <row r="133" spans="1:18" x14ac:dyDescent="0.3">
      <c r="A133">
        <f t="shared" ref="A133:A196" si="27">A132+1</f>
        <v>130</v>
      </c>
      <c r="B133">
        <f t="shared" ref="B133:B196" si="28">INT((A133-1)/12)+1</f>
        <v>11</v>
      </c>
      <c r="C133">
        <f t="shared" ref="C133:C196" si="29">C132+1</f>
        <v>135</v>
      </c>
      <c r="D133">
        <f t="shared" si="23"/>
        <v>12</v>
      </c>
      <c r="E133">
        <f>[1]model_point!$C$2+D133-1</f>
        <v>16</v>
      </c>
      <c r="F133">
        <f>VLOOKUP(E133,'[1]202512 BE mortality'!$A:$C,3,0)</f>
        <v>7.6041726411284476E-5</v>
      </c>
      <c r="G133">
        <f>VLOOKUP(D133,'[1]202512 BE lapse'!$C:$D,2,0)</f>
        <v>3.4974562848526891E-3</v>
      </c>
      <c r="H133">
        <f>VLOOKUP($B133,'[1]202512 RFR'!$A:$B,2,0)</f>
        <v>0.01</v>
      </c>
      <c r="I133">
        <f t="shared" ref="I133:I196" si="30">I132-J133-K133</f>
        <v>1.7830063212049456</v>
      </c>
      <c r="J133">
        <f t="shared" ref="J133:J196" si="31">I132*(1-(1-F133)^(1/12))</f>
        <v>1.1299038643396197E-5</v>
      </c>
      <c r="K133">
        <f t="shared" ref="K133:K196" si="32">(I132-J133)*IF(MOD(C133,12)=0,G133,0)</f>
        <v>0</v>
      </c>
      <c r="L133">
        <f t="shared" si="24"/>
        <v>0.897811403681123</v>
      </c>
      <c r="M133">
        <f>IF(AND(MOD(C133,12)=1,D133&lt;='[1]Product parameters'!$C$2),I132*[1]model_point!$G$2,0)</f>
        <v>0</v>
      </c>
      <c r="N133">
        <f t="shared" si="25"/>
        <v>0</v>
      </c>
      <c r="O133">
        <f>[2]results_sample_product_cf!G132</f>
        <v>0</v>
      </c>
      <c r="P133">
        <f>[2]results_sample_product_cf!H132</f>
        <v>0</v>
      </c>
      <c r="Q133">
        <f t="shared" si="26"/>
        <v>0</v>
      </c>
      <c r="R133">
        <f t="shared" si="22"/>
        <v>0</v>
      </c>
    </row>
    <row r="134" spans="1:18" x14ac:dyDescent="0.3">
      <c r="A134">
        <f t="shared" si="27"/>
        <v>131</v>
      </c>
      <c r="B134">
        <f t="shared" si="28"/>
        <v>11</v>
      </c>
      <c r="C134">
        <f t="shared" si="29"/>
        <v>136</v>
      </c>
      <c r="D134">
        <f t="shared" si="23"/>
        <v>12</v>
      </c>
      <c r="E134">
        <f>[1]model_point!$C$2+D134-1</f>
        <v>16</v>
      </c>
      <c r="F134">
        <f>VLOOKUP(E134,'[1]202512 BE mortality'!$A:$C,3,0)</f>
        <v>7.6041726411284476E-5</v>
      </c>
      <c r="G134">
        <f>VLOOKUP(D134,'[1]202512 BE lapse'!$C:$D,2,0)</f>
        <v>3.4974562848526891E-3</v>
      </c>
      <c r="H134">
        <f>VLOOKUP($B134,'[1]202512 RFR'!$A:$B,2,0)</f>
        <v>0.01</v>
      </c>
      <c r="I134">
        <f t="shared" si="30"/>
        <v>1.7829950222379045</v>
      </c>
      <c r="J134">
        <f t="shared" si="31"/>
        <v>1.1298967041033542E-5</v>
      </c>
      <c r="K134">
        <f t="shared" si="32"/>
        <v>0</v>
      </c>
      <c r="L134">
        <f t="shared" si="24"/>
        <v>0.89706725220428774</v>
      </c>
      <c r="M134">
        <f>IF(AND(MOD(C134,12)=1,D134&lt;='[1]Product parameters'!$C$2),I133*[1]model_point!$G$2,0)</f>
        <v>0</v>
      </c>
      <c r="N134">
        <f t="shared" si="25"/>
        <v>0</v>
      </c>
      <c r="O134">
        <f>[2]results_sample_product_cf!G133</f>
        <v>0</v>
      </c>
      <c r="P134">
        <f>[2]results_sample_product_cf!H133</f>
        <v>0</v>
      </c>
      <c r="Q134">
        <f t="shared" si="26"/>
        <v>0</v>
      </c>
      <c r="R134">
        <f t="shared" si="22"/>
        <v>0</v>
      </c>
    </row>
    <row r="135" spans="1:18" x14ac:dyDescent="0.3">
      <c r="A135">
        <f t="shared" si="27"/>
        <v>132</v>
      </c>
      <c r="B135">
        <f t="shared" si="28"/>
        <v>11</v>
      </c>
      <c r="C135">
        <f t="shared" si="29"/>
        <v>137</v>
      </c>
      <c r="D135">
        <f t="shared" si="23"/>
        <v>12</v>
      </c>
      <c r="E135">
        <f>[1]model_point!$C$2+D135-1</f>
        <v>16</v>
      </c>
      <c r="F135">
        <f>VLOOKUP(E135,'[1]202512 BE mortality'!$A:$C,3,0)</f>
        <v>7.6041726411284476E-5</v>
      </c>
      <c r="G135">
        <f>VLOOKUP(D135,'[1]202512 BE lapse'!$C:$D,2,0)</f>
        <v>3.4974562848526891E-3</v>
      </c>
      <c r="H135">
        <f>VLOOKUP($B135,'[1]202512 RFR'!$A:$B,2,0)</f>
        <v>0.01</v>
      </c>
      <c r="I135">
        <f t="shared" si="30"/>
        <v>1.7829837233424655</v>
      </c>
      <c r="J135">
        <f t="shared" si="31"/>
        <v>1.1298895439124632E-5</v>
      </c>
      <c r="K135">
        <f t="shared" si="32"/>
        <v>0</v>
      </c>
      <c r="L135">
        <f t="shared" si="24"/>
        <v>0.89632371751781426</v>
      </c>
      <c r="M135">
        <f>IF(AND(MOD(C135,12)=1,D135&lt;='[1]Product parameters'!$C$2),I134*[1]model_point!$G$2,0)</f>
        <v>0</v>
      </c>
      <c r="N135">
        <f t="shared" si="25"/>
        <v>0</v>
      </c>
      <c r="O135">
        <f>[2]results_sample_product_cf!G134</f>
        <v>0</v>
      </c>
      <c r="P135">
        <f>[2]results_sample_product_cf!H134</f>
        <v>0</v>
      </c>
      <c r="Q135">
        <f t="shared" si="26"/>
        <v>0</v>
      </c>
      <c r="R135">
        <f t="shared" si="22"/>
        <v>0</v>
      </c>
    </row>
    <row r="136" spans="1:18" x14ac:dyDescent="0.3">
      <c r="A136">
        <f t="shared" si="27"/>
        <v>133</v>
      </c>
      <c r="B136">
        <f t="shared" si="28"/>
        <v>12</v>
      </c>
      <c r="C136">
        <f t="shared" si="29"/>
        <v>138</v>
      </c>
      <c r="D136">
        <f t="shared" si="23"/>
        <v>12</v>
      </c>
      <c r="E136">
        <f>[1]model_point!$C$2+D136-1</f>
        <v>16</v>
      </c>
      <c r="F136">
        <f>VLOOKUP(E136,'[1]202512 BE mortality'!$A:$C,3,0)</f>
        <v>7.6041726411284476E-5</v>
      </c>
      <c r="G136">
        <f>VLOOKUP(D136,'[1]202512 BE lapse'!$C:$D,2,0)</f>
        <v>3.4974562848526891E-3</v>
      </c>
      <c r="H136">
        <f>VLOOKUP($B136,'[1]202512 RFR'!$A:$B,2,0)</f>
        <v>0.01</v>
      </c>
      <c r="I136">
        <f t="shared" si="30"/>
        <v>1.7829724245186278</v>
      </c>
      <c r="J136">
        <f t="shared" si="31"/>
        <v>1.1298823837669468E-5</v>
      </c>
      <c r="K136">
        <f t="shared" si="32"/>
        <v>0</v>
      </c>
      <c r="L136">
        <f t="shared" si="24"/>
        <v>0.8955807991104755</v>
      </c>
      <c r="M136">
        <f>IF(AND(MOD(C136,12)=1,D136&lt;='[1]Product parameters'!$C$2),I135*[1]model_point!$G$2,0)</f>
        <v>0</v>
      </c>
      <c r="N136">
        <f t="shared" si="25"/>
        <v>0</v>
      </c>
      <c r="O136">
        <f>[2]results_sample_product_cf!G135</f>
        <v>0</v>
      </c>
      <c r="P136">
        <f>[2]results_sample_product_cf!H135</f>
        <v>0</v>
      </c>
      <c r="Q136">
        <f t="shared" si="26"/>
        <v>0</v>
      </c>
      <c r="R136">
        <f t="shared" si="22"/>
        <v>0</v>
      </c>
    </row>
    <row r="137" spans="1:18" x14ac:dyDescent="0.3">
      <c r="A137">
        <f t="shared" si="27"/>
        <v>134</v>
      </c>
      <c r="B137">
        <f t="shared" si="28"/>
        <v>12</v>
      </c>
      <c r="C137">
        <f t="shared" si="29"/>
        <v>139</v>
      </c>
      <c r="D137">
        <f t="shared" si="23"/>
        <v>12</v>
      </c>
      <c r="E137">
        <f>[1]model_point!$C$2+D137-1</f>
        <v>16</v>
      </c>
      <c r="F137">
        <f>VLOOKUP(E137,'[1]202512 BE mortality'!$A:$C,3,0)</f>
        <v>7.6041726411284476E-5</v>
      </c>
      <c r="G137">
        <f>VLOOKUP(D137,'[1]202512 BE lapse'!$C:$D,2,0)</f>
        <v>3.4974562848526891E-3</v>
      </c>
      <c r="H137">
        <f>VLOOKUP($B137,'[1]202512 RFR'!$A:$B,2,0)</f>
        <v>0.01</v>
      </c>
      <c r="I137">
        <f t="shared" si="30"/>
        <v>1.7829611257663911</v>
      </c>
      <c r="J137">
        <f t="shared" si="31"/>
        <v>1.1298752236668044E-5</v>
      </c>
      <c r="K137">
        <f t="shared" si="32"/>
        <v>0</v>
      </c>
      <c r="L137">
        <f t="shared" si="24"/>
        <v>0.89483849647146818</v>
      </c>
      <c r="M137">
        <f>IF(AND(MOD(C137,12)=1,D137&lt;='[1]Product parameters'!$C$2),I136*[1]model_point!$G$2,0)</f>
        <v>0</v>
      </c>
      <c r="N137">
        <f t="shared" si="25"/>
        <v>0</v>
      </c>
      <c r="O137">
        <f>[2]results_sample_product_cf!G136</f>
        <v>0</v>
      </c>
      <c r="P137">
        <f>[2]results_sample_product_cf!H136</f>
        <v>0</v>
      </c>
      <c r="Q137">
        <f t="shared" si="26"/>
        <v>0</v>
      </c>
      <c r="R137">
        <f t="shared" si="22"/>
        <v>0</v>
      </c>
    </row>
    <row r="138" spans="1:18" x14ac:dyDescent="0.3">
      <c r="A138">
        <f t="shared" si="27"/>
        <v>135</v>
      </c>
      <c r="B138">
        <f t="shared" si="28"/>
        <v>12</v>
      </c>
      <c r="C138">
        <f t="shared" si="29"/>
        <v>140</v>
      </c>
      <c r="D138">
        <f t="shared" si="23"/>
        <v>12</v>
      </c>
      <c r="E138">
        <f>[1]model_point!$C$2+D138-1</f>
        <v>16</v>
      </c>
      <c r="F138">
        <f>VLOOKUP(E138,'[1]202512 BE mortality'!$A:$C,3,0)</f>
        <v>7.6041726411284476E-5</v>
      </c>
      <c r="G138">
        <f>VLOOKUP(D138,'[1]202512 BE lapse'!$C:$D,2,0)</f>
        <v>3.4974562848526891E-3</v>
      </c>
      <c r="H138">
        <f>VLOOKUP($B138,'[1]202512 RFR'!$A:$B,2,0)</f>
        <v>0.01</v>
      </c>
      <c r="I138">
        <f t="shared" si="30"/>
        <v>1.7829498270857549</v>
      </c>
      <c r="J138">
        <f t="shared" si="31"/>
        <v>1.1298680636120357E-5</v>
      </c>
      <c r="K138">
        <f t="shared" si="32"/>
        <v>0</v>
      </c>
      <c r="L138">
        <f t="shared" si="24"/>
        <v>0.89409680909041245</v>
      </c>
      <c r="M138">
        <f>IF(AND(MOD(C138,12)=1,D138&lt;='[1]Product parameters'!$C$2),I137*[1]model_point!$G$2,0)</f>
        <v>0</v>
      </c>
      <c r="N138">
        <f t="shared" si="25"/>
        <v>0</v>
      </c>
      <c r="O138">
        <f>[2]results_sample_product_cf!G137</f>
        <v>0</v>
      </c>
      <c r="P138">
        <f>[2]results_sample_product_cf!H137</f>
        <v>0</v>
      </c>
      <c r="Q138">
        <f t="shared" si="26"/>
        <v>0</v>
      </c>
      <c r="R138">
        <f t="shared" si="22"/>
        <v>0</v>
      </c>
    </row>
    <row r="139" spans="1:18" x14ac:dyDescent="0.3">
      <c r="A139">
        <f t="shared" si="27"/>
        <v>136</v>
      </c>
      <c r="B139">
        <f t="shared" si="28"/>
        <v>12</v>
      </c>
      <c r="C139">
        <f t="shared" si="29"/>
        <v>141</v>
      </c>
      <c r="D139">
        <f t="shared" si="23"/>
        <v>12</v>
      </c>
      <c r="E139">
        <f>[1]model_point!$C$2+D139-1</f>
        <v>16</v>
      </c>
      <c r="F139">
        <f>VLOOKUP(E139,'[1]202512 BE mortality'!$A:$C,3,0)</f>
        <v>7.6041726411284476E-5</v>
      </c>
      <c r="G139">
        <f>VLOOKUP(D139,'[1]202512 BE lapse'!$C:$D,2,0)</f>
        <v>3.4974562848526891E-3</v>
      </c>
      <c r="H139">
        <f>VLOOKUP($B139,'[1]202512 RFR'!$A:$B,2,0)</f>
        <v>0.01</v>
      </c>
      <c r="I139">
        <f t="shared" si="30"/>
        <v>1.782938528476719</v>
      </c>
      <c r="J139">
        <f t="shared" si="31"/>
        <v>1.1298609036026405E-5</v>
      </c>
      <c r="K139">
        <f t="shared" si="32"/>
        <v>0</v>
      </c>
      <c r="L139">
        <f t="shared" si="24"/>
        <v>0.89335573645735133</v>
      </c>
      <c r="M139">
        <f>IF(AND(MOD(C139,12)=1,D139&lt;='[1]Product parameters'!$C$2),I138*[1]model_point!$G$2,0)</f>
        <v>0</v>
      </c>
      <c r="N139">
        <f t="shared" si="25"/>
        <v>0</v>
      </c>
      <c r="O139">
        <f>[2]results_sample_product_cf!G138</f>
        <v>0</v>
      </c>
      <c r="P139">
        <f>[2]results_sample_product_cf!H138</f>
        <v>0</v>
      </c>
      <c r="Q139">
        <f t="shared" si="26"/>
        <v>0</v>
      </c>
      <c r="R139">
        <f t="shared" si="22"/>
        <v>0</v>
      </c>
    </row>
    <row r="140" spans="1:18" x14ac:dyDescent="0.3">
      <c r="A140">
        <f t="shared" si="27"/>
        <v>137</v>
      </c>
      <c r="B140">
        <f t="shared" si="28"/>
        <v>12</v>
      </c>
      <c r="C140">
        <f t="shared" si="29"/>
        <v>142</v>
      </c>
      <c r="D140">
        <f t="shared" si="23"/>
        <v>12</v>
      </c>
      <c r="E140">
        <f>[1]model_point!$C$2+D140-1</f>
        <v>16</v>
      </c>
      <c r="F140">
        <f>VLOOKUP(E140,'[1]202512 BE mortality'!$A:$C,3,0)</f>
        <v>7.6041726411284476E-5</v>
      </c>
      <c r="G140">
        <f>VLOOKUP(D140,'[1]202512 BE lapse'!$C:$D,2,0)</f>
        <v>3.4974562848526891E-3</v>
      </c>
      <c r="H140">
        <f>VLOOKUP($B140,'[1]202512 RFR'!$A:$B,2,0)</f>
        <v>0.01</v>
      </c>
      <c r="I140">
        <f t="shared" si="30"/>
        <v>1.7829272299392827</v>
      </c>
      <c r="J140">
        <f t="shared" si="31"/>
        <v>1.1298537436386185E-5</v>
      </c>
      <c r="K140">
        <f t="shared" si="32"/>
        <v>0</v>
      </c>
      <c r="L140">
        <f t="shared" si="24"/>
        <v>0.89261527806275054</v>
      </c>
      <c r="M140">
        <f>IF(AND(MOD(C140,12)=1,D140&lt;='[1]Product parameters'!$C$2),I139*[1]model_point!$G$2,0)</f>
        <v>0</v>
      </c>
      <c r="N140">
        <f t="shared" si="25"/>
        <v>0</v>
      </c>
      <c r="O140">
        <f>[2]results_sample_product_cf!G139</f>
        <v>0</v>
      </c>
      <c r="P140">
        <f>[2]results_sample_product_cf!H139</f>
        <v>0</v>
      </c>
      <c r="Q140">
        <f t="shared" si="26"/>
        <v>0</v>
      </c>
      <c r="R140">
        <f t="shared" si="22"/>
        <v>0</v>
      </c>
    </row>
    <row r="141" spans="1:18" x14ac:dyDescent="0.3">
      <c r="A141">
        <f t="shared" si="27"/>
        <v>138</v>
      </c>
      <c r="B141">
        <f t="shared" si="28"/>
        <v>12</v>
      </c>
      <c r="C141">
        <f t="shared" si="29"/>
        <v>143</v>
      </c>
      <c r="D141">
        <f t="shared" si="23"/>
        <v>12</v>
      </c>
      <c r="E141">
        <f>[1]model_point!$C$2+D141-1</f>
        <v>16</v>
      </c>
      <c r="F141">
        <f>VLOOKUP(E141,'[1]202512 BE mortality'!$A:$C,3,0)</f>
        <v>7.6041726411284476E-5</v>
      </c>
      <c r="G141">
        <f>VLOOKUP(D141,'[1]202512 BE lapse'!$C:$D,2,0)</f>
        <v>3.4974562848526891E-3</v>
      </c>
      <c r="H141">
        <f>VLOOKUP($B141,'[1]202512 RFR'!$A:$B,2,0)</f>
        <v>0.01</v>
      </c>
      <c r="I141">
        <f t="shared" si="30"/>
        <v>1.7829159314734455</v>
      </c>
      <c r="J141">
        <f t="shared" si="31"/>
        <v>1.1298465837199696E-5</v>
      </c>
      <c r="K141">
        <f t="shared" si="32"/>
        <v>0</v>
      </c>
      <c r="L141">
        <f t="shared" si="24"/>
        <v>0.89187543339749831</v>
      </c>
      <c r="M141">
        <f>IF(AND(MOD(C141,12)=1,D141&lt;='[1]Product parameters'!$C$2),I140*[1]model_point!$G$2,0)</f>
        <v>0</v>
      </c>
      <c r="N141">
        <f t="shared" si="25"/>
        <v>0</v>
      </c>
      <c r="O141">
        <f>[2]results_sample_product_cf!G140</f>
        <v>0</v>
      </c>
      <c r="P141">
        <f>[2]results_sample_product_cf!H140</f>
        <v>0</v>
      </c>
      <c r="Q141">
        <f t="shared" si="26"/>
        <v>0</v>
      </c>
      <c r="R141">
        <f t="shared" si="22"/>
        <v>0</v>
      </c>
    </row>
    <row r="142" spans="1:18" x14ac:dyDescent="0.3">
      <c r="A142">
        <f t="shared" si="27"/>
        <v>139</v>
      </c>
      <c r="B142">
        <f t="shared" si="28"/>
        <v>12</v>
      </c>
      <c r="C142">
        <f t="shared" si="29"/>
        <v>144</v>
      </c>
      <c r="D142">
        <f t="shared" si="23"/>
        <v>12</v>
      </c>
      <c r="E142">
        <f>[1]model_point!$C$2+D142-1</f>
        <v>16</v>
      </c>
      <c r="F142">
        <f>VLOOKUP(E142,'[1]202512 BE mortality'!$A:$C,3,0)</f>
        <v>7.6041726411284476E-5</v>
      </c>
      <c r="G142">
        <f>VLOOKUP(D142,'[1]202512 BE lapse'!$C:$D,2,0)</f>
        <v>3.4974562848526891E-3</v>
      </c>
      <c r="H142">
        <f>VLOOKUP($B142,'[1]202512 RFR'!$A:$B,2,0)</f>
        <v>0.01</v>
      </c>
      <c r="I142">
        <f t="shared" si="30"/>
        <v>1.7766690020649512</v>
      </c>
      <c r="J142">
        <f t="shared" si="31"/>
        <v>1.1298394238466933E-5</v>
      </c>
      <c r="K142">
        <f t="shared" si="32"/>
        <v>6.2356310142558501E-3</v>
      </c>
      <c r="L142">
        <f t="shared" si="24"/>
        <v>0.89113620195290466</v>
      </c>
      <c r="M142">
        <f>IF(AND(MOD(C142,12)=1,D142&lt;='[1]Product parameters'!$C$2),I141*[1]model_point!$G$2,0)</f>
        <v>0</v>
      </c>
      <c r="N142">
        <f t="shared" si="25"/>
        <v>0</v>
      </c>
      <c r="O142">
        <f>[2]results_sample_product_cf!G141</f>
        <v>0</v>
      </c>
      <c r="P142">
        <f>[2]results_sample_product_cf!H141</f>
        <v>0</v>
      </c>
      <c r="Q142">
        <f t="shared" si="26"/>
        <v>0</v>
      </c>
      <c r="R142">
        <f t="shared" si="22"/>
        <v>0</v>
      </c>
    </row>
    <row r="143" spans="1:18" x14ac:dyDescent="0.3">
      <c r="A143">
        <f t="shared" si="27"/>
        <v>140</v>
      </c>
      <c r="B143">
        <f t="shared" si="28"/>
        <v>12</v>
      </c>
      <c r="C143">
        <f t="shared" si="29"/>
        <v>145</v>
      </c>
      <c r="D143">
        <f t="shared" si="23"/>
        <v>13</v>
      </c>
      <c r="E143">
        <f>[1]model_point!$C$2+D143-1</f>
        <v>17</v>
      </c>
      <c r="F143">
        <f>VLOOKUP(E143,'[1]202512 BE mortality'!$A:$C,3,0)</f>
        <v>4.4021862708375414E-3</v>
      </c>
      <c r="G143">
        <f>VLOOKUP(D143,'[1]202512 BE lapse'!$C:$D,2,0)</f>
        <v>7.0928325274745452E-3</v>
      </c>
      <c r="H143">
        <f>VLOOKUP($B143,'[1]202512 RFR'!$A:$B,2,0)</f>
        <v>0.01</v>
      </c>
      <c r="I143">
        <f t="shared" si="30"/>
        <v>1.7760159143098153</v>
      </c>
      <c r="J143">
        <f t="shared" si="31"/>
        <v>6.5308775513588297E-4</v>
      </c>
      <c r="K143">
        <f t="shared" si="32"/>
        <v>0</v>
      </c>
      <c r="L143">
        <f t="shared" si="24"/>
        <v>0.89039758322070139</v>
      </c>
      <c r="M143">
        <f>IF(AND(MOD(C143,12)=1,D143&lt;='[1]Product parameters'!$C$2),I142*[1]model_point!$G$2,0)</f>
        <v>0</v>
      </c>
      <c r="N143">
        <f t="shared" si="25"/>
        <v>0</v>
      </c>
      <c r="O143">
        <f>[2]results_sample_product_cf!G142</f>
        <v>0</v>
      </c>
      <c r="P143">
        <f>[2]results_sample_product_cf!H142</f>
        <v>0</v>
      </c>
      <c r="Q143">
        <f t="shared" si="26"/>
        <v>0</v>
      </c>
      <c r="R143">
        <f t="shared" si="22"/>
        <v>0</v>
      </c>
    </row>
    <row r="144" spans="1:18" x14ac:dyDescent="0.3">
      <c r="A144">
        <f t="shared" si="27"/>
        <v>141</v>
      </c>
      <c r="B144">
        <f t="shared" si="28"/>
        <v>12</v>
      </c>
      <c r="C144">
        <f t="shared" si="29"/>
        <v>146</v>
      </c>
      <c r="D144">
        <f t="shared" si="23"/>
        <v>13</v>
      </c>
      <c r="E144">
        <f>[1]model_point!$C$2+D144-1</f>
        <v>17</v>
      </c>
      <c r="F144">
        <f>VLOOKUP(E144,'[1]202512 BE mortality'!$A:$C,3,0)</f>
        <v>4.4021862708375414E-3</v>
      </c>
      <c r="G144">
        <f>VLOOKUP(D144,'[1]202512 BE lapse'!$C:$D,2,0)</f>
        <v>7.0928325274745452E-3</v>
      </c>
      <c r="H144">
        <f>VLOOKUP($B144,'[1]202512 RFR'!$A:$B,2,0)</f>
        <v>0.01</v>
      </c>
      <c r="I144">
        <f t="shared" si="30"/>
        <v>1.7753630666239413</v>
      </c>
      <c r="J144">
        <f t="shared" si="31"/>
        <v>6.5284768587401559E-4</v>
      </c>
      <c r="K144">
        <f t="shared" si="32"/>
        <v>0</v>
      </c>
      <c r="L144">
        <f t="shared" si="24"/>
        <v>0.88965957669304141</v>
      </c>
      <c r="M144">
        <f>IF(AND(MOD(C144,12)=1,D144&lt;='[1]Product parameters'!$C$2),I143*[1]model_point!$G$2,0)</f>
        <v>0</v>
      </c>
      <c r="N144">
        <f t="shared" si="25"/>
        <v>0</v>
      </c>
      <c r="O144">
        <f>[2]results_sample_product_cf!G143</f>
        <v>0</v>
      </c>
      <c r="P144">
        <f>[2]results_sample_product_cf!H143</f>
        <v>0</v>
      </c>
      <c r="Q144">
        <f t="shared" si="26"/>
        <v>0</v>
      </c>
      <c r="R144">
        <f t="shared" si="22"/>
        <v>0</v>
      </c>
    </row>
    <row r="145" spans="1:18" x14ac:dyDescent="0.3">
      <c r="A145">
        <f t="shared" si="27"/>
        <v>142</v>
      </c>
      <c r="B145">
        <f t="shared" si="28"/>
        <v>12</v>
      </c>
      <c r="C145">
        <f t="shared" si="29"/>
        <v>147</v>
      </c>
      <c r="D145">
        <f t="shared" si="23"/>
        <v>13</v>
      </c>
      <c r="E145">
        <f>[1]model_point!$C$2+D145-1</f>
        <v>17</v>
      </c>
      <c r="F145">
        <f>VLOOKUP(E145,'[1]202512 BE mortality'!$A:$C,3,0)</f>
        <v>4.4021862708375414E-3</v>
      </c>
      <c r="G145">
        <f>VLOOKUP(D145,'[1]202512 BE lapse'!$C:$D,2,0)</f>
        <v>7.0928325274745452E-3</v>
      </c>
      <c r="H145">
        <f>VLOOKUP($B145,'[1]202512 RFR'!$A:$B,2,0)</f>
        <v>0.01</v>
      </c>
      <c r="I145">
        <f t="shared" si="30"/>
        <v>1.7747104589190819</v>
      </c>
      <c r="J145">
        <f t="shared" si="31"/>
        <v>6.52607704859478E-4</v>
      </c>
      <c r="K145">
        <f t="shared" si="32"/>
        <v>0</v>
      </c>
      <c r="L145">
        <f t="shared" si="24"/>
        <v>0.88892218186249872</v>
      </c>
      <c r="M145">
        <f>IF(AND(MOD(C145,12)=1,D145&lt;='[1]Product parameters'!$C$2),I144*[1]model_point!$G$2,0)</f>
        <v>0</v>
      </c>
      <c r="N145">
        <f t="shared" si="25"/>
        <v>0</v>
      </c>
      <c r="O145">
        <f>[2]results_sample_product_cf!G144</f>
        <v>0</v>
      </c>
      <c r="P145">
        <f>[2]results_sample_product_cf!H144</f>
        <v>0</v>
      </c>
      <c r="Q145">
        <f t="shared" si="26"/>
        <v>0</v>
      </c>
      <c r="R145">
        <f t="shared" si="22"/>
        <v>0</v>
      </c>
    </row>
    <row r="146" spans="1:18" x14ac:dyDescent="0.3">
      <c r="A146">
        <f t="shared" si="27"/>
        <v>143</v>
      </c>
      <c r="B146">
        <f t="shared" si="28"/>
        <v>12</v>
      </c>
      <c r="C146">
        <f t="shared" si="29"/>
        <v>148</v>
      </c>
      <c r="D146">
        <f t="shared" si="23"/>
        <v>13</v>
      </c>
      <c r="E146">
        <f>[1]model_point!$C$2+D146-1</f>
        <v>17</v>
      </c>
      <c r="F146">
        <f>VLOOKUP(E146,'[1]202512 BE mortality'!$A:$C,3,0)</f>
        <v>4.4021862708375414E-3</v>
      </c>
      <c r="G146">
        <f>VLOOKUP(D146,'[1]202512 BE lapse'!$C:$D,2,0)</f>
        <v>7.0928325274745452E-3</v>
      </c>
      <c r="H146">
        <f>VLOOKUP($B146,'[1]202512 RFR'!$A:$B,2,0)</f>
        <v>0.01</v>
      </c>
      <c r="I146">
        <f t="shared" si="30"/>
        <v>1.7740580911070221</v>
      </c>
      <c r="J146">
        <f t="shared" si="31"/>
        <v>6.5236781205983121E-4</v>
      </c>
      <c r="K146">
        <f t="shared" si="32"/>
        <v>0</v>
      </c>
      <c r="L146">
        <f t="shared" si="24"/>
        <v>0.88818539822206777</v>
      </c>
      <c r="M146">
        <f>IF(AND(MOD(C146,12)=1,D146&lt;='[1]Product parameters'!$C$2),I145*[1]model_point!$G$2,0)</f>
        <v>0</v>
      </c>
      <c r="N146">
        <f t="shared" si="25"/>
        <v>0</v>
      </c>
      <c r="O146">
        <f>[2]results_sample_product_cf!G145</f>
        <v>0</v>
      </c>
      <c r="P146">
        <f>[2]results_sample_product_cf!H145</f>
        <v>0</v>
      </c>
      <c r="Q146">
        <f t="shared" si="26"/>
        <v>0</v>
      </c>
      <c r="R146">
        <f t="shared" si="22"/>
        <v>0</v>
      </c>
    </row>
    <row r="147" spans="1:18" x14ac:dyDescent="0.3">
      <c r="A147">
        <f t="shared" si="27"/>
        <v>144</v>
      </c>
      <c r="B147">
        <f t="shared" si="28"/>
        <v>12</v>
      </c>
      <c r="C147">
        <f t="shared" si="29"/>
        <v>149</v>
      </c>
      <c r="D147">
        <f t="shared" si="23"/>
        <v>13</v>
      </c>
      <c r="E147">
        <f>[1]model_point!$C$2+D147-1</f>
        <v>17</v>
      </c>
      <c r="F147">
        <f>VLOOKUP(E147,'[1]202512 BE mortality'!$A:$C,3,0)</f>
        <v>4.4021862708375414E-3</v>
      </c>
      <c r="G147">
        <f>VLOOKUP(D147,'[1]202512 BE lapse'!$C:$D,2,0)</f>
        <v>7.0928325274745452E-3</v>
      </c>
      <c r="H147">
        <f>VLOOKUP($B147,'[1]202512 RFR'!$A:$B,2,0)</f>
        <v>0.01</v>
      </c>
      <c r="I147">
        <f t="shared" si="30"/>
        <v>1.7734059630995793</v>
      </c>
      <c r="J147">
        <f t="shared" si="31"/>
        <v>6.5212800744264825E-4</v>
      </c>
      <c r="K147">
        <f t="shared" si="32"/>
        <v>0</v>
      </c>
      <c r="L147">
        <f t="shared" si="24"/>
        <v>0.88744922526516334</v>
      </c>
      <c r="M147">
        <f>IF(AND(MOD(C147,12)=1,D147&lt;='[1]Product parameters'!$C$2),I146*[1]model_point!$G$2,0)</f>
        <v>0</v>
      </c>
      <c r="N147">
        <f t="shared" si="25"/>
        <v>0</v>
      </c>
      <c r="O147">
        <f>[2]results_sample_product_cf!G146</f>
        <v>0</v>
      </c>
      <c r="P147">
        <f>[2]results_sample_product_cf!H146</f>
        <v>0</v>
      </c>
      <c r="Q147">
        <f t="shared" si="26"/>
        <v>0</v>
      </c>
      <c r="R147">
        <f t="shared" si="22"/>
        <v>0</v>
      </c>
    </row>
    <row r="148" spans="1:18" x14ac:dyDescent="0.3">
      <c r="A148">
        <f t="shared" si="27"/>
        <v>145</v>
      </c>
      <c r="B148">
        <f t="shared" si="28"/>
        <v>13</v>
      </c>
      <c r="C148">
        <f t="shared" si="29"/>
        <v>150</v>
      </c>
      <c r="D148">
        <f t="shared" si="23"/>
        <v>13</v>
      </c>
      <c r="E148">
        <f>[1]model_point!$C$2+D148-1</f>
        <v>17</v>
      </c>
      <c r="F148">
        <f>VLOOKUP(E148,'[1]202512 BE mortality'!$A:$C,3,0)</f>
        <v>4.4021862708375414E-3</v>
      </c>
      <c r="G148">
        <f>VLOOKUP(D148,'[1]202512 BE lapse'!$C:$D,2,0)</f>
        <v>7.0928325274745452E-3</v>
      </c>
      <c r="H148">
        <f>VLOOKUP($B148,'[1]202512 RFR'!$A:$B,2,0)</f>
        <v>0.01</v>
      </c>
      <c r="I148">
        <f t="shared" si="30"/>
        <v>1.7727540748086037</v>
      </c>
      <c r="J148">
        <f t="shared" si="31"/>
        <v>6.5188829097551396E-4</v>
      </c>
      <c r="K148">
        <f t="shared" si="32"/>
        <v>0</v>
      </c>
      <c r="L148">
        <f t="shared" si="24"/>
        <v>0.88671366248562</v>
      </c>
      <c r="M148">
        <f>IF(AND(MOD(C148,12)=1,D148&lt;='[1]Product parameters'!$C$2),I147*[1]model_point!$G$2,0)</f>
        <v>0</v>
      </c>
      <c r="N148">
        <f t="shared" si="25"/>
        <v>0</v>
      </c>
      <c r="O148">
        <f>[2]results_sample_product_cf!G147</f>
        <v>0</v>
      </c>
      <c r="P148">
        <f>[2]results_sample_product_cf!H147</f>
        <v>0</v>
      </c>
      <c r="Q148">
        <f t="shared" si="26"/>
        <v>0</v>
      </c>
      <c r="R148">
        <f t="shared" si="22"/>
        <v>0</v>
      </c>
    </row>
    <row r="149" spans="1:18" x14ac:dyDescent="0.3">
      <c r="A149">
        <f t="shared" si="27"/>
        <v>146</v>
      </c>
      <c r="B149">
        <f t="shared" si="28"/>
        <v>13</v>
      </c>
      <c r="C149">
        <f t="shared" si="29"/>
        <v>151</v>
      </c>
      <c r="D149">
        <f t="shared" si="23"/>
        <v>13</v>
      </c>
      <c r="E149">
        <f>[1]model_point!$C$2+D149-1</f>
        <v>17</v>
      </c>
      <c r="F149">
        <f>VLOOKUP(E149,'[1]202512 BE mortality'!$A:$C,3,0)</f>
        <v>4.4021862708375414E-3</v>
      </c>
      <c r="G149">
        <f>VLOOKUP(D149,'[1]202512 BE lapse'!$C:$D,2,0)</f>
        <v>7.0928325274745452E-3</v>
      </c>
      <c r="H149">
        <f>VLOOKUP($B149,'[1]202512 RFR'!$A:$B,2,0)</f>
        <v>0.01</v>
      </c>
      <c r="I149">
        <f t="shared" si="30"/>
        <v>1.7721024261459777</v>
      </c>
      <c r="J149">
        <f t="shared" si="31"/>
        <v>6.5164866262602513E-4</v>
      </c>
      <c r="K149">
        <f t="shared" si="32"/>
        <v>0</v>
      </c>
      <c r="L149">
        <f t="shared" si="24"/>
        <v>0.88597870937769196</v>
      </c>
      <c r="M149">
        <f>IF(AND(MOD(C149,12)=1,D149&lt;='[1]Product parameters'!$C$2),I148*[1]model_point!$G$2,0)</f>
        <v>0</v>
      </c>
      <c r="N149">
        <f t="shared" si="25"/>
        <v>0</v>
      </c>
      <c r="O149">
        <f>[2]results_sample_product_cf!G148</f>
        <v>0</v>
      </c>
      <c r="P149">
        <f>[2]results_sample_product_cf!H148</f>
        <v>0</v>
      </c>
      <c r="Q149">
        <f t="shared" si="26"/>
        <v>0</v>
      </c>
      <c r="R149">
        <f t="shared" si="22"/>
        <v>0</v>
      </c>
    </row>
    <row r="150" spans="1:18" x14ac:dyDescent="0.3">
      <c r="A150">
        <f t="shared" si="27"/>
        <v>147</v>
      </c>
      <c r="B150">
        <f t="shared" si="28"/>
        <v>13</v>
      </c>
      <c r="C150">
        <f t="shared" si="29"/>
        <v>152</v>
      </c>
      <c r="D150">
        <f t="shared" si="23"/>
        <v>13</v>
      </c>
      <c r="E150">
        <f>[1]model_point!$C$2+D150-1</f>
        <v>17</v>
      </c>
      <c r="F150">
        <f>VLOOKUP(E150,'[1]202512 BE mortality'!$A:$C,3,0)</f>
        <v>4.4021862708375414E-3</v>
      </c>
      <c r="G150">
        <f>VLOOKUP(D150,'[1]202512 BE lapse'!$C:$D,2,0)</f>
        <v>7.0928325274745452E-3</v>
      </c>
      <c r="H150">
        <f>VLOOKUP($B150,'[1]202512 RFR'!$A:$B,2,0)</f>
        <v>0.01</v>
      </c>
      <c r="I150">
        <f t="shared" si="30"/>
        <v>1.771451017023616</v>
      </c>
      <c r="J150">
        <f t="shared" si="31"/>
        <v>6.5140912236179077E-4</v>
      </c>
      <c r="K150">
        <f t="shared" si="32"/>
        <v>0</v>
      </c>
      <c r="L150">
        <f t="shared" si="24"/>
        <v>0.88524436543605256</v>
      </c>
      <c r="M150">
        <f>IF(AND(MOD(C150,12)=1,D150&lt;='[1]Product parameters'!$C$2),I149*[1]model_point!$G$2,0)</f>
        <v>0</v>
      </c>
      <c r="N150">
        <f t="shared" si="25"/>
        <v>0</v>
      </c>
      <c r="O150">
        <f>[2]results_sample_product_cf!G149</f>
        <v>0</v>
      </c>
      <c r="P150">
        <f>[2]results_sample_product_cf!H149</f>
        <v>0</v>
      </c>
      <c r="Q150">
        <f t="shared" si="26"/>
        <v>0</v>
      </c>
      <c r="R150">
        <f t="shared" si="22"/>
        <v>0</v>
      </c>
    </row>
    <row r="151" spans="1:18" x14ac:dyDescent="0.3">
      <c r="A151">
        <f t="shared" si="27"/>
        <v>148</v>
      </c>
      <c r="B151">
        <f t="shared" si="28"/>
        <v>13</v>
      </c>
      <c r="C151">
        <f t="shared" si="29"/>
        <v>153</v>
      </c>
      <c r="D151">
        <f t="shared" si="23"/>
        <v>13</v>
      </c>
      <c r="E151">
        <f>[1]model_point!$C$2+D151-1</f>
        <v>17</v>
      </c>
      <c r="F151">
        <f>VLOOKUP(E151,'[1]202512 BE mortality'!$A:$C,3,0)</f>
        <v>4.4021862708375414E-3</v>
      </c>
      <c r="G151">
        <f>VLOOKUP(D151,'[1]202512 BE lapse'!$C:$D,2,0)</f>
        <v>7.0928325274745452E-3</v>
      </c>
      <c r="H151">
        <f>VLOOKUP($B151,'[1]202512 RFR'!$A:$B,2,0)</f>
        <v>0.01</v>
      </c>
      <c r="I151">
        <f t="shared" si="30"/>
        <v>1.7707998473534656</v>
      </c>
      <c r="J151">
        <f t="shared" si="31"/>
        <v>6.5116967015043129E-4</v>
      </c>
      <c r="K151">
        <f t="shared" si="32"/>
        <v>0</v>
      </c>
      <c r="L151">
        <f t="shared" si="24"/>
        <v>0.88451063015579401</v>
      </c>
      <c r="M151">
        <f>IF(AND(MOD(C151,12)=1,D151&lt;='[1]Product parameters'!$C$2),I150*[1]model_point!$G$2,0)</f>
        <v>0</v>
      </c>
      <c r="N151">
        <f t="shared" si="25"/>
        <v>0</v>
      </c>
      <c r="O151">
        <f>[2]results_sample_product_cf!G150</f>
        <v>0</v>
      </c>
      <c r="P151">
        <f>[2]results_sample_product_cf!H150</f>
        <v>0</v>
      </c>
      <c r="Q151">
        <f t="shared" si="26"/>
        <v>0</v>
      </c>
      <c r="R151">
        <f t="shared" si="22"/>
        <v>0</v>
      </c>
    </row>
    <row r="152" spans="1:18" x14ac:dyDescent="0.3">
      <c r="A152">
        <f t="shared" si="27"/>
        <v>149</v>
      </c>
      <c r="B152">
        <f t="shared" si="28"/>
        <v>13</v>
      </c>
      <c r="C152">
        <f t="shared" si="29"/>
        <v>154</v>
      </c>
      <c r="D152">
        <f t="shared" si="23"/>
        <v>13</v>
      </c>
      <c r="E152">
        <f>[1]model_point!$C$2+D152-1</f>
        <v>17</v>
      </c>
      <c r="F152">
        <f>VLOOKUP(E152,'[1]202512 BE mortality'!$A:$C,3,0)</f>
        <v>4.4021862708375414E-3</v>
      </c>
      <c r="G152">
        <f>VLOOKUP(D152,'[1]202512 BE lapse'!$C:$D,2,0)</f>
        <v>7.0928325274745452E-3</v>
      </c>
      <c r="H152">
        <f>VLOOKUP($B152,'[1]202512 RFR'!$A:$B,2,0)</f>
        <v>0.01</v>
      </c>
      <c r="I152">
        <f t="shared" si="30"/>
        <v>1.770148917047506</v>
      </c>
      <c r="J152">
        <f t="shared" si="31"/>
        <v>6.5093030595957937E-4</v>
      </c>
      <c r="K152">
        <f t="shared" si="32"/>
        <v>0</v>
      </c>
      <c r="L152">
        <f t="shared" si="24"/>
        <v>0.88377750303242697</v>
      </c>
      <c r="M152">
        <f>IF(AND(MOD(C152,12)=1,D152&lt;='[1]Product parameters'!$C$2),I151*[1]model_point!$G$2,0)</f>
        <v>0</v>
      </c>
      <c r="N152">
        <f t="shared" si="25"/>
        <v>0</v>
      </c>
      <c r="O152">
        <f>[2]results_sample_product_cf!G151</f>
        <v>0</v>
      </c>
      <c r="P152">
        <f>[2]results_sample_product_cf!H151</f>
        <v>0</v>
      </c>
      <c r="Q152">
        <f t="shared" si="26"/>
        <v>0</v>
      </c>
      <c r="R152">
        <f t="shared" si="22"/>
        <v>0</v>
      </c>
    </row>
    <row r="153" spans="1:18" x14ac:dyDescent="0.3">
      <c r="A153">
        <f t="shared" si="27"/>
        <v>150</v>
      </c>
      <c r="B153">
        <f t="shared" si="28"/>
        <v>13</v>
      </c>
      <c r="C153">
        <f t="shared" si="29"/>
        <v>155</v>
      </c>
      <c r="D153">
        <f t="shared" si="23"/>
        <v>13</v>
      </c>
      <c r="E153">
        <f>[1]model_point!$C$2+D153-1</f>
        <v>17</v>
      </c>
      <c r="F153">
        <f>VLOOKUP(E153,'[1]202512 BE mortality'!$A:$C,3,0)</f>
        <v>4.4021862708375414E-3</v>
      </c>
      <c r="G153">
        <f>VLOOKUP(D153,'[1]202512 BE lapse'!$C:$D,2,0)</f>
        <v>7.0928325274745452E-3</v>
      </c>
      <c r="H153">
        <f>VLOOKUP($B153,'[1]202512 RFR'!$A:$B,2,0)</f>
        <v>0.01</v>
      </c>
      <c r="I153">
        <f t="shared" si="30"/>
        <v>1.7694982260177492</v>
      </c>
      <c r="J153">
        <f t="shared" si="31"/>
        <v>6.5069102975687926E-4</v>
      </c>
      <c r="K153">
        <f t="shared" si="32"/>
        <v>0</v>
      </c>
      <c r="L153">
        <f t="shared" si="24"/>
        <v>0.88304498356188021</v>
      </c>
      <c r="M153">
        <f>IF(AND(MOD(C153,12)=1,D153&lt;='[1]Product parameters'!$C$2),I152*[1]model_point!$G$2,0)</f>
        <v>0</v>
      </c>
      <c r="N153">
        <f t="shared" si="25"/>
        <v>0</v>
      </c>
      <c r="O153">
        <f>[2]results_sample_product_cf!G152</f>
        <v>0</v>
      </c>
      <c r="P153">
        <f>[2]results_sample_product_cf!H152</f>
        <v>0</v>
      </c>
      <c r="Q153">
        <f t="shared" si="26"/>
        <v>0</v>
      </c>
      <c r="R153">
        <f t="shared" si="22"/>
        <v>0</v>
      </c>
    </row>
    <row r="154" spans="1:18" x14ac:dyDescent="0.3">
      <c r="A154">
        <f t="shared" si="27"/>
        <v>151</v>
      </c>
      <c r="B154">
        <f t="shared" si="28"/>
        <v>13</v>
      </c>
      <c r="C154">
        <f t="shared" si="29"/>
        <v>156</v>
      </c>
      <c r="D154">
        <f t="shared" si="23"/>
        <v>13</v>
      </c>
      <c r="E154">
        <f>[1]model_point!$C$2+D154-1</f>
        <v>17</v>
      </c>
      <c r="F154">
        <f>VLOOKUP(E154,'[1]202512 BE mortality'!$A:$C,3,0)</f>
        <v>4.4021862708375414E-3</v>
      </c>
      <c r="G154">
        <f>VLOOKUP(D154,'[1]202512 BE lapse'!$C:$D,2,0)</f>
        <v>7.0928325274745452E-3</v>
      </c>
      <c r="H154">
        <f>VLOOKUP($B154,'[1]202512 RFR'!$A:$B,2,0)</f>
        <v>0.01</v>
      </c>
      <c r="I154">
        <f t="shared" si="30"/>
        <v>1.7563016331474111</v>
      </c>
      <c r="J154">
        <f t="shared" si="31"/>
        <v>6.5045184150998748E-4</v>
      </c>
      <c r="K154">
        <f t="shared" si="32"/>
        <v>1.2546141028828178E-2</v>
      </c>
      <c r="L154">
        <f t="shared" si="24"/>
        <v>0.8823130712405004</v>
      </c>
      <c r="M154">
        <f>IF(AND(MOD(C154,12)=1,D154&lt;='[1]Product parameters'!$C$2),I153*[1]model_point!$G$2,0)</f>
        <v>0</v>
      </c>
      <c r="N154">
        <f t="shared" si="25"/>
        <v>0</v>
      </c>
      <c r="O154">
        <f>[2]results_sample_product_cf!G153</f>
        <v>0</v>
      </c>
      <c r="P154">
        <f>[2]results_sample_product_cf!H153</f>
        <v>0</v>
      </c>
      <c r="Q154">
        <f t="shared" si="26"/>
        <v>0</v>
      </c>
      <c r="R154">
        <f t="shared" si="22"/>
        <v>0</v>
      </c>
    </row>
    <row r="155" spans="1:18" x14ac:dyDescent="0.3">
      <c r="A155">
        <f t="shared" si="27"/>
        <v>152</v>
      </c>
      <c r="B155">
        <f t="shared" si="28"/>
        <v>13</v>
      </c>
      <c r="C155">
        <f t="shared" si="29"/>
        <v>157</v>
      </c>
      <c r="D155">
        <f t="shared" si="23"/>
        <v>14</v>
      </c>
      <c r="E155">
        <f>[1]model_point!$C$2+D155-1</f>
        <v>18</v>
      </c>
      <c r="F155">
        <f>VLOOKUP(E155,'[1]202512 BE mortality'!$A:$C,3,0)</f>
        <v>2.4788509802417093E-3</v>
      </c>
      <c r="G155">
        <f>VLOOKUP(D155,'[1]202512 BE lapse'!$C:$D,2,0)</f>
        <v>8.5555094614541143E-4</v>
      </c>
      <c r="H155">
        <f>VLOOKUP($B155,'[1]202512 RFR'!$A:$B,2,0)</f>
        <v>0.01</v>
      </c>
      <c r="I155">
        <f t="shared" si="30"/>
        <v>1.7559384194654717</v>
      </c>
      <c r="J155">
        <f t="shared" si="31"/>
        <v>3.6321368193937111E-4</v>
      </c>
      <c r="K155">
        <f t="shared" si="32"/>
        <v>0</v>
      </c>
      <c r="L155">
        <f t="shared" si="24"/>
        <v>0.88158176556505163</v>
      </c>
      <c r="M155">
        <f>IF(AND(MOD(C155,12)=1,D155&lt;='[1]Product parameters'!$C$2),I154*[1]model_point!$G$2,0)</f>
        <v>0</v>
      </c>
      <c r="N155">
        <f t="shared" si="25"/>
        <v>0</v>
      </c>
      <c r="O155">
        <f>[2]results_sample_product_cf!G154</f>
        <v>0</v>
      </c>
      <c r="P155">
        <f>[2]results_sample_product_cf!H154</f>
        <v>0</v>
      </c>
      <c r="Q155">
        <f t="shared" si="26"/>
        <v>0</v>
      </c>
      <c r="R155">
        <f t="shared" si="22"/>
        <v>0</v>
      </c>
    </row>
    <row r="156" spans="1:18" x14ac:dyDescent="0.3">
      <c r="A156">
        <f t="shared" si="27"/>
        <v>153</v>
      </c>
      <c r="B156">
        <f t="shared" si="28"/>
        <v>13</v>
      </c>
      <c r="C156">
        <f t="shared" si="29"/>
        <v>158</v>
      </c>
      <c r="D156">
        <f t="shared" si="23"/>
        <v>14</v>
      </c>
      <c r="E156">
        <f>[1]model_point!$C$2+D156-1</f>
        <v>18</v>
      </c>
      <c r="F156">
        <f>VLOOKUP(E156,'[1]202512 BE mortality'!$A:$C,3,0)</f>
        <v>2.4788509802417093E-3</v>
      </c>
      <c r="G156">
        <f>VLOOKUP(D156,'[1]202512 BE lapse'!$C:$D,2,0)</f>
        <v>8.5555094614541143E-4</v>
      </c>
      <c r="H156">
        <f>VLOOKUP($B156,'[1]202512 RFR'!$A:$B,2,0)</f>
        <v>0.01</v>
      </c>
      <c r="I156">
        <f t="shared" si="30"/>
        <v>1.7555752808982941</v>
      </c>
      <c r="J156">
        <f t="shared" si="31"/>
        <v>3.6313856717761373E-4</v>
      </c>
      <c r="K156">
        <f t="shared" si="32"/>
        <v>0</v>
      </c>
      <c r="L156">
        <f t="shared" si="24"/>
        <v>0.88085106603271501</v>
      </c>
      <c r="M156">
        <f>IF(AND(MOD(C156,12)=1,D156&lt;='[1]Product parameters'!$C$2),I155*[1]model_point!$G$2,0)</f>
        <v>0</v>
      </c>
      <c r="N156">
        <f t="shared" si="25"/>
        <v>0</v>
      </c>
      <c r="O156">
        <f>[2]results_sample_product_cf!G155</f>
        <v>0</v>
      </c>
      <c r="P156">
        <f>[2]results_sample_product_cf!H155</f>
        <v>0</v>
      </c>
      <c r="Q156">
        <f t="shared" si="26"/>
        <v>0</v>
      </c>
      <c r="R156">
        <f t="shared" si="22"/>
        <v>0</v>
      </c>
    </row>
    <row r="157" spans="1:18" x14ac:dyDescent="0.3">
      <c r="A157">
        <f t="shared" si="27"/>
        <v>154</v>
      </c>
      <c r="B157">
        <f t="shared" si="28"/>
        <v>13</v>
      </c>
      <c r="C157">
        <f t="shared" si="29"/>
        <v>159</v>
      </c>
      <c r="D157">
        <f t="shared" si="23"/>
        <v>14</v>
      </c>
      <c r="E157">
        <f>[1]model_point!$C$2+D157-1</f>
        <v>18</v>
      </c>
      <c r="F157">
        <f>VLOOKUP(E157,'[1]202512 BE mortality'!$A:$C,3,0)</f>
        <v>2.4788509802417093E-3</v>
      </c>
      <c r="G157">
        <f>VLOOKUP(D157,'[1]202512 BE lapse'!$C:$D,2,0)</f>
        <v>8.5555094614541143E-4</v>
      </c>
      <c r="H157">
        <f>VLOOKUP($B157,'[1]202512 RFR'!$A:$B,2,0)</f>
        <v>0.01</v>
      </c>
      <c r="I157">
        <f t="shared" si="30"/>
        <v>1.7552122174303439</v>
      </c>
      <c r="J157">
        <f t="shared" si="31"/>
        <v>3.6306346795003837E-4</v>
      </c>
      <c r="K157">
        <f t="shared" si="32"/>
        <v>0</v>
      </c>
      <c r="L157">
        <f t="shared" si="24"/>
        <v>0.88012097214108853</v>
      </c>
      <c r="M157">
        <f>IF(AND(MOD(C157,12)=1,D157&lt;='[1]Product parameters'!$C$2),I156*[1]model_point!$G$2,0)</f>
        <v>0</v>
      </c>
      <c r="N157">
        <f t="shared" si="25"/>
        <v>0</v>
      </c>
      <c r="O157">
        <f>[2]results_sample_product_cf!G156</f>
        <v>0</v>
      </c>
      <c r="P157">
        <f>[2]results_sample_product_cf!H156</f>
        <v>0</v>
      </c>
      <c r="Q157">
        <f t="shared" si="26"/>
        <v>0</v>
      </c>
      <c r="R157">
        <f t="shared" si="22"/>
        <v>0</v>
      </c>
    </row>
    <row r="158" spans="1:18" x14ac:dyDescent="0.3">
      <c r="A158">
        <f t="shared" si="27"/>
        <v>155</v>
      </c>
      <c r="B158">
        <f t="shared" si="28"/>
        <v>13</v>
      </c>
      <c r="C158">
        <f t="shared" si="29"/>
        <v>160</v>
      </c>
      <c r="D158">
        <f t="shared" si="23"/>
        <v>14</v>
      </c>
      <c r="E158">
        <f>[1]model_point!$C$2+D158-1</f>
        <v>18</v>
      </c>
      <c r="F158">
        <f>VLOOKUP(E158,'[1]202512 BE mortality'!$A:$C,3,0)</f>
        <v>2.4788509802417093E-3</v>
      </c>
      <c r="G158">
        <f>VLOOKUP(D158,'[1]202512 BE lapse'!$C:$D,2,0)</f>
        <v>8.5555094614541143E-4</v>
      </c>
      <c r="H158">
        <f>VLOOKUP($B158,'[1]202512 RFR'!$A:$B,2,0)</f>
        <v>0.01</v>
      </c>
      <c r="I158">
        <f t="shared" si="30"/>
        <v>1.7548492290460904</v>
      </c>
      <c r="J158">
        <f t="shared" si="31"/>
        <v>3.6298838425343236E-4</v>
      </c>
      <c r="K158">
        <f t="shared" si="32"/>
        <v>0</v>
      </c>
      <c r="L158">
        <f t="shared" si="24"/>
        <v>0.87939148338818662</v>
      </c>
      <c r="M158">
        <f>IF(AND(MOD(C158,12)=1,D158&lt;='[1]Product parameters'!$C$2),I157*[1]model_point!$G$2,0)</f>
        <v>0</v>
      </c>
      <c r="N158">
        <f t="shared" si="25"/>
        <v>0</v>
      </c>
      <c r="O158">
        <f>[2]results_sample_product_cf!G157</f>
        <v>0</v>
      </c>
      <c r="P158">
        <f>[2]results_sample_product_cf!H157</f>
        <v>0</v>
      </c>
      <c r="Q158">
        <f t="shared" si="26"/>
        <v>0</v>
      </c>
      <c r="R158">
        <f t="shared" si="22"/>
        <v>0</v>
      </c>
    </row>
    <row r="159" spans="1:18" x14ac:dyDescent="0.3">
      <c r="A159">
        <f t="shared" si="27"/>
        <v>156</v>
      </c>
      <c r="B159">
        <f t="shared" si="28"/>
        <v>13</v>
      </c>
      <c r="C159">
        <f t="shared" si="29"/>
        <v>161</v>
      </c>
      <c r="D159">
        <f t="shared" si="23"/>
        <v>14</v>
      </c>
      <c r="E159">
        <f>[1]model_point!$C$2+D159-1</f>
        <v>18</v>
      </c>
      <c r="F159">
        <f>VLOOKUP(E159,'[1]202512 BE mortality'!$A:$C,3,0)</f>
        <v>2.4788509802417093E-3</v>
      </c>
      <c r="G159">
        <f>VLOOKUP(D159,'[1]202512 BE lapse'!$C:$D,2,0)</f>
        <v>8.5555094614541143E-4</v>
      </c>
      <c r="H159">
        <f>VLOOKUP($B159,'[1]202512 RFR'!$A:$B,2,0)</f>
        <v>0.01</v>
      </c>
      <c r="I159">
        <f t="shared" si="30"/>
        <v>1.7544863157300059</v>
      </c>
      <c r="J159">
        <f t="shared" si="31"/>
        <v>3.6291331608458388E-4</v>
      </c>
      <c r="K159">
        <f t="shared" si="32"/>
        <v>0</v>
      </c>
      <c r="L159">
        <f t="shared" si="24"/>
        <v>0.87866259927243962</v>
      </c>
      <c r="M159">
        <f>IF(AND(MOD(C159,12)=1,D159&lt;='[1]Product parameters'!$C$2),I158*[1]model_point!$G$2,0)</f>
        <v>0</v>
      </c>
      <c r="N159">
        <f t="shared" si="25"/>
        <v>0</v>
      </c>
      <c r="O159">
        <f>[2]results_sample_product_cf!G158</f>
        <v>0</v>
      </c>
      <c r="P159">
        <f>[2]results_sample_product_cf!H158</f>
        <v>0</v>
      </c>
      <c r="Q159">
        <f t="shared" si="26"/>
        <v>0</v>
      </c>
      <c r="R159">
        <f t="shared" si="22"/>
        <v>0</v>
      </c>
    </row>
    <row r="160" spans="1:18" x14ac:dyDescent="0.3">
      <c r="A160">
        <f t="shared" si="27"/>
        <v>157</v>
      </c>
      <c r="B160">
        <f t="shared" si="28"/>
        <v>14</v>
      </c>
      <c r="C160">
        <f t="shared" si="29"/>
        <v>162</v>
      </c>
      <c r="D160">
        <f t="shared" si="23"/>
        <v>14</v>
      </c>
      <c r="E160">
        <f>[1]model_point!$C$2+D160-1</f>
        <v>18</v>
      </c>
      <c r="F160">
        <f>VLOOKUP(E160,'[1]202512 BE mortality'!$A:$C,3,0)</f>
        <v>2.4788509802417093E-3</v>
      </c>
      <c r="G160">
        <f>VLOOKUP(D160,'[1]202512 BE lapse'!$C:$D,2,0)</f>
        <v>8.5555094614541143E-4</v>
      </c>
      <c r="H160">
        <f>VLOOKUP($B160,'[1]202512 RFR'!$A:$B,2,0)</f>
        <v>0.01</v>
      </c>
      <c r="I160">
        <f t="shared" si="30"/>
        <v>1.7541234774665657</v>
      </c>
      <c r="J160">
        <f t="shared" si="31"/>
        <v>3.6283826344028178E-4</v>
      </c>
      <c r="K160">
        <f t="shared" si="32"/>
        <v>0</v>
      </c>
      <c r="L160">
        <f t="shared" si="24"/>
        <v>0.87793431929269372</v>
      </c>
      <c r="M160">
        <f>IF(AND(MOD(C160,12)=1,D160&lt;='[1]Product parameters'!$C$2),I159*[1]model_point!$G$2,0)</f>
        <v>0</v>
      </c>
      <c r="N160">
        <f t="shared" si="25"/>
        <v>0</v>
      </c>
      <c r="O160">
        <f>[2]results_sample_product_cf!G159</f>
        <v>0</v>
      </c>
      <c r="P160">
        <f>[2]results_sample_product_cf!H159</f>
        <v>0</v>
      </c>
      <c r="Q160">
        <f t="shared" si="26"/>
        <v>0</v>
      </c>
      <c r="R160">
        <f t="shared" si="22"/>
        <v>0</v>
      </c>
    </row>
    <row r="161" spans="1:18" x14ac:dyDescent="0.3">
      <c r="A161">
        <f t="shared" si="27"/>
        <v>158</v>
      </c>
      <c r="B161">
        <f t="shared" si="28"/>
        <v>14</v>
      </c>
      <c r="C161">
        <f t="shared" si="29"/>
        <v>163</v>
      </c>
      <c r="D161">
        <f t="shared" si="23"/>
        <v>14</v>
      </c>
      <c r="E161">
        <f>[1]model_point!$C$2+D161-1</f>
        <v>18</v>
      </c>
      <c r="F161">
        <f>VLOOKUP(E161,'[1]202512 BE mortality'!$A:$C,3,0)</f>
        <v>2.4788509802417093E-3</v>
      </c>
      <c r="G161">
        <f>VLOOKUP(D161,'[1]202512 BE lapse'!$C:$D,2,0)</f>
        <v>8.5555094614541143E-4</v>
      </c>
      <c r="H161">
        <f>VLOOKUP($B161,'[1]202512 RFR'!$A:$B,2,0)</f>
        <v>0.01</v>
      </c>
      <c r="I161">
        <f t="shared" si="30"/>
        <v>1.7537607142402485</v>
      </c>
      <c r="J161">
        <f t="shared" si="31"/>
        <v>3.6276322631731536E-4</v>
      </c>
      <c r="K161">
        <f t="shared" si="32"/>
        <v>0</v>
      </c>
      <c r="L161">
        <f t="shared" si="24"/>
        <v>0.87720664294821049</v>
      </c>
      <c r="M161">
        <f>IF(AND(MOD(C161,12)=1,D161&lt;='[1]Product parameters'!$C$2),I160*[1]model_point!$G$2,0)</f>
        <v>0</v>
      </c>
      <c r="N161">
        <f t="shared" si="25"/>
        <v>0</v>
      </c>
      <c r="O161">
        <f>[2]results_sample_product_cf!G160</f>
        <v>0</v>
      </c>
      <c r="P161">
        <f>[2]results_sample_product_cf!H160</f>
        <v>0</v>
      </c>
      <c r="Q161">
        <f t="shared" si="26"/>
        <v>0</v>
      </c>
      <c r="R161">
        <f t="shared" si="22"/>
        <v>0</v>
      </c>
    </row>
    <row r="162" spans="1:18" x14ac:dyDescent="0.3">
      <c r="A162">
        <f t="shared" si="27"/>
        <v>159</v>
      </c>
      <c r="B162">
        <f t="shared" si="28"/>
        <v>14</v>
      </c>
      <c r="C162">
        <f t="shared" si="29"/>
        <v>164</v>
      </c>
      <c r="D162">
        <f t="shared" si="23"/>
        <v>14</v>
      </c>
      <c r="E162">
        <f>[1]model_point!$C$2+D162-1</f>
        <v>18</v>
      </c>
      <c r="F162">
        <f>VLOOKUP(E162,'[1]202512 BE mortality'!$A:$C,3,0)</f>
        <v>2.4788509802417093E-3</v>
      </c>
      <c r="G162">
        <f>VLOOKUP(D162,'[1]202512 BE lapse'!$C:$D,2,0)</f>
        <v>8.5555094614541143E-4</v>
      </c>
      <c r="H162">
        <f>VLOOKUP($B162,'[1]202512 RFR'!$A:$B,2,0)</f>
        <v>0.01</v>
      </c>
      <c r="I162">
        <f t="shared" si="30"/>
        <v>1.753398026035536</v>
      </c>
      <c r="J162">
        <f t="shared" si="31"/>
        <v>3.6268820471247474E-4</v>
      </c>
      <c r="K162">
        <f t="shared" si="32"/>
        <v>0</v>
      </c>
      <c r="L162">
        <f t="shared" si="24"/>
        <v>0.87647956973866659</v>
      </c>
      <c r="M162">
        <f>IF(AND(MOD(C162,12)=1,D162&lt;='[1]Product parameters'!$C$2),I161*[1]model_point!$G$2,0)</f>
        <v>0</v>
      </c>
      <c r="N162">
        <f t="shared" si="25"/>
        <v>0</v>
      </c>
      <c r="O162">
        <f>[2]results_sample_product_cf!G161</f>
        <v>0</v>
      </c>
      <c r="P162">
        <f>[2]results_sample_product_cf!H161</f>
        <v>0</v>
      </c>
      <c r="Q162">
        <f t="shared" si="26"/>
        <v>0</v>
      </c>
      <c r="R162">
        <f t="shared" si="22"/>
        <v>0</v>
      </c>
    </row>
    <row r="163" spans="1:18" x14ac:dyDescent="0.3">
      <c r="A163">
        <f t="shared" si="27"/>
        <v>160</v>
      </c>
      <c r="B163">
        <f t="shared" si="28"/>
        <v>14</v>
      </c>
      <c r="C163">
        <f t="shared" si="29"/>
        <v>165</v>
      </c>
      <c r="D163">
        <f t="shared" si="23"/>
        <v>14</v>
      </c>
      <c r="E163">
        <f>[1]model_point!$C$2+D163-1</f>
        <v>18</v>
      </c>
      <c r="F163">
        <f>VLOOKUP(E163,'[1]202512 BE mortality'!$A:$C,3,0)</f>
        <v>2.4788509802417093E-3</v>
      </c>
      <c r="G163">
        <f>VLOOKUP(D163,'[1]202512 BE lapse'!$C:$D,2,0)</f>
        <v>8.5555094614541143E-4</v>
      </c>
      <c r="H163">
        <f>VLOOKUP($B163,'[1]202512 RFR'!$A:$B,2,0)</f>
        <v>0.01</v>
      </c>
      <c r="I163">
        <f t="shared" si="30"/>
        <v>1.7530354128369134</v>
      </c>
      <c r="J163">
        <f t="shared" si="31"/>
        <v>3.6261319862255066E-4</v>
      </c>
      <c r="K163">
        <f t="shared" si="32"/>
        <v>0</v>
      </c>
      <c r="L163">
        <f t="shared" si="24"/>
        <v>0.87575309916415311</v>
      </c>
      <c r="M163">
        <f>IF(AND(MOD(C163,12)=1,D163&lt;='[1]Product parameters'!$C$2),I162*[1]model_point!$G$2,0)</f>
        <v>0</v>
      </c>
      <c r="N163">
        <f t="shared" si="25"/>
        <v>0</v>
      </c>
      <c r="O163">
        <f>[2]results_sample_product_cf!G162</f>
        <v>0</v>
      </c>
      <c r="P163">
        <f>[2]results_sample_product_cf!H162</f>
        <v>0</v>
      </c>
      <c r="Q163">
        <f t="shared" si="26"/>
        <v>0</v>
      </c>
      <c r="R163">
        <f t="shared" si="22"/>
        <v>0</v>
      </c>
    </row>
    <row r="164" spans="1:18" x14ac:dyDescent="0.3">
      <c r="A164">
        <f t="shared" si="27"/>
        <v>161</v>
      </c>
      <c r="B164">
        <f t="shared" si="28"/>
        <v>14</v>
      </c>
      <c r="C164">
        <f t="shared" si="29"/>
        <v>166</v>
      </c>
      <c r="D164">
        <f t="shared" si="23"/>
        <v>14</v>
      </c>
      <c r="E164">
        <f>[1]model_point!$C$2+D164-1</f>
        <v>18</v>
      </c>
      <c r="F164">
        <f>VLOOKUP(E164,'[1]202512 BE mortality'!$A:$C,3,0)</f>
        <v>2.4788509802417093E-3</v>
      </c>
      <c r="G164">
        <f>VLOOKUP(D164,'[1]202512 BE lapse'!$C:$D,2,0)</f>
        <v>8.5555094614541143E-4</v>
      </c>
      <c r="H164">
        <f>VLOOKUP($B164,'[1]202512 RFR'!$A:$B,2,0)</f>
        <v>0.01</v>
      </c>
      <c r="I164">
        <f t="shared" si="30"/>
        <v>1.7526728746288691</v>
      </c>
      <c r="J164">
        <f t="shared" si="31"/>
        <v>3.6253820804433467E-4</v>
      </c>
      <c r="K164">
        <f t="shared" si="32"/>
        <v>0</v>
      </c>
      <c r="L164">
        <f t="shared" si="24"/>
        <v>0.87502723072517585</v>
      </c>
      <c r="M164">
        <f>IF(AND(MOD(C164,12)=1,D164&lt;='[1]Product parameters'!$C$2),I163*[1]model_point!$G$2,0)</f>
        <v>0</v>
      </c>
      <c r="N164">
        <f t="shared" si="25"/>
        <v>0</v>
      </c>
      <c r="O164">
        <f>[2]results_sample_product_cf!G163</f>
        <v>0</v>
      </c>
      <c r="P164">
        <f>[2]results_sample_product_cf!H163</f>
        <v>0</v>
      </c>
      <c r="Q164">
        <f t="shared" si="26"/>
        <v>0</v>
      </c>
      <c r="R164">
        <f t="shared" si="22"/>
        <v>0</v>
      </c>
    </row>
    <row r="165" spans="1:18" x14ac:dyDescent="0.3">
      <c r="A165">
        <f t="shared" si="27"/>
        <v>162</v>
      </c>
      <c r="B165">
        <f t="shared" si="28"/>
        <v>14</v>
      </c>
      <c r="C165">
        <f t="shared" si="29"/>
        <v>167</v>
      </c>
      <c r="D165">
        <f t="shared" si="23"/>
        <v>14</v>
      </c>
      <c r="E165">
        <f>[1]model_point!$C$2+D165-1</f>
        <v>18</v>
      </c>
      <c r="F165">
        <f>VLOOKUP(E165,'[1]202512 BE mortality'!$A:$C,3,0)</f>
        <v>2.4788509802417093E-3</v>
      </c>
      <c r="G165">
        <f>VLOOKUP(D165,'[1]202512 BE lapse'!$C:$D,2,0)</f>
        <v>8.5555094614541143E-4</v>
      </c>
      <c r="H165">
        <f>VLOOKUP($B165,'[1]202512 RFR'!$A:$B,2,0)</f>
        <v>0.01</v>
      </c>
      <c r="I165">
        <f t="shared" si="30"/>
        <v>1.7523104113958945</v>
      </c>
      <c r="J165">
        <f t="shared" si="31"/>
        <v>3.624632329746187E-4</v>
      </c>
      <c r="K165">
        <f t="shared" si="32"/>
        <v>0</v>
      </c>
      <c r="L165">
        <f t="shared" si="24"/>
        <v>0.87430196392265436</v>
      </c>
      <c r="M165">
        <f>IF(AND(MOD(C165,12)=1,D165&lt;='[1]Product parameters'!$C$2),I164*[1]model_point!$G$2,0)</f>
        <v>0</v>
      </c>
      <c r="N165">
        <f t="shared" si="25"/>
        <v>0</v>
      </c>
      <c r="O165">
        <f>[2]results_sample_product_cf!G164</f>
        <v>0</v>
      </c>
      <c r="P165">
        <f>[2]results_sample_product_cf!H164</f>
        <v>0</v>
      </c>
      <c r="Q165">
        <f t="shared" si="26"/>
        <v>0</v>
      </c>
      <c r="R165">
        <f t="shared" si="22"/>
        <v>0</v>
      </c>
    </row>
    <row r="166" spans="1:18" x14ac:dyDescent="0.3">
      <c r="A166">
        <f t="shared" si="27"/>
        <v>163</v>
      </c>
      <c r="B166">
        <f t="shared" si="28"/>
        <v>14</v>
      </c>
      <c r="C166">
        <f t="shared" si="29"/>
        <v>168</v>
      </c>
      <c r="D166">
        <f t="shared" si="23"/>
        <v>14</v>
      </c>
      <c r="E166">
        <f>[1]model_point!$C$2+D166-1</f>
        <v>18</v>
      </c>
      <c r="F166">
        <f>VLOOKUP(E166,'[1]202512 BE mortality'!$A:$C,3,0)</f>
        <v>2.4788509802417093E-3</v>
      </c>
      <c r="G166">
        <f>VLOOKUP(D166,'[1]202512 BE lapse'!$C:$D,2,0)</f>
        <v>8.5555094614541143E-4</v>
      </c>
      <c r="H166">
        <f>VLOOKUP($B166,'[1]202512 RFR'!$A:$B,2,0)</f>
        <v>0.01</v>
      </c>
      <c r="I166">
        <f t="shared" si="30"/>
        <v>1.7504491423337041</v>
      </c>
      <c r="J166">
        <f t="shared" si="31"/>
        <v>3.6238827341019558E-4</v>
      </c>
      <c r="K166">
        <f t="shared" si="32"/>
        <v>1.4988807887800245E-3</v>
      </c>
      <c r="L166">
        <f t="shared" si="24"/>
        <v>0.87357729825792185</v>
      </c>
      <c r="M166">
        <f>IF(AND(MOD(C166,12)=1,D166&lt;='[1]Product parameters'!$C$2),I165*[1]model_point!$G$2,0)</f>
        <v>0</v>
      </c>
      <c r="N166">
        <f t="shared" si="25"/>
        <v>0</v>
      </c>
      <c r="O166">
        <f>[2]results_sample_product_cf!G165</f>
        <v>0</v>
      </c>
      <c r="P166">
        <f>[2]results_sample_product_cf!H165</f>
        <v>0</v>
      </c>
      <c r="Q166">
        <f t="shared" si="26"/>
        <v>0</v>
      </c>
      <c r="R166">
        <f t="shared" si="22"/>
        <v>0</v>
      </c>
    </row>
    <row r="167" spans="1:18" x14ac:dyDescent="0.3">
      <c r="A167">
        <f t="shared" si="27"/>
        <v>164</v>
      </c>
      <c r="B167">
        <f t="shared" si="28"/>
        <v>14</v>
      </c>
      <c r="C167">
        <f t="shared" si="29"/>
        <v>169</v>
      </c>
      <c r="D167">
        <f t="shared" si="23"/>
        <v>15</v>
      </c>
      <c r="E167">
        <f>[1]model_point!$C$2+D167-1</f>
        <v>19</v>
      </c>
      <c r="F167">
        <f>VLOOKUP(E167,'[1]202512 BE mortality'!$A:$C,3,0)</f>
        <v>1.0036168278939239E-3</v>
      </c>
      <c r="G167">
        <f>VLOOKUP(D167,'[1]202512 BE lapse'!$C:$D,2,0)</f>
        <v>6.4676732154987059E-3</v>
      </c>
      <c r="H167">
        <f>VLOOKUP($B167,'[1]202512 RFR'!$A:$B,2,0)</f>
        <v>0.01</v>
      </c>
      <c r="I167">
        <f t="shared" si="30"/>
        <v>1.7503026765972605</v>
      </c>
      <c r="J167">
        <f t="shared" si="31"/>
        <v>1.4646573644361727E-4</v>
      </c>
      <c r="K167">
        <f t="shared" si="32"/>
        <v>0</v>
      </c>
      <c r="L167">
        <f t="shared" si="24"/>
        <v>0.87285323323272501</v>
      </c>
      <c r="M167">
        <f>IF(AND(MOD(C167,12)=1,D167&lt;='[1]Product parameters'!$C$2),I166*[1]model_point!$G$2,0)</f>
        <v>0</v>
      </c>
      <c r="N167">
        <f t="shared" si="25"/>
        <v>0</v>
      </c>
      <c r="O167">
        <f>[2]results_sample_product_cf!G166</f>
        <v>0</v>
      </c>
      <c r="P167">
        <f>[2]results_sample_product_cf!H166</f>
        <v>0</v>
      </c>
      <c r="Q167">
        <f t="shared" si="26"/>
        <v>0</v>
      </c>
      <c r="R167">
        <f t="shared" si="22"/>
        <v>0</v>
      </c>
    </row>
    <row r="168" spans="1:18" x14ac:dyDescent="0.3">
      <c r="A168">
        <f t="shared" si="27"/>
        <v>165</v>
      </c>
      <c r="B168">
        <f t="shared" si="28"/>
        <v>14</v>
      </c>
      <c r="C168">
        <f t="shared" si="29"/>
        <v>170</v>
      </c>
      <c r="D168">
        <f t="shared" si="23"/>
        <v>15</v>
      </c>
      <c r="E168">
        <f>[1]model_point!$C$2+D168-1</f>
        <v>19</v>
      </c>
      <c r="F168">
        <f>VLOOKUP(E168,'[1]202512 BE mortality'!$A:$C,3,0)</f>
        <v>1.0036168278939239E-3</v>
      </c>
      <c r="G168">
        <f>VLOOKUP(D168,'[1]202512 BE lapse'!$C:$D,2,0)</f>
        <v>6.4676732154987059E-3</v>
      </c>
      <c r="H168">
        <f>VLOOKUP($B168,'[1]202512 RFR'!$A:$B,2,0)</f>
        <v>0.01</v>
      </c>
      <c r="I168">
        <f t="shared" si="30"/>
        <v>1.7501562231160783</v>
      </c>
      <c r="J168">
        <f t="shared" si="31"/>
        <v>1.4645348118213429E-4</v>
      </c>
      <c r="K168">
        <f t="shared" si="32"/>
        <v>0</v>
      </c>
      <c r="L168">
        <f t="shared" si="24"/>
        <v>0.8721297683492234</v>
      </c>
      <c r="M168">
        <f>IF(AND(MOD(C168,12)=1,D168&lt;='[1]Product parameters'!$C$2),I167*[1]model_point!$G$2,0)</f>
        <v>0</v>
      </c>
      <c r="N168">
        <f t="shared" si="25"/>
        <v>0</v>
      </c>
      <c r="O168">
        <f>[2]results_sample_product_cf!G167</f>
        <v>0</v>
      </c>
      <c r="P168">
        <f>[2]results_sample_product_cf!H167</f>
        <v>0</v>
      </c>
      <c r="Q168">
        <f t="shared" si="26"/>
        <v>0</v>
      </c>
      <c r="R168">
        <f t="shared" si="22"/>
        <v>0</v>
      </c>
    </row>
    <row r="169" spans="1:18" x14ac:dyDescent="0.3">
      <c r="A169">
        <f t="shared" si="27"/>
        <v>166</v>
      </c>
      <c r="B169">
        <f t="shared" si="28"/>
        <v>14</v>
      </c>
      <c r="C169">
        <f t="shared" si="29"/>
        <v>171</v>
      </c>
      <c r="D169">
        <f t="shared" si="23"/>
        <v>15</v>
      </c>
      <c r="E169">
        <f>[1]model_point!$C$2+D169-1</f>
        <v>19</v>
      </c>
      <c r="F169">
        <f>VLOOKUP(E169,'[1]202512 BE mortality'!$A:$C,3,0)</f>
        <v>1.0036168278939239E-3</v>
      </c>
      <c r="G169">
        <f>VLOOKUP(D169,'[1]202512 BE lapse'!$C:$D,2,0)</f>
        <v>6.4676732154987059E-3</v>
      </c>
      <c r="H169">
        <f>VLOOKUP($B169,'[1]202512 RFR'!$A:$B,2,0)</f>
        <v>0.01</v>
      </c>
      <c r="I169">
        <f t="shared" si="30"/>
        <v>1.7500097818891323</v>
      </c>
      <c r="J169">
        <f t="shared" si="31"/>
        <v>1.4644122694608863E-4</v>
      </c>
      <c r="K169">
        <f t="shared" si="32"/>
        <v>0</v>
      </c>
      <c r="L169">
        <f t="shared" si="24"/>
        <v>0.87140690310998936</v>
      </c>
      <c r="M169">
        <f>IF(AND(MOD(C169,12)=1,D169&lt;='[1]Product parameters'!$C$2),I168*[1]model_point!$G$2,0)</f>
        <v>0</v>
      </c>
      <c r="N169">
        <f t="shared" si="25"/>
        <v>0</v>
      </c>
      <c r="O169">
        <f>[2]results_sample_product_cf!G168</f>
        <v>0</v>
      </c>
      <c r="P169">
        <f>[2]results_sample_product_cf!H168</f>
        <v>0</v>
      </c>
      <c r="Q169">
        <f t="shared" si="26"/>
        <v>0</v>
      </c>
      <c r="R169">
        <f t="shared" si="22"/>
        <v>0</v>
      </c>
    </row>
    <row r="170" spans="1:18" x14ac:dyDescent="0.3">
      <c r="A170">
        <f t="shared" si="27"/>
        <v>167</v>
      </c>
      <c r="B170">
        <f t="shared" si="28"/>
        <v>14</v>
      </c>
      <c r="C170">
        <f t="shared" si="29"/>
        <v>172</v>
      </c>
      <c r="D170">
        <f t="shared" si="23"/>
        <v>15</v>
      </c>
      <c r="E170">
        <f>[1]model_point!$C$2+D170-1</f>
        <v>19</v>
      </c>
      <c r="F170">
        <f>VLOOKUP(E170,'[1]202512 BE mortality'!$A:$C,3,0)</f>
        <v>1.0036168278939239E-3</v>
      </c>
      <c r="G170">
        <f>VLOOKUP(D170,'[1]202512 BE lapse'!$C:$D,2,0)</f>
        <v>6.4676732154987059E-3</v>
      </c>
      <c r="H170">
        <f>VLOOKUP($B170,'[1]202512 RFR'!$A:$B,2,0)</f>
        <v>0.01</v>
      </c>
      <c r="I170">
        <f t="shared" si="30"/>
        <v>1.7498633529153969</v>
      </c>
      <c r="J170">
        <f t="shared" si="31"/>
        <v>1.464289737353945E-4</v>
      </c>
      <c r="K170">
        <f t="shared" si="32"/>
        <v>0</v>
      </c>
      <c r="L170">
        <f t="shared" si="24"/>
        <v>0.87068463701800725</v>
      </c>
      <c r="M170">
        <f>IF(AND(MOD(C170,12)=1,D170&lt;='[1]Product parameters'!$C$2),I169*[1]model_point!$G$2,0)</f>
        <v>0</v>
      </c>
      <c r="N170">
        <f t="shared" si="25"/>
        <v>0</v>
      </c>
      <c r="O170">
        <f>[2]results_sample_product_cf!G169</f>
        <v>0</v>
      </c>
      <c r="P170">
        <f>[2]results_sample_product_cf!H169</f>
        <v>0</v>
      </c>
      <c r="Q170">
        <f t="shared" si="26"/>
        <v>0</v>
      </c>
      <c r="R170">
        <f t="shared" si="22"/>
        <v>0</v>
      </c>
    </row>
    <row r="171" spans="1:18" x14ac:dyDescent="0.3">
      <c r="A171">
        <f t="shared" si="27"/>
        <v>168</v>
      </c>
      <c r="B171">
        <f t="shared" si="28"/>
        <v>14</v>
      </c>
      <c r="C171">
        <f t="shared" si="29"/>
        <v>173</v>
      </c>
      <c r="D171">
        <f t="shared" si="23"/>
        <v>15</v>
      </c>
      <c r="E171">
        <f>[1]model_point!$C$2+D171-1</f>
        <v>19</v>
      </c>
      <c r="F171">
        <f>VLOOKUP(E171,'[1]202512 BE mortality'!$A:$C,3,0)</f>
        <v>1.0036168278939239E-3</v>
      </c>
      <c r="G171">
        <f>VLOOKUP(D171,'[1]202512 BE lapse'!$C:$D,2,0)</f>
        <v>6.4676732154987059E-3</v>
      </c>
      <c r="H171">
        <f>VLOOKUP($B171,'[1]202512 RFR'!$A:$B,2,0)</f>
        <v>0.01</v>
      </c>
      <c r="I171">
        <f t="shared" si="30"/>
        <v>1.7497169361938469</v>
      </c>
      <c r="J171">
        <f t="shared" si="31"/>
        <v>1.4641672154996611E-4</v>
      </c>
      <c r="K171">
        <f t="shared" si="32"/>
        <v>0</v>
      </c>
      <c r="L171">
        <f t="shared" si="24"/>
        <v>0.86996296957667363</v>
      </c>
      <c r="M171">
        <f>IF(AND(MOD(C171,12)=1,D171&lt;='[1]Product parameters'!$C$2),I170*[1]model_point!$G$2,0)</f>
        <v>0</v>
      </c>
      <c r="N171">
        <f t="shared" si="25"/>
        <v>0</v>
      </c>
      <c r="O171">
        <f>[2]results_sample_product_cf!G170</f>
        <v>0</v>
      </c>
      <c r="P171">
        <f>[2]results_sample_product_cf!H170</f>
        <v>0</v>
      </c>
      <c r="Q171">
        <f t="shared" si="26"/>
        <v>0</v>
      </c>
      <c r="R171">
        <f t="shared" si="22"/>
        <v>0</v>
      </c>
    </row>
    <row r="172" spans="1:18" x14ac:dyDescent="0.3">
      <c r="A172">
        <f t="shared" si="27"/>
        <v>169</v>
      </c>
      <c r="B172">
        <f t="shared" si="28"/>
        <v>15</v>
      </c>
      <c r="C172">
        <f t="shared" si="29"/>
        <v>174</v>
      </c>
      <c r="D172">
        <f t="shared" si="23"/>
        <v>15</v>
      </c>
      <c r="E172">
        <f>[1]model_point!$C$2+D172-1</f>
        <v>19</v>
      </c>
      <c r="F172">
        <f>VLOOKUP(E172,'[1]202512 BE mortality'!$A:$C,3,0)</f>
        <v>1.0036168278939239E-3</v>
      </c>
      <c r="G172">
        <f>VLOOKUP(D172,'[1]202512 BE lapse'!$C:$D,2,0)</f>
        <v>6.4676732154987059E-3</v>
      </c>
      <c r="H172">
        <f>VLOOKUP($B172,'[1]202512 RFR'!$A:$B,2,0)</f>
        <v>0.01</v>
      </c>
      <c r="I172">
        <f t="shared" si="30"/>
        <v>1.7495705317234571</v>
      </c>
      <c r="J172">
        <f t="shared" si="31"/>
        <v>1.4640447038971767E-4</v>
      </c>
      <c r="K172">
        <f t="shared" si="32"/>
        <v>0</v>
      </c>
      <c r="L172">
        <f t="shared" si="24"/>
        <v>0.86924190028979653</v>
      </c>
      <c r="M172">
        <f>IF(AND(MOD(C172,12)=1,D172&lt;='[1]Product parameters'!$C$2),I171*[1]model_point!$G$2,0)</f>
        <v>0</v>
      </c>
      <c r="N172">
        <f t="shared" si="25"/>
        <v>0</v>
      </c>
      <c r="O172">
        <f>[2]results_sample_product_cf!G171</f>
        <v>0</v>
      </c>
      <c r="P172">
        <f>[2]results_sample_product_cf!H171</f>
        <v>0</v>
      </c>
      <c r="Q172">
        <f t="shared" si="26"/>
        <v>0</v>
      </c>
      <c r="R172">
        <f t="shared" si="22"/>
        <v>0</v>
      </c>
    </row>
    <row r="173" spans="1:18" x14ac:dyDescent="0.3">
      <c r="A173">
        <f t="shared" si="27"/>
        <v>170</v>
      </c>
      <c r="B173">
        <f t="shared" si="28"/>
        <v>15</v>
      </c>
      <c r="C173">
        <f t="shared" si="29"/>
        <v>175</v>
      </c>
      <c r="D173">
        <f t="shared" si="23"/>
        <v>15</v>
      </c>
      <c r="E173">
        <f>[1]model_point!$C$2+D173-1</f>
        <v>19</v>
      </c>
      <c r="F173">
        <f>VLOOKUP(E173,'[1]202512 BE mortality'!$A:$C,3,0)</f>
        <v>1.0036168278939239E-3</v>
      </c>
      <c r="G173">
        <f>VLOOKUP(D173,'[1]202512 BE lapse'!$C:$D,2,0)</f>
        <v>6.4676732154987059E-3</v>
      </c>
      <c r="H173">
        <f>VLOOKUP($B173,'[1]202512 RFR'!$A:$B,2,0)</f>
        <v>0.01</v>
      </c>
      <c r="I173">
        <f t="shared" si="30"/>
        <v>1.7494241395032026</v>
      </c>
      <c r="J173">
        <f t="shared" si="31"/>
        <v>1.4639222025456338E-4</v>
      </c>
      <c r="K173">
        <f t="shared" si="32"/>
        <v>0</v>
      </c>
      <c r="L173">
        <f t="shared" si="24"/>
        <v>0.86852142866159532</v>
      </c>
      <c r="M173">
        <f>IF(AND(MOD(C173,12)=1,D173&lt;='[1]Product parameters'!$C$2),I172*[1]model_point!$G$2,0)</f>
        <v>0</v>
      </c>
      <c r="N173">
        <f t="shared" si="25"/>
        <v>0</v>
      </c>
      <c r="O173">
        <f>[2]results_sample_product_cf!G172</f>
        <v>0</v>
      </c>
      <c r="P173">
        <f>[2]results_sample_product_cf!H172</f>
        <v>0</v>
      </c>
      <c r="Q173">
        <f t="shared" si="26"/>
        <v>0</v>
      </c>
      <c r="R173">
        <f t="shared" si="22"/>
        <v>0</v>
      </c>
    </row>
    <row r="174" spans="1:18" x14ac:dyDescent="0.3">
      <c r="A174">
        <f t="shared" si="27"/>
        <v>171</v>
      </c>
      <c r="B174">
        <f t="shared" si="28"/>
        <v>15</v>
      </c>
      <c r="C174">
        <f t="shared" si="29"/>
        <v>176</v>
      </c>
      <c r="D174">
        <f t="shared" si="23"/>
        <v>15</v>
      </c>
      <c r="E174">
        <f>[1]model_point!$C$2+D174-1</f>
        <v>19</v>
      </c>
      <c r="F174">
        <f>VLOOKUP(E174,'[1]202512 BE mortality'!$A:$C,3,0)</f>
        <v>1.0036168278939239E-3</v>
      </c>
      <c r="G174">
        <f>VLOOKUP(D174,'[1]202512 BE lapse'!$C:$D,2,0)</f>
        <v>6.4676732154987059E-3</v>
      </c>
      <c r="H174">
        <f>VLOOKUP($B174,'[1]202512 RFR'!$A:$B,2,0)</f>
        <v>0.01</v>
      </c>
      <c r="I174">
        <f t="shared" si="30"/>
        <v>1.7492777595320581</v>
      </c>
      <c r="J174">
        <f t="shared" si="31"/>
        <v>1.4637997114441752E-4</v>
      </c>
      <c r="K174">
        <f t="shared" si="32"/>
        <v>0</v>
      </c>
      <c r="L174">
        <f t="shared" si="24"/>
        <v>0.86780155419670035</v>
      </c>
      <c r="M174">
        <f>IF(AND(MOD(C174,12)=1,D174&lt;='[1]Product parameters'!$C$2),I173*[1]model_point!$G$2,0)</f>
        <v>0</v>
      </c>
      <c r="N174">
        <f t="shared" si="25"/>
        <v>0</v>
      </c>
      <c r="O174">
        <f>[2]results_sample_product_cf!G173</f>
        <v>0</v>
      </c>
      <c r="P174">
        <f>[2]results_sample_product_cf!H173</f>
        <v>0</v>
      </c>
      <c r="Q174">
        <f t="shared" si="26"/>
        <v>0</v>
      </c>
      <c r="R174">
        <f t="shared" si="22"/>
        <v>0</v>
      </c>
    </row>
    <row r="175" spans="1:18" x14ac:dyDescent="0.3">
      <c r="A175">
        <f t="shared" si="27"/>
        <v>172</v>
      </c>
      <c r="B175">
        <f t="shared" si="28"/>
        <v>15</v>
      </c>
      <c r="C175">
        <f t="shared" si="29"/>
        <v>177</v>
      </c>
      <c r="D175">
        <f t="shared" si="23"/>
        <v>15</v>
      </c>
      <c r="E175">
        <f>[1]model_point!$C$2+D175-1</f>
        <v>19</v>
      </c>
      <c r="F175">
        <f>VLOOKUP(E175,'[1]202512 BE mortality'!$A:$C,3,0)</f>
        <v>1.0036168278939239E-3</v>
      </c>
      <c r="G175">
        <f>VLOOKUP(D175,'[1]202512 BE lapse'!$C:$D,2,0)</f>
        <v>6.4676732154987059E-3</v>
      </c>
      <c r="H175">
        <f>VLOOKUP($B175,'[1]202512 RFR'!$A:$B,2,0)</f>
        <v>0.01</v>
      </c>
      <c r="I175">
        <f t="shared" si="30"/>
        <v>1.749131391808999</v>
      </c>
      <c r="J175">
        <f t="shared" si="31"/>
        <v>1.4636772305919428E-4</v>
      </c>
      <c r="K175">
        <f t="shared" si="32"/>
        <v>0</v>
      </c>
      <c r="L175">
        <f t="shared" si="24"/>
        <v>0.86708227640015234</v>
      </c>
      <c r="M175">
        <f>IF(AND(MOD(C175,12)=1,D175&lt;='[1]Product parameters'!$C$2),I174*[1]model_point!$G$2,0)</f>
        <v>0</v>
      </c>
      <c r="N175">
        <f t="shared" si="25"/>
        <v>0</v>
      </c>
      <c r="O175">
        <f>[2]results_sample_product_cf!G174</f>
        <v>0</v>
      </c>
      <c r="P175">
        <f>[2]results_sample_product_cf!H174</f>
        <v>0</v>
      </c>
      <c r="Q175">
        <f t="shared" si="26"/>
        <v>0</v>
      </c>
      <c r="R175">
        <f t="shared" si="22"/>
        <v>0</v>
      </c>
    </row>
    <row r="176" spans="1:18" x14ac:dyDescent="0.3">
      <c r="A176">
        <f t="shared" si="27"/>
        <v>173</v>
      </c>
      <c r="B176">
        <f t="shared" si="28"/>
        <v>15</v>
      </c>
      <c r="C176">
        <f t="shared" si="29"/>
        <v>178</v>
      </c>
      <c r="D176">
        <f t="shared" si="23"/>
        <v>15</v>
      </c>
      <c r="E176">
        <f>[1]model_point!$C$2+D176-1</f>
        <v>19</v>
      </c>
      <c r="F176">
        <f>VLOOKUP(E176,'[1]202512 BE mortality'!$A:$C,3,0)</f>
        <v>1.0036168278939239E-3</v>
      </c>
      <c r="G176">
        <f>VLOOKUP(D176,'[1]202512 BE lapse'!$C:$D,2,0)</f>
        <v>6.4676732154987059E-3</v>
      </c>
      <c r="H176">
        <f>VLOOKUP($B176,'[1]202512 RFR'!$A:$B,2,0)</f>
        <v>0.01</v>
      </c>
      <c r="I176">
        <f t="shared" si="30"/>
        <v>1.7489850363330002</v>
      </c>
      <c r="J176">
        <f t="shared" si="31"/>
        <v>1.4635547599880789E-4</v>
      </c>
      <c r="K176">
        <f t="shared" si="32"/>
        <v>0</v>
      </c>
      <c r="L176">
        <f t="shared" si="24"/>
        <v>0.86636359477740255</v>
      </c>
      <c r="M176">
        <f>IF(AND(MOD(C176,12)=1,D176&lt;='[1]Product parameters'!$C$2),I175*[1]model_point!$G$2,0)</f>
        <v>0</v>
      </c>
      <c r="N176">
        <f t="shared" si="25"/>
        <v>0</v>
      </c>
      <c r="O176">
        <f>[2]results_sample_product_cf!G175</f>
        <v>0</v>
      </c>
      <c r="P176">
        <f>[2]results_sample_product_cf!H175</f>
        <v>0</v>
      </c>
      <c r="Q176">
        <f t="shared" si="26"/>
        <v>0</v>
      </c>
      <c r="R176">
        <f t="shared" si="22"/>
        <v>0</v>
      </c>
    </row>
    <row r="177" spans="1:18" x14ac:dyDescent="0.3">
      <c r="A177">
        <f t="shared" si="27"/>
        <v>174</v>
      </c>
      <c r="B177">
        <f t="shared" si="28"/>
        <v>15</v>
      </c>
      <c r="C177">
        <f t="shared" si="29"/>
        <v>179</v>
      </c>
      <c r="D177">
        <f t="shared" si="23"/>
        <v>15</v>
      </c>
      <c r="E177">
        <f>[1]model_point!$C$2+D177-1</f>
        <v>19</v>
      </c>
      <c r="F177">
        <f>VLOOKUP(E177,'[1]202512 BE mortality'!$A:$C,3,0)</f>
        <v>1.0036168278939239E-3</v>
      </c>
      <c r="G177">
        <f>VLOOKUP(D177,'[1]202512 BE lapse'!$C:$D,2,0)</f>
        <v>6.4676732154987059E-3</v>
      </c>
      <c r="H177">
        <f>VLOOKUP($B177,'[1]202512 RFR'!$A:$B,2,0)</f>
        <v>0.01</v>
      </c>
      <c r="I177">
        <f t="shared" si="30"/>
        <v>1.7488386931030371</v>
      </c>
      <c r="J177">
        <f t="shared" si="31"/>
        <v>1.4634322996317264E-4</v>
      </c>
      <c r="K177">
        <f t="shared" si="32"/>
        <v>0</v>
      </c>
      <c r="L177">
        <f t="shared" si="24"/>
        <v>0.86564550883431191</v>
      </c>
      <c r="M177">
        <f>IF(AND(MOD(C177,12)=1,D177&lt;='[1]Product parameters'!$C$2),I176*[1]model_point!$G$2,0)</f>
        <v>0</v>
      </c>
      <c r="N177">
        <f t="shared" si="25"/>
        <v>0</v>
      </c>
      <c r="O177">
        <f>[2]results_sample_product_cf!G176</f>
        <v>0</v>
      </c>
      <c r="P177">
        <f>[2]results_sample_product_cf!H176</f>
        <v>0</v>
      </c>
      <c r="Q177">
        <f t="shared" si="26"/>
        <v>0</v>
      </c>
      <c r="R177">
        <f t="shared" si="22"/>
        <v>0</v>
      </c>
    </row>
    <row r="178" spans="1:18" x14ac:dyDescent="0.3">
      <c r="A178">
        <f t="shared" si="27"/>
        <v>175</v>
      </c>
      <c r="B178">
        <f t="shared" si="28"/>
        <v>15</v>
      </c>
      <c r="C178">
        <f t="shared" si="29"/>
        <v>180</v>
      </c>
      <c r="D178">
        <f t="shared" si="23"/>
        <v>15</v>
      </c>
      <c r="E178">
        <f>[1]model_point!$C$2+D178-1</f>
        <v>19</v>
      </c>
      <c r="F178">
        <f>VLOOKUP(E178,'[1]202512 BE mortality'!$A:$C,3,0)</f>
        <v>1.0036168278939239E-3</v>
      </c>
      <c r="G178">
        <f>VLOOKUP(D178,'[1]202512 BE lapse'!$C:$D,2,0)</f>
        <v>6.4676732154987059E-3</v>
      </c>
      <c r="H178">
        <f>VLOOKUP($B178,'[1]202512 RFR'!$A:$B,2,0)</f>
        <v>0.01</v>
      </c>
      <c r="I178">
        <f t="shared" si="30"/>
        <v>1.7373823913654667</v>
      </c>
      <c r="J178">
        <f t="shared" si="31"/>
        <v>1.4633098495220277E-4</v>
      </c>
      <c r="K178">
        <f t="shared" si="32"/>
        <v>1.1309970752618302E-2</v>
      </c>
      <c r="L178">
        <f t="shared" si="24"/>
        <v>0.86492801807715103</v>
      </c>
      <c r="M178">
        <f>IF(AND(MOD(C178,12)=1,D178&lt;='[1]Product parameters'!$C$2),I177*[1]model_point!$G$2,0)</f>
        <v>0</v>
      </c>
      <c r="N178">
        <f t="shared" si="25"/>
        <v>0</v>
      </c>
      <c r="O178">
        <f>[2]results_sample_product_cf!G177</f>
        <v>0</v>
      </c>
      <c r="P178">
        <f>[2]results_sample_product_cf!H177</f>
        <v>0</v>
      </c>
      <c r="Q178">
        <f t="shared" si="26"/>
        <v>0</v>
      </c>
      <c r="R178">
        <f t="shared" si="22"/>
        <v>0</v>
      </c>
    </row>
    <row r="179" spans="1:18" x14ac:dyDescent="0.3">
      <c r="A179">
        <f t="shared" si="27"/>
        <v>176</v>
      </c>
      <c r="B179">
        <f t="shared" si="28"/>
        <v>15</v>
      </c>
      <c r="C179">
        <f t="shared" si="29"/>
        <v>181</v>
      </c>
      <c r="D179">
        <f t="shared" si="23"/>
        <v>16</v>
      </c>
      <c r="E179">
        <f>[1]model_point!$C$2+D179-1</f>
        <v>20</v>
      </c>
      <c r="F179">
        <f>VLOOKUP(E179,'[1]202512 BE mortality'!$A:$C,3,0)</f>
        <v>4.6559460784614017E-3</v>
      </c>
      <c r="G179">
        <f>VLOOKUP(D179,'[1]202512 BE lapse'!$C:$D,2,0)</f>
        <v>5.3714649173469721E-3</v>
      </c>
      <c r="H179">
        <f>VLOOKUP($B179,'[1]202512 RFR'!$A:$B,2,0)</f>
        <v>0.01</v>
      </c>
      <c r="I179">
        <f t="shared" si="30"/>
        <v>1.7367068520054714</v>
      </c>
      <c r="J179">
        <f t="shared" si="31"/>
        <v>6.7553935999521545E-4</v>
      </c>
      <c r="K179">
        <f t="shared" si="32"/>
        <v>0</v>
      </c>
      <c r="L179">
        <f t="shared" si="24"/>
        <v>0.86421112201259975</v>
      </c>
      <c r="M179">
        <f>IF(AND(MOD(C179,12)=1,D179&lt;='[1]Product parameters'!$C$2),I178*[1]model_point!$G$2,0)</f>
        <v>0</v>
      </c>
      <c r="N179">
        <f t="shared" si="25"/>
        <v>0</v>
      </c>
      <c r="O179">
        <f>[2]results_sample_product_cf!G178</f>
        <v>0</v>
      </c>
      <c r="P179">
        <f>[2]results_sample_product_cf!H178</f>
        <v>0</v>
      </c>
      <c r="Q179">
        <f t="shared" si="26"/>
        <v>0</v>
      </c>
      <c r="R179">
        <f t="shared" si="22"/>
        <v>0</v>
      </c>
    </row>
    <row r="180" spans="1:18" x14ac:dyDescent="0.3">
      <c r="A180">
        <f t="shared" si="27"/>
        <v>177</v>
      </c>
      <c r="B180">
        <f t="shared" si="28"/>
        <v>15</v>
      </c>
      <c r="C180">
        <f t="shared" si="29"/>
        <v>182</v>
      </c>
      <c r="D180">
        <f t="shared" si="23"/>
        <v>16</v>
      </c>
      <c r="E180">
        <f>[1]model_point!$C$2+D180-1</f>
        <v>20</v>
      </c>
      <c r="F180">
        <f>VLOOKUP(E180,'[1]202512 BE mortality'!$A:$C,3,0)</f>
        <v>4.6559460784614017E-3</v>
      </c>
      <c r="G180">
        <f>VLOOKUP(D180,'[1]202512 BE lapse'!$C:$D,2,0)</f>
        <v>5.3714649173469721E-3</v>
      </c>
      <c r="H180">
        <f>VLOOKUP($B180,'[1]202512 RFR'!$A:$B,2,0)</f>
        <v>0.01</v>
      </c>
      <c r="I180">
        <f t="shared" si="30"/>
        <v>1.73603157531271</v>
      </c>
      <c r="J180">
        <f t="shared" si="31"/>
        <v>6.7527669276135213E-4</v>
      </c>
      <c r="K180">
        <f t="shared" si="32"/>
        <v>0</v>
      </c>
      <c r="L180">
        <f t="shared" si="24"/>
        <v>0.8634948201477467</v>
      </c>
      <c r="M180">
        <f>IF(AND(MOD(C180,12)=1,D180&lt;='[1]Product parameters'!$C$2),I179*[1]model_point!$G$2,0)</f>
        <v>0</v>
      </c>
      <c r="N180">
        <f t="shared" si="25"/>
        <v>0</v>
      </c>
      <c r="O180">
        <f>[2]results_sample_product_cf!G179</f>
        <v>0</v>
      </c>
      <c r="P180">
        <f>[2]results_sample_product_cf!H179</f>
        <v>0</v>
      </c>
      <c r="Q180">
        <f t="shared" si="26"/>
        <v>0</v>
      </c>
      <c r="R180">
        <f t="shared" si="22"/>
        <v>0</v>
      </c>
    </row>
    <row r="181" spans="1:18" x14ac:dyDescent="0.3">
      <c r="A181">
        <f t="shared" si="27"/>
        <v>178</v>
      </c>
      <c r="B181">
        <f t="shared" si="28"/>
        <v>15</v>
      </c>
      <c r="C181">
        <f t="shared" si="29"/>
        <v>183</v>
      </c>
      <c r="D181">
        <f t="shared" si="23"/>
        <v>16</v>
      </c>
      <c r="E181">
        <f>[1]model_point!$C$2+D181-1</f>
        <v>20</v>
      </c>
      <c r="F181">
        <f>VLOOKUP(E181,'[1]202512 BE mortality'!$A:$C,3,0)</f>
        <v>4.6559460784614017E-3</v>
      </c>
      <c r="G181">
        <f>VLOOKUP(D181,'[1]202512 BE lapse'!$C:$D,2,0)</f>
        <v>5.3714649173469721E-3</v>
      </c>
      <c r="H181">
        <f>VLOOKUP($B181,'[1]202512 RFR'!$A:$B,2,0)</f>
        <v>0.01</v>
      </c>
      <c r="I181">
        <f t="shared" si="30"/>
        <v>1.7353565611850508</v>
      </c>
      <c r="J181">
        <f t="shared" si="31"/>
        <v>6.7501412765932575E-4</v>
      </c>
      <c r="K181">
        <f t="shared" si="32"/>
        <v>0</v>
      </c>
      <c r="L181">
        <f t="shared" si="24"/>
        <v>0.86277911199008916</v>
      </c>
      <c r="M181">
        <f>IF(AND(MOD(C181,12)=1,D181&lt;='[1]Product parameters'!$C$2),I180*[1]model_point!$G$2,0)</f>
        <v>0</v>
      </c>
      <c r="N181">
        <f t="shared" si="25"/>
        <v>0</v>
      </c>
      <c r="O181">
        <f>[2]results_sample_product_cf!G180</f>
        <v>0</v>
      </c>
      <c r="P181">
        <f>[2]results_sample_product_cf!H180</f>
        <v>0</v>
      </c>
      <c r="Q181">
        <f t="shared" si="26"/>
        <v>0</v>
      </c>
      <c r="R181">
        <f t="shared" si="22"/>
        <v>0</v>
      </c>
    </row>
    <row r="182" spans="1:18" x14ac:dyDescent="0.3">
      <c r="A182">
        <f t="shared" si="27"/>
        <v>179</v>
      </c>
      <c r="B182">
        <f t="shared" si="28"/>
        <v>15</v>
      </c>
      <c r="C182">
        <f t="shared" si="29"/>
        <v>184</v>
      </c>
      <c r="D182">
        <f t="shared" si="23"/>
        <v>16</v>
      </c>
      <c r="E182">
        <f>[1]model_point!$C$2+D182-1</f>
        <v>20</v>
      </c>
      <c r="F182">
        <f>VLOOKUP(E182,'[1]202512 BE mortality'!$A:$C,3,0)</f>
        <v>4.6559460784614017E-3</v>
      </c>
      <c r="G182">
        <f>VLOOKUP(D182,'[1]202512 BE lapse'!$C:$D,2,0)</f>
        <v>5.3714649173469721E-3</v>
      </c>
      <c r="H182">
        <f>VLOOKUP($B182,'[1]202512 RFR'!$A:$B,2,0)</f>
        <v>0.01</v>
      </c>
      <c r="I182">
        <f t="shared" si="30"/>
        <v>1.7346818095204013</v>
      </c>
      <c r="J182">
        <f t="shared" si="31"/>
        <v>6.7475166464942482E-4</v>
      </c>
      <c r="K182">
        <f t="shared" si="32"/>
        <v>0</v>
      </c>
      <c r="L182">
        <f t="shared" si="24"/>
        <v>0.86206399704753267</v>
      </c>
      <c r="M182">
        <f>IF(AND(MOD(C182,12)=1,D182&lt;='[1]Product parameters'!$C$2),I181*[1]model_point!$G$2,0)</f>
        <v>0</v>
      </c>
      <c r="N182">
        <f t="shared" si="25"/>
        <v>0</v>
      </c>
      <c r="O182">
        <f>[2]results_sample_product_cf!G181</f>
        <v>0</v>
      </c>
      <c r="P182">
        <f>[2]results_sample_product_cf!H181</f>
        <v>0</v>
      </c>
      <c r="Q182">
        <f t="shared" si="26"/>
        <v>0</v>
      </c>
      <c r="R182">
        <f t="shared" si="22"/>
        <v>0</v>
      </c>
    </row>
    <row r="183" spans="1:18" x14ac:dyDescent="0.3">
      <c r="A183">
        <f t="shared" si="27"/>
        <v>180</v>
      </c>
      <c r="B183">
        <f t="shared" si="28"/>
        <v>15</v>
      </c>
      <c r="C183">
        <f t="shared" si="29"/>
        <v>185</v>
      </c>
      <c r="D183">
        <f t="shared" si="23"/>
        <v>16</v>
      </c>
      <c r="E183">
        <f>[1]model_point!$C$2+D183-1</f>
        <v>20</v>
      </c>
      <c r="F183">
        <f>VLOOKUP(E183,'[1]202512 BE mortality'!$A:$C,3,0)</f>
        <v>4.6559460784614017E-3</v>
      </c>
      <c r="G183">
        <f>VLOOKUP(D183,'[1]202512 BE lapse'!$C:$D,2,0)</f>
        <v>5.3714649173469721E-3</v>
      </c>
      <c r="H183">
        <f>VLOOKUP($B183,'[1]202512 RFR'!$A:$B,2,0)</f>
        <v>0.01</v>
      </c>
      <c r="I183">
        <f t="shared" si="30"/>
        <v>1.7340073202167094</v>
      </c>
      <c r="J183">
        <f t="shared" si="31"/>
        <v>6.7448930369195322E-4</v>
      </c>
      <c r="K183">
        <f t="shared" si="32"/>
        <v>0</v>
      </c>
      <c r="L183">
        <f t="shared" si="24"/>
        <v>0.86134947482839042</v>
      </c>
      <c r="M183">
        <f>IF(AND(MOD(C183,12)=1,D183&lt;='[1]Product parameters'!$C$2),I182*[1]model_point!$G$2,0)</f>
        <v>0</v>
      </c>
      <c r="N183">
        <f t="shared" si="25"/>
        <v>0</v>
      </c>
      <c r="O183">
        <f>[2]results_sample_product_cf!G182</f>
        <v>0</v>
      </c>
      <c r="P183">
        <f>[2]results_sample_product_cf!H182</f>
        <v>0</v>
      </c>
      <c r="Q183">
        <f t="shared" si="26"/>
        <v>0</v>
      </c>
      <c r="R183">
        <f t="shared" si="22"/>
        <v>0</v>
      </c>
    </row>
    <row r="184" spans="1:18" x14ac:dyDescent="0.3">
      <c r="A184">
        <f t="shared" si="27"/>
        <v>181</v>
      </c>
      <c r="B184">
        <f t="shared" si="28"/>
        <v>16</v>
      </c>
      <c r="C184">
        <f t="shared" si="29"/>
        <v>186</v>
      </c>
      <c r="D184">
        <f t="shared" si="23"/>
        <v>16</v>
      </c>
      <c r="E184">
        <f>[1]model_point!$C$2+D184-1</f>
        <v>20</v>
      </c>
      <c r="F184">
        <f>VLOOKUP(E184,'[1]202512 BE mortality'!$A:$C,3,0)</f>
        <v>4.6559460784614017E-3</v>
      </c>
      <c r="G184">
        <f>VLOOKUP(D184,'[1]202512 BE lapse'!$C:$D,2,0)</f>
        <v>5.3714649173469721E-3</v>
      </c>
      <c r="H184">
        <f>VLOOKUP($B184,'[1]202512 RFR'!$A:$B,2,0)</f>
        <v>0.01</v>
      </c>
      <c r="I184">
        <f t="shared" si="30"/>
        <v>1.7333330931719622</v>
      </c>
      <c r="J184">
        <f t="shared" si="31"/>
        <v>6.7422704474723034E-4</v>
      </c>
      <c r="K184">
        <f t="shared" si="32"/>
        <v>0</v>
      </c>
      <c r="L184">
        <f t="shared" si="24"/>
        <v>0.86063554484138338</v>
      </c>
      <c r="M184">
        <f>IF(AND(MOD(C184,12)=1,D184&lt;='[1]Product parameters'!$C$2),I183*[1]model_point!$G$2,0)</f>
        <v>0</v>
      </c>
      <c r="N184">
        <f t="shared" si="25"/>
        <v>0</v>
      </c>
      <c r="O184">
        <f>[2]results_sample_product_cf!G183</f>
        <v>0</v>
      </c>
      <c r="P184">
        <f>[2]results_sample_product_cf!H183</f>
        <v>0</v>
      </c>
      <c r="Q184">
        <f t="shared" si="26"/>
        <v>0</v>
      </c>
      <c r="R184">
        <f t="shared" si="22"/>
        <v>0</v>
      </c>
    </row>
    <row r="185" spans="1:18" x14ac:dyDescent="0.3">
      <c r="A185">
        <f t="shared" si="27"/>
        <v>182</v>
      </c>
      <c r="B185">
        <f t="shared" si="28"/>
        <v>16</v>
      </c>
      <c r="C185">
        <f t="shared" si="29"/>
        <v>187</v>
      </c>
      <c r="D185">
        <f t="shared" si="23"/>
        <v>16</v>
      </c>
      <c r="E185">
        <f>[1]model_point!$C$2+D185-1</f>
        <v>20</v>
      </c>
      <c r="F185">
        <f>VLOOKUP(E185,'[1]202512 BE mortality'!$A:$C,3,0)</f>
        <v>4.6559460784614017E-3</v>
      </c>
      <c r="G185">
        <f>VLOOKUP(D185,'[1]202512 BE lapse'!$C:$D,2,0)</f>
        <v>5.3714649173469721E-3</v>
      </c>
      <c r="H185">
        <f>VLOOKUP($B185,'[1]202512 RFR'!$A:$B,2,0)</f>
        <v>0.01</v>
      </c>
      <c r="I185">
        <f t="shared" si="30"/>
        <v>1.7326591282841866</v>
      </c>
      <c r="J185">
        <f t="shared" si="31"/>
        <v>6.7396488777559087E-4</v>
      </c>
      <c r="K185">
        <f t="shared" si="32"/>
        <v>0</v>
      </c>
      <c r="L185">
        <f t="shared" si="24"/>
        <v>0.85992220659563967</v>
      </c>
      <c r="M185">
        <f>IF(AND(MOD(C185,12)=1,D185&lt;='[1]Product parameters'!$C$2),I184*[1]model_point!$G$2,0)</f>
        <v>0</v>
      </c>
      <c r="N185">
        <f t="shared" si="25"/>
        <v>0</v>
      </c>
      <c r="O185">
        <f>[2]results_sample_product_cf!G184</f>
        <v>0</v>
      </c>
      <c r="P185">
        <f>[2]results_sample_product_cf!H184</f>
        <v>0</v>
      </c>
      <c r="Q185">
        <f t="shared" si="26"/>
        <v>0</v>
      </c>
      <c r="R185">
        <f t="shared" si="22"/>
        <v>0</v>
      </c>
    </row>
    <row r="186" spans="1:18" x14ac:dyDescent="0.3">
      <c r="A186">
        <f t="shared" si="27"/>
        <v>183</v>
      </c>
      <c r="B186">
        <f t="shared" si="28"/>
        <v>16</v>
      </c>
      <c r="C186">
        <f t="shared" si="29"/>
        <v>188</v>
      </c>
      <c r="D186">
        <f t="shared" si="23"/>
        <v>16</v>
      </c>
      <c r="E186">
        <f>[1]model_point!$C$2+D186-1</f>
        <v>20</v>
      </c>
      <c r="F186">
        <f>VLOOKUP(E186,'[1]202512 BE mortality'!$A:$C,3,0)</f>
        <v>4.6559460784614017E-3</v>
      </c>
      <c r="G186">
        <f>VLOOKUP(D186,'[1]202512 BE lapse'!$C:$D,2,0)</f>
        <v>5.3714649173469721E-3</v>
      </c>
      <c r="H186">
        <f>VLOOKUP($B186,'[1]202512 RFR'!$A:$B,2,0)</f>
        <v>0.01</v>
      </c>
      <c r="I186">
        <f t="shared" si="30"/>
        <v>1.7319854254514491</v>
      </c>
      <c r="J186">
        <f t="shared" si="31"/>
        <v>6.7370283273738521E-4</v>
      </c>
      <c r="K186">
        <f t="shared" si="32"/>
        <v>0</v>
      </c>
      <c r="L186">
        <f t="shared" si="24"/>
        <v>0.85920945960069417</v>
      </c>
      <c r="M186">
        <f>IF(AND(MOD(C186,12)=1,D186&lt;='[1]Product parameters'!$C$2),I185*[1]model_point!$G$2,0)</f>
        <v>0</v>
      </c>
      <c r="N186">
        <f t="shared" si="25"/>
        <v>0</v>
      </c>
      <c r="O186">
        <f>[2]results_sample_product_cf!G185</f>
        <v>0</v>
      </c>
      <c r="P186">
        <f>[2]results_sample_product_cf!H185</f>
        <v>0</v>
      </c>
      <c r="Q186">
        <f t="shared" si="26"/>
        <v>0</v>
      </c>
      <c r="R186">
        <f t="shared" si="22"/>
        <v>0</v>
      </c>
    </row>
    <row r="187" spans="1:18" x14ac:dyDescent="0.3">
      <c r="A187">
        <f t="shared" si="27"/>
        <v>184</v>
      </c>
      <c r="B187">
        <f t="shared" si="28"/>
        <v>16</v>
      </c>
      <c r="C187">
        <f t="shared" si="29"/>
        <v>189</v>
      </c>
      <c r="D187">
        <f t="shared" si="23"/>
        <v>16</v>
      </c>
      <c r="E187">
        <f>[1]model_point!$C$2+D187-1</f>
        <v>20</v>
      </c>
      <c r="F187">
        <f>VLOOKUP(E187,'[1]202512 BE mortality'!$A:$C,3,0)</f>
        <v>4.6559460784614017E-3</v>
      </c>
      <c r="G187">
        <f>VLOOKUP(D187,'[1]202512 BE lapse'!$C:$D,2,0)</f>
        <v>5.3714649173469721E-3</v>
      </c>
      <c r="H187">
        <f>VLOOKUP($B187,'[1]202512 RFR'!$A:$B,2,0)</f>
        <v>0.01</v>
      </c>
      <c r="I187">
        <f t="shared" si="30"/>
        <v>1.7313119845718561</v>
      </c>
      <c r="J187">
        <f t="shared" si="31"/>
        <v>6.7344087959297883E-4</v>
      </c>
      <c r="K187">
        <f t="shared" si="32"/>
        <v>0</v>
      </c>
      <c r="L187">
        <f t="shared" si="24"/>
        <v>0.85849730336648822</v>
      </c>
      <c r="M187">
        <f>IF(AND(MOD(C187,12)=1,D187&lt;='[1]Product parameters'!$C$2),I186*[1]model_point!$G$2,0)</f>
        <v>0</v>
      </c>
      <c r="N187">
        <f t="shared" si="25"/>
        <v>0</v>
      </c>
      <c r="O187">
        <f>[2]results_sample_product_cf!G186</f>
        <v>0</v>
      </c>
      <c r="P187">
        <f>[2]results_sample_product_cf!H186</f>
        <v>0</v>
      </c>
      <c r="Q187">
        <f t="shared" si="26"/>
        <v>0</v>
      </c>
      <c r="R187">
        <f t="shared" si="22"/>
        <v>0</v>
      </c>
    </row>
    <row r="188" spans="1:18" x14ac:dyDescent="0.3">
      <c r="A188">
        <f t="shared" si="27"/>
        <v>185</v>
      </c>
      <c r="B188">
        <f t="shared" si="28"/>
        <v>16</v>
      </c>
      <c r="C188">
        <f t="shared" si="29"/>
        <v>190</v>
      </c>
      <c r="D188">
        <f t="shared" si="23"/>
        <v>16</v>
      </c>
      <c r="E188">
        <f>[1]model_point!$C$2+D188-1</f>
        <v>20</v>
      </c>
      <c r="F188">
        <f>VLOOKUP(E188,'[1]202512 BE mortality'!$A:$C,3,0)</f>
        <v>4.6559460784614017E-3</v>
      </c>
      <c r="G188">
        <f>VLOOKUP(D188,'[1]202512 BE lapse'!$C:$D,2,0)</f>
        <v>5.3714649173469721E-3</v>
      </c>
      <c r="H188">
        <f>VLOOKUP($B188,'[1]202512 RFR'!$A:$B,2,0)</f>
        <v>0.01</v>
      </c>
      <c r="I188">
        <f t="shared" si="30"/>
        <v>1.7306388055435533</v>
      </c>
      <c r="J188">
        <f t="shared" si="31"/>
        <v>6.7317902830275292E-4</v>
      </c>
      <c r="K188">
        <f t="shared" si="32"/>
        <v>0</v>
      </c>
      <c r="L188">
        <f t="shared" si="24"/>
        <v>0.85778573740336961</v>
      </c>
      <c r="M188">
        <f>IF(AND(MOD(C188,12)=1,D188&lt;='[1]Product parameters'!$C$2),I187*[1]model_point!$G$2,0)</f>
        <v>0</v>
      </c>
      <c r="N188">
        <f t="shared" si="25"/>
        <v>0</v>
      </c>
      <c r="O188">
        <f>[2]results_sample_product_cf!G187</f>
        <v>0</v>
      </c>
      <c r="P188">
        <f>[2]results_sample_product_cf!H187</f>
        <v>0</v>
      </c>
      <c r="Q188">
        <f t="shared" si="26"/>
        <v>0</v>
      </c>
      <c r="R188">
        <f t="shared" si="22"/>
        <v>0</v>
      </c>
    </row>
    <row r="189" spans="1:18" x14ac:dyDescent="0.3">
      <c r="A189">
        <f t="shared" si="27"/>
        <v>186</v>
      </c>
      <c r="B189">
        <f t="shared" si="28"/>
        <v>16</v>
      </c>
      <c r="C189">
        <f t="shared" si="29"/>
        <v>191</v>
      </c>
      <c r="D189">
        <f t="shared" si="23"/>
        <v>16</v>
      </c>
      <c r="E189">
        <f>[1]model_point!$C$2+D189-1</f>
        <v>20</v>
      </c>
      <c r="F189">
        <f>VLOOKUP(E189,'[1]202512 BE mortality'!$A:$C,3,0)</f>
        <v>4.6559460784614017E-3</v>
      </c>
      <c r="G189">
        <f>VLOOKUP(D189,'[1]202512 BE lapse'!$C:$D,2,0)</f>
        <v>5.3714649173469721E-3</v>
      </c>
      <c r="H189">
        <f>VLOOKUP($B189,'[1]202512 RFR'!$A:$B,2,0)</f>
        <v>0.01</v>
      </c>
      <c r="I189">
        <f t="shared" si="30"/>
        <v>1.7299658882647262</v>
      </c>
      <c r="J189">
        <f t="shared" si="31"/>
        <v>6.7291727882710386E-4</v>
      </c>
      <c r="K189">
        <f t="shared" si="32"/>
        <v>0</v>
      </c>
      <c r="L189">
        <f t="shared" si="24"/>
        <v>0.8570747612220917</v>
      </c>
      <c r="M189">
        <f>IF(AND(MOD(C189,12)=1,D189&lt;='[1]Product parameters'!$C$2),I188*[1]model_point!$G$2,0)</f>
        <v>0</v>
      </c>
      <c r="N189">
        <f t="shared" si="25"/>
        <v>0</v>
      </c>
      <c r="O189">
        <f>[2]results_sample_product_cf!G188</f>
        <v>0</v>
      </c>
      <c r="P189">
        <f>[2]results_sample_product_cf!H188</f>
        <v>0</v>
      </c>
      <c r="Q189">
        <f t="shared" si="26"/>
        <v>0</v>
      </c>
      <c r="R189">
        <f t="shared" si="22"/>
        <v>0</v>
      </c>
    </row>
    <row r="190" spans="1:18" x14ac:dyDescent="0.3">
      <c r="A190">
        <f t="shared" si="27"/>
        <v>187</v>
      </c>
      <c r="B190">
        <f t="shared" si="28"/>
        <v>16</v>
      </c>
      <c r="C190">
        <f t="shared" si="29"/>
        <v>192</v>
      </c>
      <c r="D190">
        <f t="shared" si="23"/>
        <v>16</v>
      </c>
      <c r="E190">
        <f>[1]model_point!$C$2+D190-1</f>
        <v>20</v>
      </c>
      <c r="F190">
        <f>VLOOKUP(E190,'[1]202512 BE mortality'!$A:$C,3,0)</f>
        <v>4.6559460784614017E-3</v>
      </c>
      <c r="G190">
        <f>VLOOKUP(D190,'[1]202512 BE lapse'!$C:$D,2,0)</f>
        <v>5.3714649173469721E-3</v>
      </c>
      <c r="H190">
        <f>VLOOKUP($B190,'[1]202512 RFR'!$A:$B,2,0)</f>
        <v>0.01</v>
      </c>
      <c r="I190">
        <f t="shared" si="30"/>
        <v>1.7200043947027028</v>
      </c>
      <c r="J190">
        <f t="shared" si="31"/>
        <v>6.7265563112644351E-4</v>
      </c>
      <c r="K190">
        <f t="shared" si="32"/>
        <v>9.2888379308969163E-3</v>
      </c>
      <c r="L190">
        <f t="shared" si="24"/>
        <v>0.85636437433381363</v>
      </c>
      <c r="M190">
        <f>IF(AND(MOD(C190,12)=1,D190&lt;='[1]Product parameters'!$C$2),I189*[1]model_point!$G$2,0)</f>
        <v>0</v>
      </c>
      <c r="N190">
        <f t="shared" si="25"/>
        <v>0</v>
      </c>
      <c r="O190">
        <f>[2]results_sample_product_cf!G189</f>
        <v>0</v>
      </c>
      <c r="P190">
        <f>[2]results_sample_product_cf!H189</f>
        <v>0</v>
      </c>
      <c r="Q190">
        <f t="shared" si="26"/>
        <v>0</v>
      </c>
      <c r="R190">
        <f t="shared" si="22"/>
        <v>0</v>
      </c>
    </row>
    <row r="191" spans="1:18" x14ac:dyDescent="0.3">
      <c r="A191">
        <f t="shared" si="27"/>
        <v>188</v>
      </c>
      <c r="B191">
        <f t="shared" si="28"/>
        <v>16</v>
      </c>
      <c r="C191">
        <f t="shared" si="29"/>
        <v>193</v>
      </c>
      <c r="D191">
        <f t="shared" si="23"/>
        <v>17</v>
      </c>
      <c r="E191">
        <f>[1]model_point!$C$2+D191-1</f>
        <v>21</v>
      </c>
      <c r="F191">
        <f>VLOOKUP(E191,'[1]202512 BE mortality'!$A:$C,3,0)</f>
        <v>4.5198312897122795E-3</v>
      </c>
      <c r="G191">
        <f>VLOOKUP(D191,'[1]202512 BE lapse'!$C:$D,2,0)</f>
        <v>5.1655995187409711E-3</v>
      </c>
      <c r="H191">
        <f>VLOOKUP($B191,'[1]202512 RFR'!$A:$B,2,0)</f>
        <v>0.01</v>
      </c>
      <c r="I191">
        <f t="shared" si="30"/>
        <v>1.719355204607288</v>
      </c>
      <c r="J191">
        <f t="shared" si="31"/>
        <v>6.4919009541475868E-4</v>
      </c>
      <c r="K191">
        <f t="shared" si="32"/>
        <v>0</v>
      </c>
      <c r="L191">
        <f t="shared" si="24"/>
        <v>0.85565457625009944</v>
      </c>
      <c r="M191">
        <f>IF(AND(MOD(C191,12)=1,D191&lt;='[1]Product parameters'!$C$2),I190*[1]model_point!$G$2,0)</f>
        <v>0</v>
      </c>
      <c r="N191">
        <f t="shared" si="25"/>
        <v>0</v>
      </c>
      <c r="O191">
        <f>[2]results_sample_product_cf!G190</f>
        <v>0</v>
      </c>
      <c r="P191">
        <f>[2]results_sample_product_cf!H190</f>
        <v>0</v>
      </c>
      <c r="Q191">
        <f t="shared" si="26"/>
        <v>0</v>
      </c>
      <c r="R191">
        <f t="shared" si="22"/>
        <v>0</v>
      </c>
    </row>
    <row r="192" spans="1:18" x14ac:dyDescent="0.3">
      <c r="A192">
        <f t="shared" si="27"/>
        <v>189</v>
      </c>
      <c r="B192">
        <f t="shared" si="28"/>
        <v>16</v>
      </c>
      <c r="C192">
        <f t="shared" si="29"/>
        <v>194</v>
      </c>
      <c r="D192">
        <f t="shared" si="23"/>
        <v>17</v>
      </c>
      <c r="E192">
        <f>[1]model_point!$C$2+D192-1</f>
        <v>21</v>
      </c>
      <c r="F192">
        <f>VLOOKUP(E192,'[1]202512 BE mortality'!$A:$C,3,0)</f>
        <v>4.5198312897122795E-3</v>
      </c>
      <c r="G192">
        <f>VLOOKUP(D192,'[1]202512 BE lapse'!$C:$D,2,0)</f>
        <v>5.1655995187409711E-3</v>
      </c>
      <c r="H192">
        <f>VLOOKUP($B192,'[1]202512 RFR'!$A:$B,2,0)</f>
        <v>0.01</v>
      </c>
      <c r="I192">
        <f t="shared" si="30"/>
        <v>1.7187062595390261</v>
      </c>
      <c r="J192">
        <f t="shared" si="31"/>
        <v>6.4894506826175687E-4</v>
      </c>
      <c r="K192">
        <f t="shared" si="32"/>
        <v>0</v>
      </c>
      <c r="L192">
        <f t="shared" si="24"/>
        <v>0.85494536648291819</v>
      </c>
      <c r="M192">
        <f>IF(AND(MOD(C192,12)=1,D192&lt;='[1]Product parameters'!$C$2),I191*[1]model_point!$G$2,0)</f>
        <v>0</v>
      </c>
      <c r="N192">
        <f t="shared" si="25"/>
        <v>0</v>
      </c>
      <c r="O192">
        <f>[2]results_sample_product_cf!G191</f>
        <v>0</v>
      </c>
      <c r="P192">
        <f>[2]results_sample_product_cf!H191</f>
        <v>0</v>
      </c>
      <c r="Q192">
        <f t="shared" si="26"/>
        <v>0</v>
      </c>
      <c r="R192">
        <f t="shared" si="22"/>
        <v>0</v>
      </c>
    </row>
    <row r="193" spans="1:18" x14ac:dyDescent="0.3">
      <c r="A193">
        <f t="shared" si="27"/>
        <v>190</v>
      </c>
      <c r="B193">
        <f t="shared" si="28"/>
        <v>16</v>
      </c>
      <c r="C193">
        <f t="shared" si="29"/>
        <v>195</v>
      </c>
      <c r="D193">
        <f t="shared" si="23"/>
        <v>17</v>
      </c>
      <c r="E193">
        <f>[1]model_point!$C$2+D193-1</f>
        <v>21</v>
      </c>
      <c r="F193">
        <f>VLOOKUP(E193,'[1]202512 BE mortality'!$A:$C,3,0)</f>
        <v>4.5198312897122795E-3</v>
      </c>
      <c r="G193">
        <f>VLOOKUP(D193,'[1]202512 BE lapse'!$C:$D,2,0)</f>
        <v>5.1655995187409711E-3</v>
      </c>
      <c r="H193">
        <f>VLOOKUP($B193,'[1]202512 RFR'!$A:$B,2,0)</f>
        <v>0.01</v>
      </c>
      <c r="I193">
        <f t="shared" si="30"/>
        <v>1.7180575594054355</v>
      </c>
      <c r="J193">
        <f t="shared" si="31"/>
        <v>6.487001335906122E-4</v>
      </c>
      <c r="K193">
        <f t="shared" si="32"/>
        <v>0</v>
      </c>
      <c r="L193">
        <f t="shared" si="24"/>
        <v>0.85423674454464338</v>
      </c>
      <c r="M193">
        <f>IF(AND(MOD(C193,12)=1,D193&lt;='[1]Product parameters'!$C$2),I192*[1]model_point!$G$2,0)</f>
        <v>0</v>
      </c>
      <c r="N193">
        <f t="shared" si="25"/>
        <v>0</v>
      </c>
      <c r="O193">
        <f>[2]results_sample_product_cf!G192</f>
        <v>0</v>
      </c>
      <c r="P193">
        <f>[2]results_sample_product_cf!H192</f>
        <v>0</v>
      </c>
      <c r="Q193">
        <f t="shared" si="26"/>
        <v>0</v>
      </c>
      <c r="R193">
        <f t="shared" si="22"/>
        <v>0</v>
      </c>
    </row>
    <row r="194" spans="1:18" x14ac:dyDescent="0.3">
      <c r="A194">
        <f t="shared" si="27"/>
        <v>191</v>
      </c>
      <c r="B194">
        <f t="shared" si="28"/>
        <v>16</v>
      </c>
      <c r="C194">
        <f t="shared" si="29"/>
        <v>196</v>
      </c>
      <c r="D194">
        <f t="shared" si="23"/>
        <v>17</v>
      </c>
      <c r="E194">
        <f>[1]model_point!$C$2+D194-1</f>
        <v>21</v>
      </c>
      <c r="F194">
        <f>VLOOKUP(E194,'[1]202512 BE mortality'!$A:$C,3,0)</f>
        <v>4.5198312897122795E-3</v>
      </c>
      <c r="G194">
        <f>VLOOKUP(D194,'[1]202512 BE lapse'!$C:$D,2,0)</f>
        <v>5.1655995187409711E-3</v>
      </c>
      <c r="H194">
        <f>VLOOKUP($B194,'[1]202512 RFR'!$A:$B,2,0)</f>
        <v>0.01</v>
      </c>
      <c r="I194">
        <f t="shared" si="30"/>
        <v>1.7174091041140691</v>
      </c>
      <c r="J194">
        <f t="shared" si="31"/>
        <v>6.4845529136641888E-4</v>
      </c>
      <c r="K194">
        <f t="shared" si="32"/>
        <v>0</v>
      </c>
      <c r="L194">
        <f t="shared" si="24"/>
        <v>0.85352870994805274</v>
      </c>
      <c r="M194">
        <f>IF(AND(MOD(C194,12)=1,D194&lt;='[1]Product parameters'!$C$2),I193*[1]model_point!$G$2,0)</f>
        <v>0</v>
      </c>
      <c r="N194">
        <f t="shared" si="25"/>
        <v>0</v>
      </c>
      <c r="O194">
        <f>[2]results_sample_product_cf!G193</f>
        <v>0</v>
      </c>
      <c r="P194">
        <f>[2]results_sample_product_cf!H193</f>
        <v>0</v>
      </c>
      <c r="Q194">
        <f t="shared" si="26"/>
        <v>0</v>
      </c>
      <c r="R194">
        <f t="shared" si="22"/>
        <v>0</v>
      </c>
    </row>
    <row r="195" spans="1:18" x14ac:dyDescent="0.3">
      <c r="A195">
        <f t="shared" si="27"/>
        <v>192</v>
      </c>
      <c r="B195">
        <f t="shared" si="28"/>
        <v>16</v>
      </c>
      <c r="C195">
        <f t="shared" si="29"/>
        <v>197</v>
      </c>
      <c r="D195">
        <f t="shared" si="23"/>
        <v>17</v>
      </c>
      <c r="E195">
        <f>[1]model_point!$C$2+D195-1</f>
        <v>21</v>
      </c>
      <c r="F195">
        <f>VLOOKUP(E195,'[1]202512 BE mortality'!$A:$C,3,0)</f>
        <v>4.5198312897122795E-3</v>
      </c>
      <c r="G195">
        <f>VLOOKUP(D195,'[1]202512 BE lapse'!$C:$D,2,0)</f>
        <v>5.1655995187409711E-3</v>
      </c>
      <c r="H195">
        <f>VLOOKUP($B195,'[1]202512 RFR'!$A:$B,2,0)</f>
        <v>0.01</v>
      </c>
      <c r="I195">
        <f t="shared" si="30"/>
        <v>1.7167608935725147</v>
      </c>
      <c r="J195">
        <f t="shared" si="31"/>
        <v>6.4821054155428425E-4</v>
      </c>
      <c r="K195">
        <f t="shared" si="32"/>
        <v>0</v>
      </c>
      <c r="L195">
        <f t="shared" si="24"/>
        <v>0.85282126220632781</v>
      </c>
      <c r="M195">
        <f>IF(AND(MOD(C195,12)=1,D195&lt;='[1]Product parameters'!$C$2),I194*[1]model_point!$G$2,0)</f>
        <v>0</v>
      </c>
      <c r="N195">
        <f t="shared" si="25"/>
        <v>0</v>
      </c>
      <c r="O195">
        <f>[2]results_sample_product_cf!G194</f>
        <v>0</v>
      </c>
      <c r="P195">
        <f>[2]results_sample_product_cf!H194</f>
        <v>0</v>
      </c>
      <c r="Q195">
        <f t="shared" si="26"/>
        <v>0</v>
      </c>
      <c r="R195">
        <f t="shared" ref="R195:R258" si="33">ROUND(N195-P195,6)</f>
        <v>0</v>
      </c>
    </row>
    <row r="196" spans="1:18" x14ac:dyDescent="0.3">
      <c r="A196">
        <f t="shared" si="27"/>
        <v>193</v>
      </c>
      <c r="B196">
        <f t="shared" si="28"/>
        <v>17</v>
      </c>
      <c r="C196">
        <f t="shared" si="29"/>
        <v>198</v>
      </c>
      <c r="D196">
        <f t="shared" ref="D196:D259" si="34">TRUNC((C196-1)/12,0)+1</f>
        <v>17</v>
      </c>
      <c r="E196">
        <f>[1]model_point!$C$2+D196-1</f>
        <v>21</v>
      </c>
      <c r="F196">
        <f>VLOOKUP(E196,'[1]202512 BE mortality'!$A:$C,3,0)</f>
        <v>4.5198312897122795E-3</v>
      </c>
      <c r="G196">
        <f>VLOOKUP(D196,'[1]202512 BE lapse'!$C:$D,2,0)</f>
        <v>5.1655995187409711E-3</v>
      </c>
      <c r="H196">
        <f>VLOOKUP($B196,'[1]202512 RFR'!$A:$B,2,0)</f>
        <v>0.01</v>
      </c>
      <c r="I196">
        <f t="shared" si="30"/>
        <v>1.7161129276883953</v>
      </c>
      <c r="J196">
        <f t="shared" si="31"/>
        <v>6.4796588411932844E-4</v>
      </c>
      <c r="K196">
        <f t="shared" si="32"/>
        <v>0</v>
      </c>
      <c r="L196">
        <f t="shared" ref="L196:L259" si="35">L195/(1+H196)^(1/12)</f>
        <v>0.85211440083305356</v>
      </c>
      <c r="M196">
        <f>IF(AND(MOD(C196,12)=1,D196&lt;='[1]Product parameters'!$C$2),I195*[1]model_point!$G$2,0)</f>
        <v>0</v>
      </c>
      <c r="N196">
        <f t="shared" ref="N196:N259" si="36">SUMPRODUCT(L196:L1395,M197:M1396)/L196</f>
        <v>0</v>
      </c>
      <c r="O196">
        <f>[2]results_sample_product_cf!G195</f>
        <v>0</v>
      </c>
      <c r="P196">
        <f>[2]results_sample_product_cf!H195</f>
        <v>0</v>
      </c>
      <c r="Q196">
        <f t="shared" ref="Q196:Q259" si="37">ROUND(M196-O196,6)</f>
        <v>0</v>
      </c>
      <c r="R196">
        <f t="shared" si="33"/>
        <v>0</v>
      </c>
    </row>
    <row r="197" spans="1:18" x14ac:dyDescent="0.3">
      <c r="A197">
        <f t="shared" ref="A197:A260" si="38">A196+1</f>
        <v>194</v>
      </c>
      <c r="B197">
        <f t="shared" ref="B197:B260" si="39">INT((A197-1)/12)+1</f>
        <v>17</v>
      </c>
      <c r="C197">
        <f t="shared" ref="C197:C260" si="40">C196+1</f>
        <v>199</v>
      </c>
      <c r="D197">
        <f t="shared" si="34"/>
        <v>17</v>
      </c>
      <c r="E197">
        <f>[1]model_point!$C$2+D197-1</f>
        <v>21</v>
      </c>
      <c r="F197">
        <f>VLOOKUP(E197,'[1]202512 BE mortality'!$A:$C,3,0)</f>
        <v>4.5198312897122795E-3</v>
      </c>
      <c r="G197">
        <f>VLOOKUP(D197,'[1]202512 BE lapse'!$C:$D,2,0)</f>
        <v>5.1655995187409711E-3</v>
      </c>
      <c r="H197">
        <f>VLOOKUP($B197,'[1]202512 RFR'!$A:$B,2,0)</f>
        <v>0.01</v>
      </c>
      <c r="I197">
        <f t="shared" ref="I197:I260" si="41">I196-J197-K197</f>
        <v>1.7154652063693685</v>
      </c>
      <c r="J197">
        <f t="shared" ref="J197:J260" si="42">I196*(1-(1-F197)^(1/12))</f>
        <v>6.4772131902668536E-4</v>
      </c>
      <c r="K197">
        <f t="shared" ref="K197:K260" si="43">(I196-J197)*IF(MOD(C197,12)=0,G197,0)</f>
        <v>0</v>
      </c>
      <c r="L197">
        <f t="shared" si="35"/>
        <v>0.85140812534221821</v>
      </c>
      <c r="M197">
        <f>IF(AND(MOD(C197,12)=1,D197&lt;='[1]Product parameters'!$C$2),I196*[1]model_point!$G$2,0)</f>
        <v>0</v>
      </c>
      <c r="N197">
        <f t="shared" si="36"/>
        <v>0</v>
      </c>
      <c r="O197">
        <f>[2]results_sample_product_cf!G196</f>
        <v>0</v>
      </c>
      <c r="P197">
        <f>[2]results_sample_product_cf!H196</f>
        <v>0</v>
      </c>
      <c r="Q197">
        <f t="shared" si="37"/>
        <v>0</v>
      </c>
      <c r="R197">
        <f t="shared" si="33"/>
        <v>0</v>
      </c>
    </row>
    <row r="198" spans="1:18" x14ac:dyDescent="0.3">
      <c r="A198">
        <f t="shared" si="38"/>
        <v>195</v>
      </c>
      <c r="B198">
        <f t="shared" si="39"/>
        <v>17</v>
      </c>
      <c r="C198">
        <f t="shared" si="40"/>
        <v>200</v>
      </c>
      <c r="D198">
        <f t="shared" si="34"/>
        <v>17</v>
      </c>
      <c r="E198">
        <f>[1]model_point!$C$2+D198-1</f>
        <v>21</v>
      </c>
      <c r="F198">
        <f>VLOOKUP(E198,'[1]202512 BE mortality'!$A:$C,3,0)</f>
        <v>4.5198312897122795E-3</v>
      </c>
      <c r="G198">
        <f>VLOOKUP(D198,'[1]202512 BE lapse'!$C:$D,2,0)</f>
        <v>5.1655995187409711E-3</v>
      </c>
      <c r="H198">
        <f>VLOOKUP($B198,'[1]202512 RFR'!$A:$B,2,0)</f>
        <v>0.01</v>
      </c>
      <c r="I198">
        <f t="shared" si="41"/>
        <v>1.7148177295231271</v>
      </c>
      <c r="J198">
        <f t="shared" si="42"/>
        <v>6.474768462415017E-4</v>
      </c>
      <c r="K198">
        <f t="shared" si="43"/>
        <v>0</v>
      </c>
      <c r="L198">
        <f t="shared" si="35"/>
        <v>0.85070243524821276</v>
      </c>
      <c r="M198">
        <f>IF(AND(MOD(C198,12)=1,D198&lt;='[1]Product parameters'!$C$2),I197*[1]model_point!$G$2,0)</f>
        <v>0</v>
      </c>
      <c r="N198">
        <f t="shared" si="36"/>
        <v>0</v>
      </c>
      <c r="O198">
        <f>[2]results_sample_product_cf!G197</f>
        <v>0</v>
      </c>
      <c r="P198">
        <f>[2]results_sample_product_cf!H197</f>
        <v>0</v>
      </c>
      <c r="Q198">
        <f t="shared" si="37"/>
        <v>0</v>
      </c>
      <c r="R198">
        <f t="shared" si="33"/>
        <v>0</v>
      </c>
    </row>
    <row r="199" spans="1:18" x14ac:dyDescent="0.3">
      <c r="A199">
        <f t="shared" si="38"/>
        <v>196</v>
      </c>
      <c r="B199">
        <f t="shared" si="39"/>
        <v>17</v>
      </c>
      <c r="C199">
        <f t="shared" si="40"/>
        <v>201</v>
      </c>
      <c r="D199">
        <f t="shared" si="34"/>
        <v>17</v>
      </c>
      <c r="E199">
        <f>[1]model_point!$C$2+D199-1</f>
        <v>21</v>
      </c>
      <c r="F199">
        <f>VLOOKUP(E199,'[1]202512 BE mortality'!$A:$C,3,0)</f>
        <v>4.5198312897122795E-3</v>
      </c>
      <c r="G199">
        <f>VLOOKUP(D199,'[1]202512 BE lapse'!$C:$D,2,0)</f>
        <v>5.1655995187409711E-3</v>
      </c>
      <c r="H199">
        <f>VLOOKUP($B199,'[1]202512 RFR'!$A:$B,2,0)</f>
        <v>0.01</v>
      </c>
      <c r="I199">
        <f t="shared" si="41"/>
        <v>1.7141704970573981</v>
      </c>
      <c r="J199">
        <f t="shared" si="42"/>
        <v>6.4723246572893738E-4</v>
      </c>
      <c r="K199">
        <f t="shared" si="43"/>
        <v>0</v>
      </c>
      <c r="L199">
        <f t="shared" si="35"/>
        <v>0.84999733006583067</v>
      </c>
      <c r="M199">
        <f>IF(AND(MOD(C199,12)=1,D199&lt;='[1]Product parameters'!$C$2),I198*[1]model_point!$G$2,0)</f>
        <v>0</v>
      </c>
      <c r="N199">
        <f t="shared" si="36"/>
        <v>0</v>
      </c>
      <c r="O199">
        <f>[2]results_sample_product_cf!G198</f>
        <v>0</v>
      </c>
      <c r="P199">
        <f>[2]results_sample_product_cf!H198</f>
        <v>0</v>
      </c>
      <c r="Q199">
        <f t="shared" si="37"/>
        <v>0</v>
      </c>
      <c r="R199">
        <f t="shared" si="33"/>
        <v>0</v>
      </c>
    </row>
    <row r="200" spans="1:18" x14ac:dyDescent="0.3">
      <c r="A200">
        <f t="shared" si="38"/>
        <v>197</v>
      </c>
      <c r="B200">
        <f t="shared" si="39"/>
        <v>17</v>
      </c>
      <c r="C200">
        <f t="shared" si="40"/>
        <v>202</v>
      </c>
      <c r="D200">
        <f t="shared" si="34"/>
        <v>17</v>
      </c>
      <c r="E200">
        <f>[1]model_point!$C$2+D200-1</f>
        <v>21</v>
      </c>
      <c r="F200">
        <f>VLOOKUP(E200,'[1]202512 BE mortality'!$A:$C,3,0)</f>
        <v>4.5198312897122795E-3</v>
      </c>
      <c r="G200">
        <f>VLOOKUP(D200,'[1]202512 BE lapse'!$C:$D,2,0)</f>
        <v>5.1655995187409711E-3</v>
      </c>
      <c r="H200">
        <f>VLOOKUP($B200,'[1]202512 RFR'!$A:$B,2,0)</f>
        <v>0.01</v>
      </c>
      <c r="I200">
        <f t="shared" si="41"/>
        <v>1.7135235088799439</v>
      </c>
      <c r="J200">
        <f t="shared" si="42"/>
        <v>6.4698817745416544E-4</v>
      </c>
      <c r="K200">
        <f t="shared" si="43"/>
        <v>0</v>
      </c>
      <c r="L200">
        <f t="shared" si="35"/>
        <v>0.84929280931026763</v>
      </c>
      <c r="M200">
        <f>IF(AND(MOD(C200,12)=1,D200&lt;='[1]Product parameters'!$C$2),I199*[1]model_point!$G$2,0)</f>
        <v>0</v>
      </c>
      <c r="N200">
        <f t="shared" si="36"/>
        <v>0</v>
      </c>
      <c r="O200">
        <f>[2]results_sample_product_cf!G199</f>
        <v>0</v>
      </c>
      <c r="P200">
        <f>[2]results_sample_product_cf!H199</f>
        <v>0</v>
      </c>
      <c r="Q200">
        <f t="shared" si="37"/>
        <v>0</v>
      </c>
      <c r="R200">
        <f t="shared" si="33"/>
        <v>0</v>
      </c>
    </row>
    <row r="201" spans="1:18" x14ac:dyDescent="0.3">
      <c r="A201">
        <f t="shared" si="38"/>
        <v>198</v>
      </c>
      <c r="B201">
        <f t="shared" si="39"/>
        <v>17</v>
      </c>
      <c r="C201">
        <f t="shared" si="40"/>
        <v>203</v>
      </c>
      <c r="D201">
        <f t="shared" si="34"/>
        <v>17</v>
      </c>
      <c r="E201">
        <f>[1]model_point!$C$2+D201-1</f>
        <v>21</v>
      </c>
      <c r="F201">
        <f>VLOOKUP(E201,'[1]202512 BE mortality'!$A:$C,3,0)</f>
        <v>4.5198312897122795E-3</v>
      </c>
      <c r="G201">
        <f>VLOOKUP(D201,'[1]202512 BE lapse'!$C:$D,2,0)</f>
        <v>5.1655995187409711E-3</v>
      </c>
      <c r="H201">
        <f>VLOOKUP($B201,'[1]202512 RFR'!$A:$B,2,0)</f>
        <v>0.01</v>
      </c>
      <c r="I201">
        <f t="shared" si="41"/>
        <v>1.7128767648985614</v>
      </c>
      <c r="J201">
        <f t="shared" si="42"/>
        <v>6.4674398138237204E-4</v>
      </c>
      <c r="K201">
        <f t="shared" si="43"/>
        <v>0</v>
      </c>
      <c r="L201">
        <f t="shared" si="35"/>
        <v>0.84858887249712123</v>
      </c>
      <c r="M201">
        <f>IF(AND(MOD(C201,12)=1,D201&lt;='[1]Product parameters'!$C$2),I200*[1]model_point!$G$2,0)</f>
        <v>0</v>
      </c>
      <c r="N201">
        <f t="shared" si="36"/>
        <v>0</v>
      </c>
      <c r="O201">
        <f>[2]results_sample_product_cf!G200</f>
        <v>0</v>
      </c>
      <c r="P201">
        <f>[2]results_sample_product_cf!H200</f>
        <v>0</v>
      </c>
      <c r="Q201">
        <f t="shared" si="37"/>
        <v>0</v>
      </c>
      <c r="R201">
        <f t="shared" si="33"/>
        <v>0</v>
      </c>
    </row>
    <row r="202" spans="1:18" x14ac:dyDescent="0.3">
      <c r="A202">
        <f t="shared" si="38"/>
        <v>199</v>
      </c>
      <c r="B202">
        <f t="shared" si="39"/>
        <v>17</v>
      </c>
      <c r="C202">
        <f t="shared" si="40"/>
        <v>204</v>
      </c>
      <c r="D202">
        <f t="shared" si="34"/>
        <v>17</v>
      </c>
      <c r="E202">
        <f>[1]model_point!$C$2+D202-1</f>
        <v>21</v>
      </c>
      <c r="F202">
        <f>VLOOKUP(E202,'[1]202512 BE mortality'!$A:$C,3,0)</f>
        <v>4.5198312897122795E-3</v>
      </c>
      <c r="G202">
        <f>VLOOKUP(D202,'[1]202512 BE lapse'!$C:$D,2,0)</f>
        <v>5.1655995187409711E-3</v>
      </c>
      <c r="H202">
        <f>VLOOKUP($B202,'[1]202512 RFR'!$A:$B,2,0)</f>
        <v>0.01</v>
      </c>
      <c r="I202">
        <f t="shared" si="41"/>
        <v>1.7033855691881161</v>
      </c>
      <c r="J202">
        <f t="shared" si="42"/>
        <v>6.4649987747875668E-4</v>
      </c>
      <c r="K202">
        <f t="shared" si="43"/>
        <v>8.8446958329666311E-3</v>
      </c>
      <c r="L202">
        <f t="shared" si="35"/>
        <v>0.84788551914239041</v>
      </c>
      <c r="M202">
        <f>IF(AND(MOD(C202,12)=1,D202&lt;='[1]Product parameters'!$C$2),I201*[1]model_point!$G$2,0)</f>
        <v>0</v>
      </c>
      <c r="N202">
        <f t="shared" si="36"/>
        <v>0</v>
      </c>
      <c r="O202">
        <f>[2]results_sample_product_cf!G201</f>
        <v>0</v>
      </c>
      <c r="P202">
        <f>[2]results_sample_product_cf!H201</f>
        <v>0</v>
      </c>
      <c r="Q202">
        <f t="shared" si="37"/>
        <v>0</v>
      </c>
      <c r="R202">
        <f t="shared" si="33"/>
        <v>0</v>
      </c>
    </row>
    <row r="203" spans="1:18" x14ac:dyDescent="0.3">
      <c r="A203">
        <f t="shared" si="38"/>
        <v>200</v>
      </c>
      <c r="B203">
        <f t="shared" si="39"/>
        <v>17</v>
      </c>
      <c r="C203">
        <f t="shared" si="40"/>
        <v>205</v>
      </c>
      <c r="D203">
        <f t="shared" si="34"/>
        <v>18</v>
      </c>
      <c r="E203">
        <f>[1]model_point!$C$2+D203-1</f>
        <v>22</v>
      </c>
      <c r="F203">
        <f>VLOOKUP(E203,'[1]202512 BE mortality'!$A:$C,3,0)</f>
        <v>1.3929128928966472E-4</v>
      </c>
      <c r="G203">
        <f>VLOOKUP(D203,'[1]202512 BE lapse'!$C:$D,2,0)</f>
        <v>2.9975359340116002E-3</v>
      </c>
      <c r="H203">
        <f>VLOOKUP($B203,'[1]202512 RFR'!$A:$B,2,0)</f>
        <v>0.01</v>
      </c>
      <c r="I203">
        <f t="shared" si="41"/>
        <v>1.7033657956947008</v>
      </c>
      <c r="J203">
        <f t="shared" si="42"/>
        <v>1.9773493415350656E-5</v>
      </c>
      <c r="K203">
        <f t="shared" si="43"/>
        <v>0</v>
      </c>
      <c r="L203">
        <f t="shared" si="35"/>
        <v>0.84718274876247535</v>
      </c>
      <c r="M203">
        <f>IF(AND(MOD(C203,12)=1,D203&lt;='[1]Product parameters'!$C$2),I202*[1]model_point!$G$2,0)</f>
        <v>0</v>
      </c>
      <c r="N203">
        <f t="shared" si="36"/>
        <v>0</v>
      </c>
      <c r="O203">
        <f>[2]results_sample_product_cf!G202</f>
        <v>0</v>
      </c>
      <c r="P203">
        <f>[2]results_sample_product_cf!H202</f>
        <v>0</v>
      </c>
      <c r="Q203">
        <f t="shared" si="37"/>
        <v>0</v>
      </c>
      <c r="R203">
        <f t="shared" si="33"/>
        <v>0</v>
      </c>
    </row>
    <row r="204" spans="1:18" x14ac:dyDescent="0.3">
      <c r="A204">
        <f t="shared" si="38"/>
        <v>201</v>
      </c>
      <c r="B204">
        <f t="shared" si="39"/>
        <v>17</v>
      </c>
      <c r="C204">
        <f t="shared" si="40"/>
        <v>206</v>
      </c>
      <c r="D204">
        <f t="shared" si="34"/>
        <v>18</v>
      </c>
      <c r="E204">
        <f>[1]model_point!$C$2+D204-1</f>
        <v>22</v>
      </c>
      <c r="F204">
        <f>VLOOKUP(E204,'[1]202512 BE mortality'!$A:$C,3,0)</f>
        <v>1.3929128928966472E-4</v>
      </c>
      <c r="G204">
        <f>VLOOKUP(D204,'[1]202512 BE lapse'!$C:$D,2,0)</f>
        <v>2.9975359340116002E-3</v>
      </c>
      <c r="H204">
        <f>VLOOKUP($B204,'[1]202512 RFR'!$A:$B,2,0)</f>
        <v>0.01</v>
      </c>
      <c r="I204">
        <f t="shared" si="41"/>
        <v>1.703346022430823</v>
      </c>
      <c r="J204">
        <f t="shared" si="42"/>
        <v>1.9773263877746885E-5</v>
      </c>
      <c r="K204">
        <f t="shared" si="43"/>
        <v>0</v>
      </c>
      <c r="L204">
        <f t="shared" si="35"/>
        <v>0.84648056087417711</v>
      </c>
      <c r="M204">
        <f>IF(AND(MOD(C204,12)=1,D204&lt;='[1]Product parameters'!$C$2),I203*[1]model_point!$G$2,0)</f>
        <v>0</v>
      </c>
      <c r="N204">
        <f t="shared" si="36"/>
        <v>0</v>
      </c>
      <c r="O204">
        <f>[2]results_sample_product_cf!G203</f>
        <v>0</v>
      </c>
      <c r="P204">
        <f>[2]results_sample_product_cf!H203</f>
        <v>0</v>
      </c>
      <c r="Q204">
        <f t="shared" si="37"/>
        <v>0</v>
      </c>
      <c r="R204">
        <f t="shared" si="33"/>
        <v>0</v>
      </c>
    </row>
    <row r="205" spans="1:18" x14ac:dyDescent="0.3">
      <c r="A205">
        <f t="shared" si="38"/>
        <v>202</v>
      </c>
      <c r="B205">
        <f t="shared" si="39"/>
        <v>17</v>
      </c>
      <c r="C205">
        <f t="shared" si="40"/>
        <v>207</v>
      </c>
      <c r="D205">
        <f t="shared" si="34"/>
        <v>18</v>
      </c>
      <c r="E205">
        <f>[1]model_point!$C$2+D205-1</f>
        <v>22</v>
      </c>
      <c r="F205">
        <f>VLOOKUP(E205,'[1]202512 BE mortality'!$A:$C,3,0)</f>
        <v>1.3929128928966472E-4</v>
      </c>
      <c r="G205">
        <f>VLOOKUP(D205,'[1]202512 BE lapse'!$C:$D,2,0)</f>
        <v>2.9975359340116002E-3</v>
      </c>
      <c r="H205">
        <f>VLOOKUP($B205,'[1]202512 RFR'!$A:$B,2,0)</f>
        <v>0.01</v>
      </c>
      <c r="I205">
        <f t="shared" si="41"/>
        <v>1.7033262493964803</v>
      </c>
      <c r="J205">
        <f t="shared" si="42"/>
        <v>1.9773034342807669E-5</v>
      </c>
      <c r="K205">
        <f t="shared" si="43"/>
        <v>0</v>
      </c>
      <c r="L205">
        <f t="shared" si="35"/>
        <v>0.84577895499469713</v>
      </c>
      <c r="M205">
        <f>IF(AND(MOD(C205,12)=1,D205&lt;='[1]Product parameters'!$C$2),I204*[1]model_point!$G$2,0)</f>
        <v>0</v>
      </c>
      <c r="N205">
        <f t="shared" si="36"/>
        <v>0</v>
      </c>
      <c r="O205">
        <f>[2]results_sample_product_cf!G204</f>
        <v>0</v>
      </c>
      <c r="P205">
        <f>[2]results_sample_product_cf!H204</f>
        <v>0</v>
      </c>
      <c r="Q205">
        <f t="shared" si="37"/>
        <v>0</v>
      </c>
      <c r="R205">
        <f t="shared" si="33"/>
        <v>0</v>
      </c>
    </row>
    <row r="206" spans="1:18" x14ac:dyDescent="0.3">
      <c r="A206">
        <f t="shared" si="38"/>
        <v>203</v>
      </c>
      <c r="B206">
        <f t="shared" si="39"/>
        <v>17</v>
      </c>
      <c r="C206">
        <f t="shared" si="40"/>
        <v>208</v>
      </c>
      <c r="D206">
        <f t="shared" si="34"/>
        <v>18</v>
      </c>
      <c r="E206">
        <f>[1]model_point!$C$2+D206-1</f>
        <v>22</v>
      </c>
      <c r="F206">
        <f>VLOOKUP(E206,'[1]202512 BE mortality'!$A:$C,3,0)</f>
        <v>1.3929128928966472E-4</v>
      </c>
      <c r="G206">
        <f>VLOOKUP(D206,'[1]202512 BE lapse'!$C:$D,2,0)</f>
        <v>2.9975359340116002E-3</v>
      </c>
      <c r="H206">
        <f>VLOOKUP($B206,'[1]202512 RFR'!$A:$B,2,0)</f>
        <v>0.01</v>
      </c>
      <c r="I206">
        <f t="shared" si="41"/>
        <v>1.7033064765916697</v>
      </c>
      <c r="J206">
        <f t="shared" si="42"/>
        <v>1.9772804810532975E-5</v>
      </c>
      <c r="K206">
        <f t="shared" si="43"/>
        <v>0</v>
      </c>
      <c r="L206">
        <f t="shared" si="35"/>
        <v>0.84507793064163705</v>
      </c>
      <c r="M206">
        <f>IF(AND(MOD(C206,12)=1,D206&lt;='[1]Product parameters'!$C$2),I205*[1]model_point!$G$2,0)</f>
        <v>0</v>
      </c>
      <c r="N206">
        <f t="shared" si="36"/>
        <v>0</v>
      </c>
      <c r="O206">
        <f>[2]results_sample_product_cf!G205</f>
        <v>0</v>
      </c>
      <c r="P206">
        <f>[2]results_sample_product_cf!H205</f>
        <v>0</v>
      </c>
      <c r="Q206">
        <f t="shared" si="37"/>
        <v>0</v>
      </c>
      <c r="R206">
        <f t="shared" si="33"/>
        <v>0</v>
      </c>
    </row>
    <row r="207" spans="1:18" x14ac:dyDescent="0.3">
      <c r="A207">
        <f t="shared" si="38"/>
        <v>204</v>
      </c>
      <c r="B207">
        <f t="shared" si="39"/>
        <v>17</v>
      </c>
      <c r="C207">
        <f t="shared" si="40"/>
        <v>209</v>
      </c>
      <c r="D207">
        <f t="shared" si="34"/>
        <v>18</v>
      </c>
      <c r="E207">
        <f>[1]model_point!$C$2+D207-1</f>
        <v>22</v>
      </c>
      <c r="F207">
        <f>VLOOKUP(E207,'[1]202512 BE mortality'!$A:$C,3,0)</f>
        <v>1.3929128928966472E-4</v>
      </c>
      <c r="G207">
        <f>VLOOKUP(D207,'[1]202512 BE lapse'!$C:$D,2,0)</f>
        <v>2.9975359340116002E-3</v>
      </c>
      <c r="H207">
        <f>VLOOKUP($B207,'[1]202512 RFR'!$A:$B,2,0)</f>
        <v>0.01</v>
      </c>
      <c r="I207">
        <f t="shared" si="41"/>
        <v>1.7032867040163888</v>
      </c>
      <c r="J207">
        <f t="shared" si="42"/>
        <v>1.9772575280922769E-5</v>
      </c>
      <c r="K207">
        <f t="shared" si="43"/>
        <v>0</v>
      </c>
      <c r="L207">
        <f t="shared" si="35"/>
        <v>0.84437748733299844</v>
      </c>
      <c r="M207">
        <f>IF(AND(MOD(C207,12)=1,D207&lt;='[1]Product parameters'!$C$2),I206*[1]model_point!$G$2,0)</f>
        <v>0</v>
      </c>
      <c r="N207">
        <f t="shared" si="36"/>
        <v>0</v>
      </c>
      <c r="O207">
        <f>[2]results_sample_product_cf!G206</f>
        <v>0</v>
      </c>
      <c r="P207">
        <f>[2]results_sample_product_cf!H206</f>
        <v>0</v>
      </c>
      <c r="Q207">
        <f t="shared" si="37"/>
        <v>0</v>
      </c>
      <c r="R207">
        <f t="shared" si="33"/>
        <v>0</v>
      </c>
    </row>
    <row r="208" spans="1:18" x14ac:dyDescent="0.3">
      <c r="A208">
        <f t="shared" si="38"/>
        <v>205</v>
      </c>
      <c r="B208">
        <f t="shared" si="39"/>
        <v>18</v>
      </c>
      <c r="C208">
        <f t="shared" si="40"/>
        <v>210</v>
      </c>
      <c r="D208">
        <f t="shared" si="34"/>
        <v>18</v>
      </c>
      <c r="E208">
        <f>[1]model_point!$C$2+D208-1</f>
        <v>22</v>
      </c>
      <c r="F208">
        <f>VLOOKUP(E208,'[1]202512 BE mortality'!$A:$C,3,0)</f>
        <v>1.3929128928966472E-4</v>
      </c>
      <c r="G208">
        <f>VLOOKUP(D208,'[1]202512 BE lapse'!$C:$D,2,0)</f>
        <v>2.9975359340116002E-3</v>
      </c>
      <c r="H208">
        <f>VLOOKUP($B208,'[1]202512 RFR'!$A:$B,2,0)</f>
        <v>0.01</v>
      </c>
      <c r="I208">
        <f t="shared" si="41"/>
        <v>1.7032669316706348</v>
      </c>
      <c r="J208">
        <f t="shared" si="42"/>
        <v>1.9772345753977024E-5</v>
      </c>
      <c r="K208">
        <f t="shared" si="43"/>
        <v>0</v>
      </c>
      <c r="L208">
        <f t="shared" si="35"/>
        <v>0.84367762458718232</v>
      </c>
      <c r="M208">
        <f>IF(AND(MOD(C208,12)=1,D208&lt;='[1]Product parameters'!$C$2),I207*[1]model_point!$G$2,0)</f>
        <v>0</v>
      </c>
      <c r="N208">
        <f t="shared" si="36"/>
        <v>0</v>
      </c>
      <c r="O208">
        <f>[2]results_sample_product_cf!G207</f>
        <v>0</v>
      </c>
      <c r="P208">
        <f>[2]results_sample_product_cf!H207</f>
        <v>0</v>
      </c>
      <c r="Q208">
        <f t="shared" si="37"/>
        <v>0</v>
      </c>
      <c r="R208">
        <f t="shared" si="33"/>
        <v>0</v>
      </c>
    </row>
    <row r="209" spans="1:18" x14ac:dyDescent="0.3">
      <c r="A209">
        <f t="shared" si="38"/>
        <v>206</v>
      </c>
      <c r="B209">
        <f t="shared" si="39"/>
        <v>18</v>
      </c>
      <c r="C209">
        <f t="shared" si="40"/>
        <v>211</v>
      </c>
      <c r="D209">
        <f t="shared" si="34"/>
        <v>18</v>
      </c>
      <c r="E209">
        <f>[1]model_point!$C$2+D209-1</f>
        <v>22</v>
      </c>
      <c r="F209">
        <f>VLOOKUP(E209,'[1]202512 BE mortality'!$A:$C,3,0)</f>
        <v>1.3929128928966472E-4</v>
      </c>
      <c r="G209">
        <f>VLOOKUP(D209,'[1]202512 BE lapse'!$C:$D,2,0)</f>
        <v>2.9975359340116002E-3</v>
      </c>
      <c r="H209">
        <f>VLOOKUP($B209,'[1]202512 RFR'!$A:$B,2,0)</f>
        <v>0.01</v>
      </c>
      <c r="I209">
        <f t="shared" si="41"/>
        <v>1.7032471595544052</v>
      </c>
      <c r="J209">
        <f t="shared" si="42"/>
        <v>1.9772116229695708E-5</v>
      </c>
      <c r="K209">
        <f t="shared" si="43"/>
        <v>0</v>
      </c>
      <c r="L209">
        <f t="shared" si="35"/>
        <v>0.84297834192298882</v>
      </c>
      <c r="M209">
        <f>IF(AND(MOD(C209,12)=1,D209&lt;='[1]Product parameters'!$C$2),I208*[1]model_point!$G$2,0)</f>
        <v>0</v>
      </c>
      <c r="N209">
        <f t="shared" si="36"/>
        <v>0</v>
      </c>
      <c r="O209">
        <f>[2]results_sample_product_cf!G208</f>
        <v>0</v>
      </c>
      <c r="P209">
        <f>[2]results_sample_product_cf!H208</f>
        <v>0</v>
      </c>
      <c r="Q209">
        <f t="shared" si="37"/>
        <v>0</v>
      </c>
      <c r="R209">
        <f t="shared" si="33"/>
        <v>0</v>
      </c>
    </row>
    <row r="210" spans="1:18" x14ac:dyDescent="0.3">
      <c r="A210">
        <f t="shared" si="38"/>
        <v>207</v>
      </c>
      <c r="B210">
        <f t="shared" si="39"/>
        <v>18</v>
      </c>
      <c r="C210">
        <f t="shared" si="40"/>
        <v>212</v>
      </c>
      <c r="D210">
        <f t="shared" si="34"/>
        <v>18</v>
      </c>
      <c r="E210">
        <f>[1]model_point!$C$2+D210-1</f>
        <v>22</v>
      </c>
      <c r="F210">
        <f>VLOOKUP(E210,'[1]202512 BE mortality'!$A:$C,3,0)</f>
        <v>1.3929128928966472E-4</v>
      </c>
      <c r="G210">
        <f>VLOOKUP(D210,'[1]202512 BE lapse'!$C:$D,2,0)</f>
        <v>2.9975359340116002E-3</v>
      </c>
      <c r="H210">
        <f>VLOOKUP($B210,'[1]202512 RFR'!$A:$B,2,0)</f>
        <v>0.01</v>
      </c>
      <c r="I210">
        <f t="shared" si="41"/>
        <v>1.7032273876676971</v>
      </c>
      <c r="J210">
        <f t="shared" si="42"/>
        <v>1.9771886708078789E-5</v>
      </c>
      <c r="K210">
        <f t="shared" si="43"/>
        <v>0</v>
      </c>
      <c r="L210">
        <f t="shared" si="35"/>
        <v>0.8422796388596171</v>
      </c>
      <c r="M210">
        <f>IF(AND(MOD(C210,12)=1,D210&lt;='[1]Product parameters'!$C$2),I209*[1]model_point!$G$2,0)</f>
        <v>0</v>
      </c>
      <c r="N210">
        <f t="shared" si="36"/>
        <v>0</v>
      </c>
      <c r="O210">
        <f>[2]results_sample_product_cf!G209</f>
        <v>0</v>
      </c>
      <c r="P210">
        <f>[2]results_sample_product_cf!H209</f>
        <v>0</v>
      </c>
      <c r="Q210">
        <f t="shared" si="37"/>
        <v>0</v>
      </c>
      <c r="R210">
        <f t="shared" si="33"/>
        <v>0</v>
      </c>
    </row>
    <row r="211" spans="1:18" x14ac:dyDescent="0.3">
      <c r="A211">
        <f t="shared" si="38"/>
        <v>208</v>
      </c>
      <c r="B211">
        <f t="shared" si="39"/>
        <v>18</v>
      </c>
      <c r="C211">
        <f t="shared" si="40"/>
        <v>213</v>
      </c>
      <c r="D211">
        <f t="shared" si="34"/>
        <v>18</v>
      </c>
      <c r="E211">
        <f>[1]model_point!$C$2+D211-1</f>
        <v>22</v>
      </c>
      <c r="F211">
        <f>VLOOKUP(E211,'[1]202512 BE mortality'!$A:$C,3,0)</f>
        <v>1.3929128928966472E-4</v>
      </c>
      <c r="G211">
        <f>VLOOKUP(D211,'[1]202512 BE lapse'!$C:$D,2,0)</f>
        <v>2.9975359340116002E-3</v>
      </c>
      <c r="H211">
        <f>VLOOKUP($B211,'[1]202512 RFR'!$A:$B,2,0)</f>
        <v>0.01</v>
      </c>
      <c r="I211">
        <f t="shared" si="41"/>
        <v>1.7032076160105081</v>
      </c>
      <c r="J211">
        <f t="shared" si="42"/>
        <v>1.977165718912624E-5</v>
      </c>
      <c r="K211">
        <f t="shared" si="43"/>
        <v>0</v>
      </c>
      <c r="L211">
        <f t="shared" si="35"/>
        <v>0.84158151491666455</v>
      </c>
      <c r="M211">
        <f>IF(AND(MOD(C211,12)=1,D211&lt;='[1]Product parameters'!$C$2),I210*[1]model_point!$G$2,0)</f>
        <v>0</v>
      </c>
      <c r="N211">
        <f t="shared" si="36"/>
        <v>0</v>
      </c>
      <c r="O211">
        <f>[2]results_sample_product_cf!G210</f>
        <v>0</v>
      </c>
      <c r="P211">
        <f>[2]results_sample_product_cf!H210</f>
        <v>0</v>
      </c>
      <c r="Q211">
        <f t="shared" si="37"/>
        <v>0</v>
      </c>
      <c r="R211">
        <f t="shared" si="33"/>
        <v>0</v>
      </c>
    </row>
    <row r="212" spans="1:18" x14ac:dyDescent="0.3">
      <c r="A212">
        <f t="shared" si="38"/>
        <v>209</v>
      </c>
      <c r="B212">
        <f t="shared" si="39"/>
        <v>18</v>
      </c>
      <c r="C212">
        <f t="shared" si="40"/>
        <v>214</v>
      </c>
      <c r="D212">
        <f t="shared" si="34"/>
        <v>18</v>
      </c>
      <c r="E212">
        <f>[1]model_point!$C$2+D212-1</f>
        <v>22</v>
      </c>
      <c r="F212">
        <f>VLOOKUP(E212,'[1]202512 BE mortality'!$A:$C,3,0)</f>
        <v>1.3929128928966472E-4</v>
      </c>
      <c r="G212">
        <f>VLOOKUP(D212,'[1]202512 BE lapse'!$C:$D,2,0)</f>
        <v>2.9975359340116002E-3</v>
      </c>
      <c r="H212">
        <f>VLOOKUP($B212,'[1]202512 RFR'!$A:$B,2,0)</f>
        <v>0.01</v>
      </c>
      <c r="I212">
        <f t="shared" si="41"/>
        <v>1.7031878445828352</v>
      </c>
      <c r="J212">
        <f t="shared" si="42"/>
        <v>1.9771427672838025E-5</v>
      </c>
      <c r="K212">
        <f t="shared" si="43"/>
        <v>0</v>
      </c>
      <c r="L212">
        <f t="shared" si="35"/>
        <v>0.84088396961412692</v>
      </c>
      <c r="M212">
        <f>IF(AND(MOD(C212,12)=1,D212&lt;='[1]Product parameters'!$C$2),I211*[1]model_point!$G$2,0)</f>
        <v>0</v>
      </c>
      <c r="N212">
        <f t="shared" si="36"/>
        <v>0</v>
      </c>
      <c r="O212">
        <f>[2]results_sample_product_cf!G211</f>
        <v>0</v>
      </c>
      <c r="P212">
        <f>[2]results_sample_product_cf!H211</f>
        <v>0</v>
      </c>
      <c r="Q212">
        <f t="shared" si="37"/>
        <v>0</v>
      </c>
      <c r="R212">
        <f t="shared" si="33"/>
        <v>0</v>
      </c>
    </row>
    <row r="213" spans="1:18" x14ac:dyDescent="0.3">
      <c r="A213">
        <f t="shared" si="38"/>
        <v>210</v>
      </c>
      <c r="B213">
        <f t="shared" si="39"/>
        <v>18</v>
      </c>
      <c r="C213">
        <f t="shared" si="40"/>
        <v>215</v>
      </c>
      <c r="D213">
        <f t="shared" si="34"/>
        <v>18</v>
      </c>
      <c r="E213">
        <f>[1]model_point!$C$2+D213-1</f>
        <v>22</v>
      </c>
      <c r="F213">
        <f>VLOOKUP(E213,'[1]202512 BE mortality'!$A:$C,3,0)</f>
        <v>1.3929128928966472E-4</v>
      </c>
      <c r="G213">
        <f>VLOOKUP(D213,'[1]202512 BE lapse'!$C:$D,2,0)</f>
        <v>2.9975359340116002E-3</v>
      </c>
      <c r="H213">
        <f>VLOOKUP($B213,'[1]202512 RFR'!$A:$B,2,0)</f>
        <v>0.01</v>
      </c>
      <c r="I213">
        <f t="shared" si="41"/>
        <v>1.7031680733846759</v>
      </c>
      <c r="J213">
        <f t="shared" si="42"/>
        <v>1.9771198159214112E-5</v>
      </c>
      <c r="K213">
        <f t="shared" si="43"/>
        <v>0</v>
      </c>
      <c r="L213">
        <f t="shared" si="35"/>
        <v>0.84018700247239786</v>
      </c>
      <c r="M213">
        <f>IF(AND(MOD(C213,12)=1,D213&lt;='[1]Product parameters'!$C$2),I212*[1]model_point!$G$2,0)</f>
        <v>0</v>
      </c>
      <c r="N213">
        <f t="shared" si="36"/>
        <v>0</v>
      </c>
      <c r="O213">
        <f>[2]results_sample_product_cf!G212</f>
        <v>0</v>
      </c>
      <c r="P213">
        <f>[2]results_sample_product_cf!H212</f>
        <v>0</v>
      </c>
      <c r="Q213">
        <f t="shared" si="37"/>
        <v>0</v>
      </c>
      <c r="R213">
        <f t="shared" si="33"/>
        <v>0</v>
      </c>
    </row>
    <row r="214" spans="1:18" x14ac:dyDescent="0.3">
      <c r="A214">
        <f t="shared" si="38"/>
        <v>211</v>
      </c>
      <c r="B214">
        <f t="shared" si="39"/>
        <v>18</v>
      </c>
      <c r="C214">
        <f t="shared" si="40"/>
        <v>216</v>
      </c>
      <c r="D214">
        <f t="shared" si="34"/>
        <v>18</v>
      </c>
      <c r="E214">
        <f>[1]model_point!$C$2+D214-1</f>
        <v>22</v>
      </c>
      <c r="F214">
        <f>VLOOKUP(E214,'[1]202512 BE mortality'!$A:$C,3,0)</f>
        <v>1.3929128928966472E-4</v>
      </c>
      <c r="G214">
        <f>VLOOKUP(D214,'[1]202512 BE lapse'!$C:$D,2,0)</f>
        <v>2.9975359340116002E-3</v>
      </c>
      <c r="H214">
        <f>VLOOKUP($B214,'[1]202512 RFR'!$A:$B,2,0)</f>
        <v>0.01</v>
      </c>
      <c r="I214">
        <f t="shared" si="41"/>
        <v>1.6980430541785847</v>
      </c>
      <c r="J214">
        <f t="shared" si="42"/>
        <v>1.9770968648254477E-5</v>
      </c>
      <c r="K214">
        <f t="shared" si="43"/>
        <v>5.1052482374428984E-3</v>
      </c>
      <c r="L214">
        <f t="shared" si="35"/>
        <v>0.83949061301226835</v>
      </c>
      <c r="M214">
        <f>IF(AND(MOD(C214,12)=1,D214&lt;='[1]Product parameters'!$C$2),I213*[1]model_point!$G$2,0)</f>
        <v>0</v>
      </c>
      <c r="N214">
        <f t="shared" si="36"/>
        <v>0</v>
      </c>
      <c r="O214">
        <f>[2]results_sample_product_cf!G213</f>
        <v>0</v>
      </c>
      <c r="P214">
        <f>[2]results_sample_product_cf!H213</f>
        <v>0</v>
      </c>
      <c r="Q214">
        <f t="shared" si="37"/>
        <v>0</v>
      </c>
      <c r="R214">
        <f t="shared" si="33"/>
        <v>0</v>
      </c>
    </row>
    <row r="215" spans="1:18" x14ac:dyDescent="0.3">
      <c r="A215">
        <f t="shared" si="38"/>
        <v>212</v>
      </c>
      <c r="B215">
        <f t="shared" si="39"/>
        <v>18</v>
      </c>
      <c r="C215">
        <f t="shared" si="40"/>
        <v>217</v>
      </c>
      <c r="D215">
        <f t="shared" si="34"/>
        <v>19</v>
      </c>
      <c r="E215">
        <f>[1]model_point!$C$2+D215-1</f>
        <v>23</v>
      </c>
      <c r="F215">
        <f>VLOOKUP(E215,'[1]202512 BE mortality'!$A:$C,3,0)</f>
        <v>9.0152450745054728E-3</v>
      </c>
      <c r="G215">
        <f>VLOOKUP(D215,'[1]202512 BE lapse'!$C:$D,2,0)</f>
        <v>1.5685561330446307E-3</v>
      </c>
      <c r="H215">
        <f>VLOOKUP($B215,'[1]202512 RFR'!$A:$B,2,0)</f>
        <v>0.01</v>
      </c>
      <c r="I215">
        <f t="shared" si="41"/>
        <v>1.696762062960917</v>
      </c>
      <c r="J215">
        <f t="shared" si="42"/>
        <v>1.2809912176677094E-3</v>
      </c>
      <c r="K215">
        <f t="shared" si="43"/>
        <v>0</v>
      </c>
      <c r="L215">
        <f t="shared" si="35"/>
        <v>0.83879480075492674</v>
      </c>
      <c r="M215">
        <f>IF(AND(MOD(C215,12)=1,D215&lt;='[1]Product parameters'!$C$2),I214*[1]model_point!$G$2,0)</f>
        <v>0</v>
      </c>
      <c r="N215">
        <f t="shared" si="36"/>
        <v>0</v>
      </c>
      <c r="O215">
        <f>[2]results_sample_product_cf!G214</f>
        <v>0</v>
      </c>
      <c r="P215">
        <f>[2]results_sample_product_cf!H214</f>
        <v>0</v>
      </c>
      <c r="Q215">
        <f t="shared" si="37"/>
        <v>0</v>
      </c>
      <c r="R215">
        <f t="shared" si="33"/>
        <v>0</v>
      </c>
    </row>
    <row r="216" spans="1:18" x14ac:dyDescent="0.3">
      <c r="A216">
        <f t="shared" si="38"/>
        <v>213</v>
      </c>
      <c r="B216">
        <f t="shared" si="39"/>
        <v>18</v>
      </c>
      <c r="C216">
        <f t="shared" si="40"/>
        <v>218</v>
      </c>
      <c r="D216">
        <f t="shared" si="34"/>
        <v>19</v>
      </c>
      <c r="E216">
        <f>[1]model_point!$C$2+D216-1</f>
        <v>23</v>
      </c>
      <c r="F216">
        <f>VLOOKUP(E216,'[1]202512 BE mortality'!$A:$C,3,0)</f>
        <v>9.0152450745054728E-3</v>
      </c>
      <c r="G216">
        <f>VLOOKUP(D216,'[1]202512 BE lapse'!$C:$D,2,0)</f>
        <v>1.5685561330446307E-3</v>
      </c>
      <c r="H216">
        <f>VLOOKUP($B216,'[1]202512 RFR'!$A:$B,2,0)</f>
        <v>0.01</v>
      </c>
      <c r="I216">
        <f t="shared" si="41"/>
        <v>1.6954820381136224</v>
      </c>
      <c r="J216">
        <f t="shared" si="42"/>
        <v>1.2800248472946475E-3</v>
      </c>
      <c r="K216">
        <f t="shared" si="43"/>
        <v>0</v>
      </c>
      <c r="L216">
        <f t="shared" si="35"/>
        <v>0.83809956522195816</v>
      </c>
      <c r="M216">
        <f>IF(AND(MOD(C216,12)=1,D216&lt;='[1]Product parameters'!$C$2),I215*[1]model_point!$G$2,0)</f>
        <v>0</v>
      </c>
      <c r="N216">
        <f t="shared" si="36"/>
        <v>0</v>
      </c>
      <c r="O216">
        <f>[2]results_sample_product_cf!G215</f>
        <v>0</v>
      </c>
      <c r="P216">
        <f>[2]results_sample_product_cf!H215</f>
        <v>0</v>
      </c>
      <c r="Q216">
        <f t="shared" si="37"/>
        <v>0</v>
      </c>
      <c r="R216">
        <f t="shared" si="33"/>
        <v>0</v>
      </c>
    </row>
    <row r="217" spans="1:18" x14ac:dyDescent="0.3">
      <c r="A217">
        <f t="shared" si="38"/>
        <v>214</v>
      </c>
      <c r="B217">
        <f t="shared" si="39"/>
        <v>18</v>
      </c>
      <c r="C217">
        <f t="shared" si="40"/>
        <v>219</v>
      </c>
      <c r="D217">
        <f t="shared" si="34"/>
        <v>19</v>
      </c>
      <c r="E217">
        <f>[1]model_point!$C$2+D217-1</f>
        <v>23</v>
      </c>
      <c r="F217">
        <f>VLOOKUP(E217,'[1]202512 BE mortality'!$A:$C,3,0)</f>
        <v>9.0152450745054728E-3</v>
      </c>
      <c r="G217">
        <f>VLOOKUP(D217,'[1]202512 BE lapse'!$C:$D,2,0)</f>
        <v>1.5685561330446307E-3</v>
      </c>
      <c r="H217">
        <f>VLOOKUP($B217,'[1]202512 RFR'!$A:$B,2,0)</f>
        <v>0.01</v>
      </c>
      <c r="I217">
        <f t="shared" si="41"/>
        <v>1.694202978907678</v>
      </c>
      <c r="J217">
        <f t="shared" si="42"/>
        <v>1.2790592059443026E-3</v>
      </c>
      <c r="K217">
        <f t="shared" si="43"/>
        <v>0</v>
      </c>
      <c r="L217">
        <f t="shared" si="35"/>
        <v>0.83740490593534433</v>
      </c>
      <c r="M217">
        <f>IF(AND(MOD(C217,12)=1,D217&lt;='[1]Product parameters'!$C$2),I216*[1]model_point!$G$2,0)</f>
        <v>0</v>
      </c>
      <c r="N217">
        <f t="shared" si="36"/>
        <v>0</v>
      </c>
      <c r="O217">
        <f>[2]results_sample_product_cf!G216</f>
        <v>0</v>
      </c>
      <c r="P217">
        <f>[2]results_sample_product_cf!H216</f>
        <v>0</v>
      </c>
      <c r="Q217">
        <f t="shared" si="37"/>
        <v>0</v>
      </c>
      <c r="R217">
        <f t="shared" si="33"/>
        <v>0</v>
      </c>
    </row>
    <row r="218" spans="1:18" x14ac:dyDescent="0.3">
      <c r="A218">
        <f t="shared" si="38"/>
        <v>215</v>
      </c>
      <c r="B218">
        <f t="shared" si="39"/>
        <v>18</v>
      </c>
      <c r="C218">
        <f t="shared" si="40"/>
        <v>220</v>
      </c>
      <c r="D218">
        <f t="shared" si="34"/>
        <v>19</v>
      </c>
      <c r="E218">
        <f>[1]model_point!$C$2+D218-1</f>
        <v>23</v>
      </c>
      <c r="F218">
        <f>VLOOKUP(E218,'[1]202512 BE mortality'!$A:$C,3,0)</f>
        <v>9.0152450745054728E-3</v>
      </c>
      <c r="G218">
        <f>VLOOKUP(D218,'[1]202512 BE lapse'!$C:$D,2,0)</f>
        <v>1.5685561330446307E-3</v>
      </c>
      <c r="H218">
        <f>VLOOKUP($B218,'[1]202512 RFR'!$A:$B,2,0)</f>
        <v>0.01</v>
      </c>
      <c r="I218">
        <f t="shared" si="41"/>
        <v>1.6929248846146112</v>
      </c>
      <c r="J218">
        <f t="shared" si="42"/>
        <v>1.2780942930667053E-3</v>
      </c>
      <c r="K218">
        <f t="shared" si="43"/>
        <v>0</v>
      </c>
      <c r="L218">
        <f t="shared" si="35"/>
        <v>0.83671082241746308</v>
      </c>
      <c r="M218">
        <f>IF(AND(MOD(C218,12)=1,D218&lt;='[1]Product parameters'!$C$2),I217*[1]model_point!$G$2,0)</f>
        <v>0</v>
      </c>
      <c r="N218">
        <f t="shared" si="36"/>
        <v>0</v>
      </c>
      <c r="O218">
        <f>[2]results_sample_product_cf!G217</f>
        <v>0</v>
      </c>
      <c r="P218">
        <f>[2]results_sample_product_cf!H217</f>
        <v>0</v>
      </c>
      <c r="Q218">
        <f t="shared" si="37"/>
        <v>0</v>
      </c>
      <c r="R218">
        <f t="shared" si="33"/>
        <v>0</v>
      </c>
    </row>
    <row r="219" spans="1:18" x14ac:dyDescent="0.3">
      <c r="A219">
        <f t="shared" si="38"/>
        <v>216</v>
      </c>
      <c r="B219">
        <f t="shared" si="39"/>
        <v>18</v>
      </c>
      <c r="C219">
        <f t="shared" si="40"/>
        <v>221</v>
      </c>
      <c r="D219">
        <f t="shared" si="34"/>
        <v>19</v>
      </c>
      <c r="E219">
        <f>[1]model_point!$C$2+D219-1</f>
        <v>23</v>
      </c>
      <c r="F219">
        <f>VLOOKUP(E219,'[1]202512 BE mortality'!$A:$C,3,0)</f>
        <v>9.0152450745054728E-3</v>
      </c>
      <c r="G219">
        <f>VLOOKUP(D219,'[1]202512 BE lapse'!$C:$D,2,0)</f>
        <v>1.5685561330446307E-3</v>
      </c>
      <c r="H219">
        <f>VLOOKUP($B219,'[1]202512 RFR'!$A:$B,2,0)</f>
        <v>0.01</v>
      </c>
      <c r="I219">
        <f t="shared" si="41"/>
        <v>1.691647754506499</v>
      </c>
      <c r="J219">
        <f t="shared" si="42"/>
        <v>1.2771301081123008E-3</v>
      </c>
      <c r="K219">
        <f t="shared" si="43"/>
        <v>0</v>
      </c>
      <c r="L219">
        <f t="shared" si="35"/>
        <v>0.83601731419108827</v>
      </c>
      <c r="M219">
        <f>IF(AND(MOD(C219,12)=1,D219&lt;='[1]Product parameters'!$C$2),I218*[1]model_point!$G$2,0)</f>
        <v>0</v>
      </c>
      <c r="N219">
        <f t="shared" si="36"/>
        <v>0</v>
      </c>
      <c r="O219">
        <f>[2]results_sample_product_cf!G218</f>
        <v>0</v>
      </c>
      <c r="P219">
        <f>[2]results_sample_product_cf!H218</f>
        <v>0</v>
      </c>
      <c r="Q219">
        <f t="shared" si="37"/>
        <v>0</v>
      </c>
      <c r="R219">
        <f t="shared" si="33"/>
        <v>0</v>
      </c>
    </row>
    <row r="220" spans="1:18" x14ac:dyDescent="0.3">
      <c r="A220">
        <f t="shared" si="38"/>
        <v>217</v>
      </c>
      <c r="B220">
        <f t="shared" si="39"/>
        <v>19</v>
      </c>
      <c r="C220">
        <f t="shared" si="40"/>
        <v>222</v>
      </c>
      <c r="D220">
        <f t="shared" si="34"/>
        <v>19</v>
      </c>
      <c r="E220">
        <f>[1]model_point!$C$2+D220-1</f>
        <v>23</v>
      </c>
      <c r="F220">
        <f>VLOOKUP(E220,'[1]202512 BE mortality'!$A:$C,3,0)</f>
        <v>9.0152450745054728E-3</v>
      </c>
      <c r="G220">
        <f>VLOOKUP(D220,'[1]202512 BE lapse'!$C:$D,2,0)</f>
        <v>1.5685561330446307E-3</v>
      </c>
      <c r="H220">
        <f>VLOOKUP($B220,'[1]202512 RFR'!$A:$B,2,0)</f>
        <v>0.01</v>
      </c>
      <c r="I220">
        <f t="shared" si="41"/>
        <v>1.6903715878559671</v>
      </c>
      <c r="J220">
        <f t="shared" si="42"/>
        <v>1.2761666505319497E-3</v>
      </c>
      <c r="K220">
        <f t="shared" si="43"/>
        <v>0</v>
      </c>
      <c r="L220">
        <f t="shared" si="35"/>
        <v>0.8353243807793892</v>
      </c>
      <c r="M220">
        <f>IF(AND(MOD(C220,12)=1,D220&lt;='[1]Product parameters'!$C$2),I219*[1]model_point!$G$2,0)</f>
        <v>0</v>
      </c>
      <c r="N220">
        <f t="shared" si="36"/>
        <v>0</v>
      </c>
      <c r="O220">
        <f>[2]results_sample_product_cf!G219</f>
        <v>0</v>
      </c>
      <c r="P220">
        <f>[2]results_sample_product_cf!H219</f>
        <v>0</v>
      </c>
      <c r="Q220">
        <f t="shared" si="37"/>
        <v>0</v>
      </c>
      <c r="R220">
        <f t="shared" si="33"/>
        <v>0</v>
      </c>
    </row>
    <row r="221" spans="1:18" x14ac:dyDescent="0.3">
      <c r="A221">
        <f t="shared" si="38"/>
        <v>218</v>
      </c>
      <c r="B221">
        <f t="shared" si="39"/>
        <v>19</v>
      </c>
      <c r="C221">
        <f t="shared" si="40"/>
        <v>223</v>
      </c>
      <c r="D221">
        <f t="shared" si="34"/>
        <v>19</v>
      </c>
      <c r="E221">
        <f>[1]model_point!$C$2+D221-1</f>
        <v>23</v>
      </c>
      <c r="F221">
        <f>VLOOKUP(E221,'[1]202512 BE mortality'!$A:$C,3,0)</f>
        <v>9.0152450745054728E-3</v>
      </c>
      <c r="G221">
        <f>VLOOKUP(D221,'[1]202512 BE lapse'!$C:$D,2,0)</f>
        <v>1.5685561330446307E-3</v>
      </c>
      <c r="H221">
        <f>VLOOKUP($B221,'[1]202512 RFR'!$A:$B,2,0)</f>
        <v>0.01</v>
      </c>
      <c r="I221">
        <f t="shared" si="41"/>
        <v>1.6890963839361901</v>
      </c>
      <c r="J221">
        <f t="shared" si="42"/>
        <v>1.2752039197769262E-3</v>
      </c>
      <c r="K221">
        <f t="shared" si="43"/>
        <v>0</v>
      </c>
      <c r="L221">
        <f t="shared" si="35"/>
        <v>0.83463202170593032</v>
      </c>
      <c r="M221">
        <f>IF(AND(MOD(C221,12)=1,D221&lt;='[1]Product parameters'!$C$2),I220*[1]model_point!$G$2,0)</f>
        <v>0</v>
      </c>
      <c r="N221">
        <f t="shared" si="36"/>
        <v>0</v>
      </c>
      <c r="O221">
        <f>[2]results_sample_product_cf!G220</f>
        <v>0</v>
      </c>
      <c r="P221">
        <f>[2]results_sample_product_cf!H220</f>
        <v>0</v>
      </c>
      <c r="Q221">
        <f t="shared" si="37"/>
        <v>0</v>
      </c>
      <c r="R221">
        <f t="shared" si="33"/>
        <v>0</v>
      </c>
    </row>
    <row r="222" spans="1:18" x14ac:dyDescent="0.3">
      <c r="A222">
        <f t="shared" si="38"/>
        <v>219</v>
      </c>
      <c r="B222">
        <f t="shared" si="39"/>
        <v>19</v>
      </c>
      <c r="C222">
        <f t="shared" si="40"/>
        <v>224</v>
      </c>
      <c r="D222">
        <f t="shared" si="34"/>
        <v>19</v>
      </c>
      <c r="E222">
        <f>[1]model_point!$C$2+D222-1</f>
        <v>23</v>
      </c>
      <c r="F222">
        <f>VLOOKUP(E222,'[1]202512 BE mortality'!$A:$C,3,0)</f>
        <v>9.0152450745054728E-3</v>
      </c>
      <c r="G222">
        <f>VLOOKUP(D222,'[1]202512 BE lapse'!$C:$D,2,0)</f>
        <v>1.5685561330446307E-3</v>
      </c>
      <c r="H222">
        <f>VLOOKUP($B222,'[1]202512 RFR'!$A:$B,2,0)</f>
        <v>0.01</v>
      </c>
      <c r="I222">
        <f t="shared" si="41"/>
        <v>1.6878221420208912</v>
      </c>
      <c r="J222">
        <f t="shared" si="42"/>
        <v>1.2742419152989184E-3</v>
      </c>
      <c r="K222">
        <f t="shared" si="43"/>
        <v>0</v>
      </c>
      <c r="L222">
        <f t="shared" si="35"/>
        <v>0.83394023649467108</v>
      </c>
      <c r="M222">
        <f>IF(AND(MOD(C222,12)=1,D222&lt;='[1]Product parameters'!$C$2),I221*[1]model_point!$G$2,0)</f>
        <v>0</v>
      </c>
      <c r="N222">
        <f t="shared" si="36"/>
        <v>0</v>
      </c>
      <c r="O222">
        <f>[2]results_sample_product_cf!G221</f>
        <v>0</v>
      </c>
      <c r="P222">
        <f>[2]results_sample_product_cf!H221</f>
        <v>0</v>
      </c>
      <c r="Q222">
        <f t="shared" si="37"/>
        <v>0</v>
      </c>
      <c r="R222">
        <f t="shared" si="33"/>
        <v>0</v>
      </c>
    </row>
    <row r="223" spans="1:18" x14ac:dyDescent="0.3">
      <c r="A223">
        <f t="shared" si="38"/>
        <v>220</v>
      </c>
      <c r="B223">
        <f t="shared" si="39"/>
        <v>19</v>
      </c>
      <c r="C223">
        <f t="shared" si="40"/>
        <v>225</v>
      </c>
      <c r="D223">
        <f t="shared" si="34"/>
        <v>19</v>
      </c>
      <c r="E223">
        <f>[1]model_point!$C$2+D223-1</f>
        <v>23</v>
      </c>
      <c r="F223">
        <f>VLOOKUP(E223,'[1]202512 BE mortality'!$A:$C,3,0)</f>
        <v>9.0152450745054728E-3</v>
      </c>
      <c r="G223">
        <f>VLOOKUP(D223,'[1]202512 BE lapse'!$C:$D,2,0)</f>
        <v>1.5685561330446307E-3</v>
      </c>
      <c r="H223">
        <f>VLOOKUP($B223,'[1]202512 RFR'!$A:$B,2,0)</f>
        <v>0.01</v>
      </c>
      <c r="I223">
        <f t="shared" si="41"/>
        <v>1.6865488613843411</v>
      </c>
      <c r="J223">
        <f t="shared" si="42"/>
        <v>1.2732806365500285E-3</v>
      </c>
      <c r="K223">
        <f t="shared" si="43"/>
        <v>0</v>
      </c>
      <c r="L223">
        <f t="shared" si="35"/>
        <v>0.83324902466996553</v>
      </c>
      <c r="M223">
        <f>IF(AND(MOD(C223,12)=1,D223&lt;='[1]Product parameters'!$C$2),I222*[1]model_point!$G$2,0)</f>
        <v>0</v>
      </c>
      <c r="N223">
        <f t="shared" si="36"/>
        <v>0</v>
      </c>
      <c r="O223">
        <f>[2]results_sample_product_cf!G222</f>
        <v>0</v>
      </c>
      <c r="P223">
        <f>[2]results_sample_product_cf!H222</f>
        <v>0</v>
      </c>
      <c r="Q223">
        <f t="shared" si="37"/>
        <v>0</v>
      </c>
      <c r="R223">
        <f t="shared" si="33"/>
        <v>0</v>
      </c>
    </row>
    <row r="224" spans="1:18" x14ac:dyDescent="0.3">
      <c r="A224">
        <f t="shared" si="38"/>
        <v>221</v>
      </c>
      <c r="B224">
        <f t="shared" si="39"/>
        <v>19</v>
      </c>
      <c r="C224">
        <f t="shared" si="40"/>
        <v>226</v>
      </c>
      <c r="D224">
        <f t="shared" si="34"/>
        <v>19</v>
      </c>
      <c r="E224">
        <f>[1]model_point!$C$2+D224-1</f>
        <v>23</v>
      </c>
      <c r="F224">
        <f>VLOOKUP(E224,'[1]202512 BE mortality'!$A:$C,3,0)</f>
        <v>9.0152450745054728E-3</v>
      </c>
      <c r="G224">
        <f>VLOOKUP(D224,'[1]202512 BE lapse'!$C:$D,2,0)</f>
        <v>1.5685561330446307E-3</v>
      </c>
      <c r="H224">
        <f>VLOOKUP($B224,'[1]202512 RFR'!$A:$B,2,0)</f>
        <v>0.01</v>
      </c>
      <c r="I224">
        <f t="shared" si="41"/>
        <v>1.6852765413013584</v>
      </c>
      <c r="J224">
        <f t="shared" si="42"/>
        <v>1.2723200829827717E-3</v>
      </c>
      <c r="K224">
        <f t="shared" si="43"/>
        <v>0</v>
      </c>
      <c r="L224">
        <f t="shared" si="35"/>
        <v>0.83255838575656194</v>
      </c>
      <c r="M224">
        <f>IF(AND(MOD(C224,12)=1,D224&lt;='[1]Product parameters'!$C$2),I223*[1]model_point!$G$2,0)</f>
        <v>0</v>
      </c>
      <c r="N224">
        <f t="shared" si="36"/>
        <v>0</v>
      </c>
      <c r="O224">
        <f>[2]results_sample_product_cf!G223</f>
        <v>0</v>
      </c>
      <c r="P224">
        <f>[2]results_sample_product_cf!H223</f>
        <v>0</v>
      </c>
      <c r="Q224">
        <f t="shared" si="37"/>
        <v>0</v>
      </c>
      <c r="R224">
        <f t="shared" si="33"/>
        <v>0</v>
      </c>
    </row>
    <row r="225" spans="1:18" x14ac:dyDescent="0.3">
      <c r="A225">
        <f t="shared" si="38"/>
        <v>222</v>
      </c>
      <c r="B225">
        <f t="shared" si="39"/>
        <v>19</v>
      </c>
      <c r="C225">
        <f t="shared" si="40"/>
        <v>227</v>
      </c>
      <c r="D225">
        <f t="shared" si="34"/>
        <v>19</v>
      </c>
      <c r="E225">
        <f>[1]model_point!$C$2+D225-1</f>
        <v>23</v>
      </c>
      <c r="F225">
        <f>VLOOKUP(E225,'[1]202512 BE mortality'!$A:$C,3,0)</f>
        <v>9.0152450745054728E-3</v>
      </c>
      <c r="G225">
        <f>VLOOKUP(D225,'[1]202512 BE lapse'!$C:$D,2,0)</f>
        <v>1.5685561330446307E-3</v>
      </c>
      <c r="H225">
        <f>VLOOKUP($B225,'[1]202512 RFR'!$A:$B,2,0)</f>
        <v>0.01</v>
      </c>
      <c r="I225">
        <f t="shared" si="41"/>
        <v>1.6840051810473082</v>
      </c>
      <c r="J225">
        <f t="shared" si="42"/>
        <v>1.2713602540500764E-3</v>
      </c>
      <c r="K225">
        <f t="shared" si="43"/>
        <v>0</v>
      </c>
      <c r="L225">
        <f t="shared" si="35"/>
        <v>0.83186831927960248</v>
      </c>
      <c r="M225">
        <f>IF(AND(MOD(C225,12)=1,D225&lt;='[1]Product parameters'!$C$2),I224*[1]model_point!$G$2,0)</f>
        <v>0</v>
      </c>
      <c r="N225">
        <f t="shared" si="36"/>
        <v>0</v>
      </c>
      <c r="O225">
        <f>[2]results_sample_product_cf!G224</f>
        <v>0</v>
      </c>
      <c r="P225">
        <f>[2]results_sample_product_cf!H224</f>
        <v>0</v>
      </c>
      <c r="Q225">
        <f t="shared" si="37"/>
        <v>0</v>
      </c>
      <c r="R225">
        <f t="shared" si="33"/>
        <v>0</v>
      </c>
    </row>
    <row r="226" spans="1:18" x14ac:dyDescent="0.3">
      <c r="A226">
        <f t="shared" si="38"/>
        <v>223</v>
      </c>
      <c r="B226">
        <f t="shared" si="39"/>
        <v>19</v>
      </c>
      <c r="C226">
        <f t="shared" si="40"/>
        <v>228</v>
      </c>
      <c r="D226">
        <f t="shared" si="34"/>
        <v>19</v>
      </c>
      <c r="E226">
        <f>[1]model_point!$C$2+D226-1</f>
        <v>23</v>
      </c>
      <c r="F226">
        <f>VLOOKUP(E226,'[1]202512 BE mortality'!$A:$C,3,0)</f>
        <v>9.0152450745054728E-3</v>
      </c>
      <c r="G226">
        <f>VLOOKUP(D226,'[1]202512 BE lapse'!$C:$D,2,0)</f>
        <v>1.5685561330446307E-3</v>
      </c>
      <c r="H226">
        <f>VLOOKUP($B226,'[1]202512 RFR'!$A:$B,2,0)</f>
        <v>0.01</v>
      </c>
      <c r="I226">
        <f t="shared" si="41"/>
        <v>1.6800953159388063</v>
      </c>
      <c r="J226">
        <f t="shared" si="42"/>
        <v>1.2704011492052831E-3</v>
      </c>
      <c r="K226">
        <f t="shared" si="43"/>
        <v>2.6394639592966763E-3</v>
      </c>
      <c r="L226">
        <f t="shared" si="35"/>
        <v>0.83117882476462279</v>
      </c>
      <c r="M226">
        <f>IF(AND(MOD(C226,12)=1,D226&lt;='[1]Product parameters'!$C$2),I225*[1]model_point!$G$2,0)</f>
        <v>0</v>
      </c>
      <c r="N226">
        <f t="shared" si="36"/>
        <v>0</v>
      </c>
      <c r="O226">
        <f>[2]results_sample_product_cf!G225</f>
        <v>0</v>
      </c>
      <c r="P226">
        <f>[2]results_sample_product_cf!H225</f>
        <v>0</v>
      </c>
      <c r="Q226">
        <f t="shared" si="37"/>
        <v>0</v>
      </c>
      <c r="R226">
        <f t="shared" si="33"/>
        <v>0</v>
      </c>
    </row>
    <row r="227" spans="1:18" x14ac:dyDescent="0.3">
      <c r="A227">
        <f t="shared" si="38"/>
        <v>224</v>
      </c>
      <c r="B227">
        <f t="shared" si="39"/>
        <v>19</v>
      </c>
      <c r="C227">
        <f t="shared" si="40"/>
        <v>229</v>
      </c>
      <c r="D227">
        <f t="shared" si="34"/>
        <v>20</v>
      </c>
      <c r="E227">
        <f>[1]model_point!$C$2+D227-1</f>
        <v>24</v>
      </c>
      <c r="F227">
        <f>VLOOKUP(E227,'[1]202512 BE mortality'!$A:$C,3,0)</f>
        <v>6.5496862025020584E-3</v>
      </c>
      <c r="G227">
        <f>VLOOKUP(D227,'[1]202512 BE lapse'!$C:$D,2,0)</f>
        <v>2.1277182387692637E-3</v>
      </c>
      <c r="H227">
        <f>VLOOKUP($B227,'[1]202512 RFR'!$A:$B,2,0)</f>
        <v>0.01</v>
      </c>
      <c r="I227">
        <f t="shared" si="41"/>
        <v>1.6791755434690483</v>
      </c>
      <c r="J227">
        <f t="shared" si="42"/>
        <v>9.1977246975814776E-4</v>
      </c>
      <c r="K227">
        <f t="shared" si="43"/>
        <v>0</v>
      </c>
      <c r="L227">
        <f t="shared" si="35"/>
        <v>0.83048990173755188</v>
      </c>
      <c r="M227">
        <f>IF(AND(MOD(C227,12)=1,D227&lt;='[1]Product parameters'!$C$2),I226*[1]model_point!$G$2,0)</f>
        <v>0</v>
      </c>
      <c r="N227">
        <f t="shared" si="36"/>
        <v>0</v>
      </c>
      <c r="O227">
        <f>[2]results_sample_product_cf!G226</f>
        <v>0</v>
      </c>
      <c r="P227">
        <f>[2]results_sample_product_cf!H226</f>
        <v>0</v>
      </c>
      <c r="Q227">
        <f t="shared" si="37"/>
        <v>0</v>
      </c>
      <c r="R227">
        <f t="shared" si="33"/>
        <v>0</v>
      </c>
    </row>
    <row r="228" spans="1:18" x14ac:dyDescent="0.3">
      <c r="A228">
        <f t="shared" si="38"/>
        <v>225</v>
      </c>
      <c r="B228">
        <f t="shared" si="39"/>
        <v>19</v>
      </c>
      <c r="C228">
        <f t="shared" si="40"/>
        <v>230</v>
      </c>
      <c r="D228">
        <f t="shared" si="34"/>
        <v>20</v>
      </c>
      <c r="E228">
        <f>[1]model_point!$C$2+D228-1</f>
        <v>24</v>
      </c>
      <c r="F228">
        <f>VLOOKUP(E228,'[1]202512 BE mortality'!$A:$C,3,0)</f>
        <v>6.5496862025020584E-3</v>
      </c>
      <c r="G228">
        <f>VLOOKUP(D228,'[1]202512 BE lapse'!$C:$D,2,0)</f>
        <v>2.1277182387692637E-3</v>
      </c>
      <c r="H228">
        <f>VLOOKUP($B228,'[1]202512 RFR'!$A:$B,2,0)</f>
        <v>0.01</v>
      </c>
      <c r="I228">
        <f t="shared" si="41"/>
        <v>1.6782562745310767</v>
      </c>
      <c r="J228">
        <f t="shared" si="42"/>
        <v>9.1926893797152878E-4</v>
      </c>
      <c r="K228">
        <f t="shared" si="43"/>
        <v>0</v>
      </c>
      <c r="L228">
        <f t="shared" si="35"/>
        <v>0.82980154972471176</v>
      </c>
      <c r="M228">
        <f>IF(AND(MOD(C228,12)=1,D228&lt;='[1]Product parameters'!$C$2),I227*[1]model_point!$G$2,0)</f>
        <v>0</v>
      </c>
      <c r="N228">
        <f t="shared" si="36"/>
        <v>0</v>
      </c>
      <c r="O228">
        <f>[2]results_sample_product_cf!G227</f>
        <v>0</v>
      </c>
      <c r="P228">
        <f>[2]results_sample_product_cf!H227</f>
        <v>0</v>
      </c>
      <c r="Q228">
        <f t="shared" si="37"/>
        <v>0</v>
      </c>
      <c r="R228">
        <f t="shared" si="33"/>
        <v>0</v>
      </c>
    </row>
    <row r="229" spans="1:18" x14ac:dyDescent="0.3">
      <c r="A229">
        <f t="shared" si="38"/>
        <v>226</v>
      </c>
      <c r="B229">
        <f t="shared" si="39"/>
        <v>19</v>
      </c>
      <c r="C229">
        <f t="shared" si="40"/>
        <v>231</v>
      </c>
      <c r="D229">
        <f t="shared" si="34"/>
        <v>20</v>
      </c>
      <c r="E229">
        <f>[1]model_point!$C$2+D229-1</f>
        <v>24</v>
      </c>
      <c r="F229">
        <f>VLOOKUP(E229,'[1]202512 BE mortality'!$A:$C,3,0)</f>
        <v>6.5496862025020584E-3</v>
      </c>
      <c r="G229">
        <f>VLOOKUP(D229,'[1]202512 BE lapse'!$C:$D,2,0)</f>
        <v>2.1277182387692637E-3</v>
      </c>
      <c r="H229">
        <f>VLOOKUP($B229,'[1]202512 RFR'!$A:$B,2,0)</f>
        <v>0.01</v>
      </c>
      <c r="I229">
        <f t="shared" si="41"/>
        <v>1.6773375088492322</v>
      </c>
      <c r="J229">
        <f t="shared" si="42"/>
        <v>9.1876568184467175E-4</v>
      </c>
      <c r="K229">
        <f t="shared" si="43"/>
        <v>0</v>
      </c>
      <c r="L229">
        <f t="shared" si="35"/>
        <v>0.82911376825281691</v>
      </c>
      <c r="M229">
        <f>IF(AND(MOD(C229,12)=1,D229&lt;='[1]Product parameters'!$C$2),I228*[1]model_point!$G$2,0)</f>
        <v>0</v>
      </c>
      <c r="N229">
        <f t="shared" si="36"/>
        <v>0</v>
      </c>
      <c r="O229">
        <f>[2]results_sample_product_cf!G228</f>
        <v>0</v>
      </c>
      <c r="P229">
        <f>[2]results_sample_product_cf!H228</f>
        <v>0</v>
      </c>
      <c r="Q229">
        <f t="shared" si="37"/>
        <v>0</v>
      </c>
      <c r="R229">
        <f t="shared" si="33"/>
        <v>0</v>
      </c>
    </row>
    <row r="230" spans="1:18" x14ac:dyDescent="0.3">
      <c r="A230">
        <f t="shared" si="38"/>
        <v>227</v>
      </c>
      <c r="B230">
        <f t="shared" si="39"/>
        <v>19</v>
      </c>
      <c r="C230">
        <f t="shared" si="40"/>
        <v>232</v>
      </c>
      <c r="D230">
        <f t="shared" si="34"/>
        <v>20</v>
      </c>
      <c r="E230">
        <f>[1]model_point!$C$2+D230-1</f>
        <v>24</v>
      </c>
      <c r="F230">
        <f>VLOOKUP(E230,'[1]202512 BE mortality'!$A:$C,3,0)</f>
        <v>6.5496862025020584E-3</v>
      </c>
      <c r="G230">
        <f>VLOOKUP(D230,'[1]202512 BE lapse'!$C:$D,2,0)</f>
        <v>2.1277182387692637E-3</v>
      </c>
      <c r="H230">
        <f>VLOOKUP($B230,'[1]202512 RFR'!$A:$B,2,0)</f>
        <v>0.01</v>
      </c>
      <c r="I230">
        <f t="shared" si="41"/>
        <v>1.6764192461480054</v>
      </c>
      <c r="J230">
        <f t="shared" si="42"/>
        <v>9.1826270122666613E-4</v>
      </c>
      <c r="K230">
        <f t="shared" si="43"/>
        <v>0</v>
      </c>
      <c r="L230">
        <f t="shared" si="35"/>
        <v>0.82842655684897415</v>
      </c>
      <c r="M230">
        <f>IF(AND(MOD(C230,12)=1,D230&lt;='[1]Product parameters'!$C$2),I229*[1]model_point!$G$2,0)</f>
        <v>0</v>
      </c>
      <c r="N230">
        <f t="shared" si="36"/>
        <v>0</v>
      </c>
      <c r="O230">
        <f>[2]results_sample_product_cf!G229</f>
        <v>0</v>
      </c>
      <c r="P230">
        <f>[2]results_sample_product_cf!H229</f>
        <v>0</v>
      </c>
      <c r="Q230">
        <f t="shared" si="37"/>
        <v>0</v>
      </c>
      <c r="R230">
        <f t="shared" si="33"/>
        <v>0</v>
      </c>
    </row>
    <row r="231" spans="1:18" x14ac:dyDescent="0.3">
      <c r="A231">
        <f t="shared" si="38"/>
        <v>228</v>
      </c>
      <c r="B231">
        <f t="shared" si="39"/>
        <v>19</v>
      </c>
      <c r="C231">
        <f t="shared" si="40"/>
        <v>233</v>
      </c>
      <c r="D231">
        <f t="shared" si="34"/>
        <v>20</v>
      </c>
      <c r="E231">
        <f>[1]model_point!$C$2+D231-1</f>
        <v>24</v>
      </c>
      <c r="F231">
        <f>VLOOKUP(E231,'[1]202512 BE mortality'!$A:$C,3,0)</f>
        <v>6.5496862025020584E-3</v>
      </c>
      <c r="G231">
        <f>VLOOKUP(D231,'[1]202512 BE lapse'!$C:$D,2,0)</f>
        <v>2.1277182387692637E-3</v>
      </c>
      <c r="H231">
        <f>VLOOKUP($B231,'[1]202512 RFR'!$A:$B,2,0)</f>
        <v>0.01</v>
      </c>
      <c r="I231">
        <f t="shared" si="41"/>
        <v>1.6755014861520388</v>
      </c>
      <c r="J231">
        <f t="shared" si="42"/>
        <v>9.1775999596668378E-4</v>
      </c>
      <c r="K231">
        <f t="shared" si="43"/>
        <v>0</v>
      </c>
      <c r="L231">
        <f t="shared" si="35"/>
        <v>0.82773991504068223</v>
      </c>
      <c r="M231">
        <f>IF(AND(MOD(C231,12)=1,D231&lt;='[1]Product parameters'!$C$2),I230*[1]model_point!$G$2,0)</f>
        <v>0</v>
      </c>
      <c r="N231">
        <f t="shared" si="36"/>
        <v>0</v>
      </c>
      <c r="O231">
        <f>[2]results_sample_product_cf!G230</f>
        <v>0</v>
      </c>
      <c r="P231">
        <f>[2]results_sample_product_cf!H230</f>
        <v>0</v>
      </c>
      <c r="Q231">
        <f t="shared" si="37"/>
        <v>0</v>
      </c>
      <c r="R231">
        <f t="shared" si="33"/>
        <v>0</v>
      </c>
    </row>
    <row r="232" spans="1:18" x14ac:dyDescent="0.3">
      <c r="A232">
        <f t="shared" si="38"/>
        <v>229</v>
      </c>
      <c r="B232">
        <f t="shared" si="39"/>
        <v>20</v>
      </c>
      <c r="C232">
        <f t="shared" si="40"/>
        <v>234</v>
      </c>
      <c r="D232">
        <f t="shared" si="34"/>
        <v>20</v>
      </c>
      <c r="E232">
        <f>[1]model_point!$C$2+D232-1</f>
        <v>24</v>
      </c>
      <c r="F232">
        <f>VLOOKUP(E232,'[1]202512 BE mortality'!$A:$C,3,0)</f>
        <v>6.5496862025020584E-3</v>
      </c>
      <c r="G232">
        <f>VLOOKUP(D232,'[1]202512 BE lapse'!$C:$D,2,0)</f>
        <v>2.1277182387692637E-3</v>
      </c>
      <c r="H232">
        <f>VLOOKUP($B232,'[1]202512 RFR'!$A:$B,2,0)</f>
        <v>1.4999999999999999E-2</v>
      </c>
      <c r="I232">
        <f t="shared" si="41"/>
        <v>1.6745842285861248</v>
      </c>
      <c r="J232">
        <f t="shared" si="42"/>
        <v>9.172575659139794E-4</v>
      </c>
      <c r="K232">
        <f t="shared" si="43"/>
        <v>0</v>
      </c>
      <c r="L232">
        <f t="shared" si="35"/>
        <v>0.82671356031053467</v>
      </c>
      <c r="M232">
        <f>IF(AND(MOD(C232,12)=1,D232&lt;='[1]Product parameters'!$C$2),I231*[1]model_point!$G$2,0)</f>
        <v>0</v>
      </c>
      <c r="N232">
        <f t="shared" si="36"/>
        <v>0</v>
      </c>
      <c r="O232">
        <f>[2]results_sample_product_cf!G231</f>
        <v>0</v>
      </c>
      <c r="P232">
        <f>[2]results_sample_product_cf!H231</f>
        <v>0</v>
      </c>
      <c r="Q232">
        <f t="shared" si="37"/>
        <v>0</v>
      </c>
      <c r="R232">
        <f t="shared" si="33"/>
        <v>0</v>
      </c>
    </row>
    <row r="233" spans="1:18" x14ac:dyDescent="0.3">
      <c r="A233">
        <f t="shared" si="38"/>
        <v>230</v>
      </c>
      <c r="B233">
        <f t="shared" si="39"/>
        <v>20</v>
      </c>
      <c r="C233">
        <f t="shared" si="40"/>
        <v>235</v>
      </c>
      <c r="D233">
        <f t="shared" si="34"/>
        <v>20</v>
      </c>
      <c r="E233">
        <f>[1]model_point!$C$2+D233-1</f>
        <v>24</v>
      </c>
      <c r="F233">
        <f>VLOOKUP(E233,'[1]202512 BE mortality'!$A:$C,3,0)</f>
        <v>6.5496862025020584E-3</v>
      </c>
      <c r="G233">
        <f>VLOOKUP(D233,'[1]202512 BE lapse'!$C:$D,2,0)</f>
        <v>2.1277182387692637E-3</v>
      </c>
      <c r="H233">
        <f>VLOOKUP($B233,'[1]202512 RFR'!$A:$B,2,0)</f>
        <v>1.4999999999999999E-2</v>
      </c>
      <c r="I233">
        <f t="shared" si="41"/>
        <v>1.6736674731752068</v>
      </c>
      <c r="J233">
        <f t="shared" si="42"/>
        <v>9.1675541091788999E-4</v>
      </c>
      <c r="K233">
        <f t="shared" si="43"/>
        <v>0</v>
      </c>
      <c r="L233">
        <f t="shared" si="35"/>
        <v>0.82568847820722668</v>
      </c>
      <c r="M233">
        <f>IF(AND(MOD(C233,12)=1,D233&lt;='[1]Product parameters'!$C$2),I232*[1]model_point!$G$2,0)</f>
        <v>0</v>
      </c>
      <c r="N233">
        <f t="shared" si="36"/>
        <v>0</v>
      </c>
      <c r="O233">
        <f>[2]results_sample_product_cf!G232</f>
        <v>0</v>
      </c>
      <c r="P233">
        <f>[2]results_sample_product_cf!H232</f>
        <v>0</v>
      </c>
      <c r="Q233">
        <f t="shared" si="37"/>
        <v>0</v>
      </c>
      <c r="R233">
        <f t="shared" si="33"/>
        <v>0</v>
      </c>
    </row>
    <row r="234" spans="1:18" x14ac:dyDescent="0.3">
      <c r="A234">
        <f t="shared" si="38"/>
        <v>231</v>
      </c>
      <c r="B234">
        <f t="shared" si="39"/>
        <v>20</v>
      </c>
      <c r="C234">
        <f t="shared" si="40"/>
        <v>236</v>
      </c>
      <c r="D234">
        <f t="shared" si="34"/>
        <v>20</v>
      </c>
      <c r="E234">
        <f>[1]model_point!$C$2+D234-1</f>
        <v>24</v>
      </c>
      <c r="F234">
        <f>VLOOKUP(E234,'[1]202512 BE mortality'!$A:$C,3,0)</f>
        <v>6.5496862025020584E-3</v>
      </c>
      <c r="G234">
        <f>VLOOKUP(D234,'[1]202512 BE lapse'!$C:$D,2,0)</f>
        <v>2.1277182387692637E-3</v>
      </c>
      <c r="H234">
        <f>VLOOKUP($B234,'[1]202512 RFR'!$A:$B,2,0)</f>
        <v>1.4999999999999999E-2</v>
      </c>
      <c r="I234">
        <f t="shared" si="41"/>
        <v>1.672751219644379</v>
      </c>
      <c r="J234">
        <f t="shared" si="42"/>
        <v>9.1625353082783515E-4</v>
      </c>
      <c r="K234">
        <f t="shared" si="43"/>
        <v>0</v>
      </c>
      <c r="L234">
        <f t="shared" si="35"/>
        <v>0.82466466715276676</v>
      </c>
      <c r="M234">
        <f>IF(AND(MOD(C234,12)=1,D234&lt;='[1]Product parameters'!$C$2),I233*[1]model_point!$G$2,0)</f>
        <v>0</v>
      </c>
      <c r="N234">
        <f t="shared" si="36"/>
        <v>0</v>
      </c>
      <c r="O234">
        <f>[2]results_sample_product_cf!G233</f>
        <v>0</v>
      </c>
      <c r="P234">
        <f>[2]results_sample_product_cf!H233</f>
        <v>0</v>
      </c>
      <c r="Q234">
        <f t="shared" si="37"/>
        <v>0</v>
      </c>
      <c r="R234">
        <f t="shared" si="33"/>
        <v>0</v>
      </c>
    </row>
    <row r="235" spans="1:18" x14ac:dyDescent="0.3">
      <c r="A235">
        <f t="shared" si="38"/>
        <v>232</v>
      </c>
      <c r="B235">
        <f t="shared" si="39"/>
        <v>20</v>
      </c>
      <c r="C235">
        <f t="shared" si="40"/>
        <v>237</v>
      </c>
      <c r="D235">
        <f t="shared" si="34"/>
        <v>20</v>
      </c>
      <c r="E235">
        <f>[1]model_point!$C$2+D235-1</f>
        <v>24</v>
      </c>
      <c r="F235">
        <f>VLOOKUP(E235,'[1]202512 BE mortality'!$A:$C,3,0)</f>
        <v>6.5496862025020584E-3</v>
      </c>
      <c r="G235">
        <f>VLOOKUP(D235,'[1]202512 BE lapse'!$C:$D,2,0)</f>
        <v>2.1277182387692637E-3</v>
      </c>
      <c r="H235">
        <f>VLOOKUP($B235,'[1]202512 RFR'!$A:$B,2,0)</f>
        <v>1.4999999999999999E-2</v>
      </c>
      <c r="I235">
        <f t="shared" si="41"/>
        <v>1.6718354677188856</v>
      </c>
      <c r="J235">
        <f t="shared" si="42"/>
        <v>9.1575192549331688E-4</v>
      </c>
      <c r="K235">
        <f t="shared" si="43"/>
        <v>0</v>
      </c>
      <c r="L235">
        <f t="shared" si="35"/>
        <v>0.82364212557112004</v>
      </c>
      <c r="M235">
        <f>IF(AND(MOD(C235,12)=1,D235&lt;='[1]Product parameters'!$C$2),I234*[1]model_point!$G$2,0)</f>
        <v>0</v>
      </c>
      <c r="N235">
        <f t="shared" si="36"/>
        <v>0</v>
      </c>
      <c r="O235">
        <f>[2]results_sample_product_cf!G234</f>
        <v>0</v>
      </c>
      <c r="P235">
        <f>[2]results_sample_product_cf!H234</f>
        <v>0</v>
      </c>
      <c r="Q235">
        <f t="shared" si="37"/>
        <v>0</v>
      </c>
      <c r="R235">
        <f t="shared" si="33"/>
        <v>0</v>
      </c>
    </row>
    <row r="236" spans="1:18" x14ac:dyDescent="0.3">
      <c r="A236">
        <f t="shared" si="38"/>
        <v>233</v>
      </c>
      <c r="B236">
        <f t="shared" si="39"/>
        <v>20</v>
      </c>
      <c r="C236">
        <f t="shared" si="40"/>
        <v>238</v>
      </c>
      <c r="D236">
        <f t="shared" si="34"/>
        <v>20</v>
      </c>
      <c r="E236">
        <f>[1]model_point!$C$2+D236-1</f>
        <v>24</v>
      </c>
      <c r="F236">
        <f>VLOOKUP(E236,'[1]202512 BE mortality'!$A:$C,3,0)</f>
        <v>6.5496862025020584E-3</v>
      </c>
      <c r="G236">
        <f>VLOOKUP(D236,'[1]202512 BE lapse'!$C:$D,2,0)</f>
        <v>2.1277182387692637E-3</v>
      </c>
      <c r="H236">
        <f>VLOOKUP($B236,'[1]202512 RFR'!$A:$B,2,0)</f>
        <v>1.4999999999999999E-2</v>
      </c>
      <c r="I236">
        <f t="shared" si="41"/>
        <v>1.6709202171241218</v>
      </c>
      <c r="J236">
        <f t="shared" si="42"/>
        <v>9.1525059476391937E-4</v>
      </c>
      <c r="K236">
        <f t="shared" si="43"/>
        <v>0</v>
      </c>
      <c r="L236">
        <f t="shared" si="35"/>
        <v>0.82262085188820577</v>
      </c>
      <c r="M236">
        <f>IF(AND(MOD(C236,12)=1,D236&lt;='[1]Product parameters'!$C$2),I235*[1]model_point!$G$2,0)</f>
        <v>0</v>
      </c>
      <c r="N236">
        <f t="shared" si="36"/>
        <v>0</v>
      </c>
      <c r="O236">
        <f>[2]results_sample_product_cf!G235</f>
        <v>0</v>
      </c>
      <c r="P236">
        <f>[2]results_sample_product_cf!H235</f>
        <v>0</v>
      </c>
      <c r="Q236">
        <f t="shared" si="37"/>
        <v>0</v>
      </c>
      <c r="R236">
        <f t="shared" si="33"/>
        <v>0</v>
      </c>
    </row>
    <row r="237" spans="1:18" x14ac:dyDescent="0.3">
      <c r="A237">
        <f t="shared" si="38"/>
        <v>234</v>
      </c>
      <c r="B237">
        <f t="shared" si="39"/>
        <v>20</v>
      </c>
      <c r="C237">
        <f t="shared" si="40"/>
        <v>239</v>
      </c>
      <c r="D237">
        <f t="shared" si="34"/>
        <v>20</v>
      </c>
      <c r="E237">
        <f>[1]model_point!$C$2+D237-1</f>
        <v>24</v>
      </c>
      <c r="F237">
        <f>VLOOKUP(E237,'[1]202512 BE mortality'!$A:$C,3,0)</f>
        <v>6.5496862025020584E-3</v>
      </c>
      <c r="G237">
        <f>VLOOKUP(D237,'[1]202512 BE lapse'!$C:$D,2,0)</f>
        <v>2.1277182387692637E-3</v>
      </c>
      <c r="H237">
        <f>VLOOKUP($B237,'[1]202512 RFR'!$A:$B,2,0)</f>
        <v>1.4999999999999999E-2</v>
      </c>
      <c r="I237">
        <f t="shared" si="41"/>
        <v>1.6700054675856324</v>
      </c>
      <c r="J237">
        <f t="shared" si="42"/>
        <v>9.1474953848930964E-4</v>
      </c>
      <c r="K237">
        <f t="shared" si="43"/>
        <v>0</v>
      </c>
      <c r="L237">
        <f t="shared" si="35"/>
        <v>0.82160084453189508</v>
      </c>
      <c r="M237">
        <f>IF(AND(MOD(C237,12)=1,D237&lt;='[1]Product parameters'!$C$2),I236*[1]model_point!$G$2,0)</f>
        <v>0</v>
      </c>
      <c r="N237">
        <f t="shared" si="36"/>
        <v>0</v>
      </c>
      <c r="O237">
        <f>[2]results_sample_product_cf!G236</f>
        <v>0</v>
      </c>
      <c r="P237">
        <f>[2]results_sample_product_cf!H236</f>
        <v>0</v>
      </c>
      <c r="Q237">
        <f t="shared" si="37"/>
        <v>0</v>
      </c>
      <c r="R237">
        <f t="shared" si="33"/>
        <v>0</v>
      </c>
    </row>
    <row r="238" spans="1:18" x14ac:dyDescent="0.3">
      <c r="A238">
        <f t="shared" si="38"/>
        <v>235</v>
      </c>
      <c r="B238">
        <f t="shared" si="39"/>
        <v>20</v>
      </c>
      <c r="C238">
        <f t="shared" si="40"/>
        <v>240</v>
      </c>
      <c r="D238">
        <f t="shared" si="34"/>
        <v>20</v>
      </c>
      <c r="E238">
        <f>[1]model_point!$C$2+D238-1</f>
        <v>24</v>
      </c>
      <c r="F238">
        <f>VLOOKUP(E238,'[1]202512 BE mortality'!$A:$C,3,0)</f>
        <v>6.5496862025020584E-3</v>
      </c>
      <c r="G238">
        <f>VLOOKUP(D238,'[1]202512 BE lapse'!$C:$D,2,0)</f>
        <v>2.1277182387692637E-3</v>
      </c>
      <c r="H238">
        <f>VLOOKUP($B238,'[1]202512 RFR'!$A:$B,2,0)</f>
        <v>1.4999999999999999E-2</v>
      </c>
      <c r="I238">
        <f t="shared" si="41"/>
        <v>1.6655398630006408</v>
      </c>
      <c r="J238">
        <f t="shared" si="42"/>
        <v>9.1424875651923657E-4</v>
      </c>
      <c r="K238">
        <f t="shared" si="43"/>
        <v>3.5513558284723246E-3</v>
      </c>
      <c r="L238">
        <f t="shared" si="35"/>
        <v>0.82058210193200831</v>
      </c>
      <c r="M238">
        <f>IF(AND(MOD(C238,12)=1,D238&lt;='[1]Product parameters'!$C$2),I237*[1]model_point!$G$2,0)</f>
        <v>0</v>
      </c>
      <c r="N238">
        <f t="shared" si="36"/>
        <v>0</v>
      </c>
      <c r="O238">
        <f>[2]results_sample_product_cf!G237</f>
        <v>0</v>
      </c>
      <c r="P238">
        <f>[2]results_sample_product_cf!H237</f>
        <v>0</v>
      </c>
      <c r="Q238">
        <f t="shared" si="37"/>
        <v>0</v>
      </c>
      <c r="R238">
        <f t="shared" si="33"/>
        <v>0</v>
      </c>
    </row>
    <row r="239" spans="1:18" x14ac:dyDescent="0.3">
      <c r="A239">
        <f t="shared" si="38"/>
        <v>236</v>
      </c>
      <c r="B239">
        <f t="shared" si="39"/>
        <v>20</v>
      </c>
      <c r="C239">
        <f t="shared" si="40"/>
        <v>241</v>
      </c>
      <c r="D239">
        <f t="shared" si="34"/>
        <v>21</v>
      </c>
      <c r="E239">
        <f>[1]model_point!$C$2+D239-1</f>
        <v>25</v>
      </c>
      <c r="F239">
        <f>VLOOKUP(E239,'[1]202512 BE mortality'!$A:$C,3,0)</f>
        <v>5.6707981639405576E-3</v>
      </c>
      <c r="G239">
        <f>VLOOKUP(D239,'[1]202512 BE lapse'!$C:$D,2,0)</f>
        <v>1.1183746629262125E-3</v>
      </c>
      <c r="H239">
        <f>VLOOKUP($B239,'[1]202512 RFR'!$A:$B,2,0)</f>
        <v>1.4999999999999999E-2</v>
      </c>
      <c r="I239">
        <f t="shared" si="41"/>
        <v>1.6647507314839769</v>
      </c>
      <c r="J239">
        <f t="shared" si="42"/>
        <v>7.8913151666403045E-4</v>
      </c>
      <c r="K239">
        <f t="shared" si="43"/>
        <v>0</v>
      </c>
      <c r="L239">
        <f t="shared" si="35"/>
        <v>0.81956462252031292</v>
      </c>
      <c r="M239">
        <f>IF(AND(MOD(C239,12)=1,D239&lt;='[1]Product parameters'!$C$2),I238*[1]model_point!$G$2,0)</f>
        <v>0</v>
      </c>
      <c r="N239">
        <f t="shared" si="36"/>
        <v>0</v>
      </c>
      <c r="O239">
        <f>[2]results_sample_product_cf!G238</f>
        <v>0</v>
      </c>
      <c r="P239">
        <f>[2]results_sample_product_cf!H238</f>
        <v>0</v>
      </c>
      <c r="Q239">
        <f t="shared" si="37"/>
        <v>0</v>
      </c>
      <c r="R239">
        <f t="shared" si="33"/>
        <v>0</v>
      </c>
    </row>
    <row r="240" spans="1:18" x14ac:dyDescent="0.3">
      <c r="A240">
        <f t="shared" si="38"/>
        <v>237</v>
      </c>
      <c r="B240">
        <f t="shared" si="39"/>
        <v>20</v>
      </c>
      <c r="C240">
        <f t="shared" si="40"/>
        <v>242</v>
      </c>
      <c r="D240">
        <f t="shared" si="34"/>
        <v>21</v>
      </c>
      <c r="E240">
        <f>[1]model_point!$C$2+D240-1</f>
        <v>25</v>
      </c>
      <c r="F240">
        <f>VLOOKUP(E240,'[1]202512 BE mortality'!$A:$C,3,0)</f>
        <v>5.6707981639405576E-3</v>
      </c>
      <c r="G240">
        <f>VLOOKUP(D240,'[1]202512 BE lapse'!$C:$D,2,0)</f>
        <v>1.1183746629262125E-3</v>
      </c>
      <c r="H240">
        <f>VLOOKUP($B240,'[1]202512 RFR'!$A:$B,2,0)</f>
        <v>1.4999999999999999E-2</v>
      </c>
      <c r="I240">
        <f t="shared" si="41"/>
        <v>1.6639619738572236</v>
      </c>
      <c r="J240">
        <f t="shared" si="42"/>
        <v>7.8875762675336184E-4</v>
      </c>
      <c r="K240">
        <f t="shared" si="43"/>
        <v>0</v>
      </c>
      <c r="L240">
        <f t="shared" si="35"/>
        <v>0.81854840473052082</v>
      </c>
      <c r="M240">
        <f>IF(AND(MOD(C240,12)=1,D240&lt;='[1]Product parameters'!$C$2),I239*[1]model_point!$G$2,0)</f>
        <v>0</v>
      </c>
      <c r="N240">
        <f t="shared" si="36"/>
        <v>0</v>
      </c>
      <c r="O240">
        <f>[2]results_sample_product_cf!G239</f>
        <v>0</v>
      </c>
      <c r="P240">
        <f>[2]results_sample_product_cf!H239</f>
        <v>0</v>
      </c>
      <c r="Q240">
        <f t="shared" si="37"/>
        <v>0</v>
      </c>
      <c r="R240">
        <f t="shared" si="33"/>
        <v>0</v>
      </c>
    </row>
    <row r="241" spans="1:18" x14ac:dyDescent="0.3">
      <c r="A241">
        <f t="shared" si="38"/>
        <v>238</v>
      </c>
      <c r="B241">
        <f t="shared" si="39"/>
        <v>20</v>
      </c>
      <c r="C241">
        <f t="shared" si="40"/>
        <v>243</v>
      </c>
      <c r="D241">
        <f t="shared" si="34"/>
        <v>21</v>
      </c>
      <c r="E241">
        <f>[1]model_point!$C$2+D241-1</f>
        <v>25</v>
      </c>
      <c r="F241">
        <f>VLOOKUP(E241,'[1]202512 BE mortality'!$A:$C,3,0)</f>
        <v>5.6707981639405576E-3</v>
      </c>
      <c r="G241">
        <f>VLOOKUP(D241,'[1]202512 BE lapse'!$C:$D,2,0)</f>
        <v>1.1183746629262125E-3</v>
      </c>
      <c r="H241">
        <f>VLOOKUP($B241,'[1]202512 RFR'!$A:$B,2,0)</f>
        <v>1.4999999999999999E-2</v>
      </c>
      <c r="I241">
        <f t="shared" si="41"/>
        <v>1.6631735899432321</v>
      </c>
      <c r="J241">
        <f t="shared" si="42"/>
        <v>7.8838391399144766E-4</v>
      </c>
      <c r="K241">
        <f t="shared" si="43"/>
        <v>0</v>
      </c>
      <c r="L241">
        <f t="shared" si="35"/>
        <v>0.81753344699828601</v>
      </c>
      <c r="M241">
        <f>IF(AND(MOD(C241,12)=1,D241&lt;='[1]Product parameters'!$C$2),I240*[1]model_point!$G$2,0)</f>
        <v>0</v>
      </c>
      <c r="N241">
        <f t="shared" si="36"/>
        <v>0</v>
      </c>
      <c r="O241">
        <f>[2]results_sample_product_cf!G240</f>
        <v>0</v>
      </c>
      <c r="P241">
        <f>[2]results_sample_product_cf!H240</f>
        <v>0</v>
      </c>
      <c r="Q241">
        <f t="shared" si="37"/>
        <v>0</v>
      </c>
      <c r="R241">
        <f t="shared" si="33"/>
        <v>0</v>
      </c>
    </row>
    <row r="242" spans="1:18" x14ac:dyDescent="0.3">
      <c r="A242">
        <f t="shared" si="38"/>
        <v>239</v>
      </c>
      <c r="B242">
        <f t="shared" si="39"/>
        <v>20</v>
      </c>
      <c r="C242">
        <f t="shared" si="40"/>
        <v>244</v>
      </c>
      <c r="D242">
        <f t="shared" si="34"/>
        <v>21</v>
      </c>
      <c r="E242">
        <f>[1]model_point!$C$2+D242-1</f>
        <v>25</v>
      </c>
      <c r="F242">
        <f>VLOOKUP(E242,'[1]202512 BE mortality'!$A:$C,3,0)</f>
        <v>5.6707981639405576E-3</v>
      </c>
      <c r="G242">
        <f>VLOOKUP(D242,'[1]202512 BE lapse'!$C:$D,2,0)</f>
        <v>1.1183746629262125E-3</v>
      </c>
      <c r="H242">
        <f>VLOOKUP($B242,'[1]202512 RFR'!$A:$B,2,0)</f>
        <v>1.4999999999999999E-2</v>
      </c>
      <c r="I242">
        <f t="shared" si="41"/>
        <v>1.6623855795649376</v>
      </c>
      <c r="J242">
        <f t="shared" si="42"/>
        <v>7.8801037829435495E-4</v>
      </c>
      <c r="K242">
        <f t="shared" si="43"/>
        <v>0</v>
      </c>
      <c r="L242">
        <f t="shared" si="35"/>
        <v>0.81651974776120217</v>
      </c>
      <c r="M242">
        <f>IF(AND(MOD(C242,12)=1,D242&lt;='[1]Product parameters'!$C$2),I241*[1]model_point!$G$2,0)</f>
        <v>0</v>
      </c>
      <c r="N242">
        <f t="shared" si="36"/>
        <v>0</v>
      </c>
      <c r="O242">
        <f>[2]results_sample_product_cf!G241</f>
        <v>0</v>
      </c>
      <c r="P242">
        <f>[2]results_sample_product_cf!H241</f>
        <v>0</v>
      </c>
      <c r="Q242">
        <f t="shared" si="37"/>
        <v>0</v>
      </c>
      <c r="R242">
        <f t="shared" si="33"/>
        <v>0</v>
      </c>
    </row>
    <row r="243" spans="1:18" x14ac:dyDescent="0.3">
      <c r="A243">
        <f t="shared" si="38"/>
        <v>240</v>
      </c>
      <c r="B243">
        <f t="shared" si="39"/>
        <v>20</v>
      </c>
      <c r="C243">
        <f t="shared" si="40"/>
        <v>245</v>
      </c>
      <c r="D243">
        <f t="shared" si="34"/>
        <v>21</v>
      </c>
      <c r="E243">
        <f>[1]model_point!$C$2+D243-1</f>
        <v>25</v>
      </c>
      <c r="F243">
        <f>VLOOKUP(E243,'[1]202512 BE mortality'!$A:$C,3,0)</f>
        <v>5.6707981639405576E-3</v>
      </c>
      <c r="G243">
        <f>VLOOKUP(D243,'[1]202512 BE lapse'!$C:$D,2,0)</f>
        <v>1.1183746629262125E-3</v>
      </c>
      <c r="H243">
        <f>VLOOKUP($B243,'[1]202512 RFR'!$A:$B,2,0)</f>
        <v>1.4999999999999999E-2</v>
      </c>
      <c r="I243">
        <f t="shared" si="41"/>
        <v>1.6615979425453593</v>
      </c>
      <c r="J243">
        <f t="shared" si="42"/>
        <v>7.8763701957819052E-4</v>
      </c>
      <c r="K243">
        <f t="shared" si="43"/>
        <v>0</v>
      </c>
      <c r="L243">
        <f t="shared" si="35"/>
        <v>0.81550730545880046</v>
      </c>
      <c r="M243">
        <f>IF(AND(MOD(C243,12)=1,D243&lt;='[1]Product parameters'!$C$2),I242*[1]model_point!$G$2,0)</f>
        <v>0</v>
      </c>
      <c r="N243">
        <f t="shared" si="36"/>
        <v>0</v>
      </c>
      <c r="O243">
        <f>[2]results_sample_product_cf!G242</f>
        <v>0</v>
      </c>
      <c r="P243">
        <f>[2]results_sample_product_cf!H242</f>
        <v>0</v>
      </c>
      <c r="Q243">
        <f t="shared" si="37"/>
        <v>0</v>
      </c>
      <c r="R243">
        <f t="shared" si="33"/>
        <v>0</v>
      </c>
    </row>
    <row r="244" spans="1:18" x14ac:dyDescent="0.3">
      <c r="A244">
        <f t="shared" si="38"/>
        <v>241</v>
      </c>
      <c r="B244">
        <f t="shared" si="39"/>
        <v>21</v>
      </c>
      <c r="C244">
        <f t="shared" si="40"/>
        <v>246</v>
      </c>
      <c r="D244">
        <f t="shared" si="34"/>
        <v>21</v>
      </c>
      <c r="E244">
        <f>[1]model_point!$C$2+D244-1</f>
        <v>25</v>
      </c>
      <c r="F244">
        <f>VLOOKUP(E244,'[1]202512 BE mortality'!$A:$C,3,0)</f>
        <v>5.6707981639405576E-3</v>
      </c>
      <c r="G244">
        <f>VLOOKUP(D244,'[1]202512 BE lapse'!$C:$D,2,0)</f>
        <v>1.1183746629262125E-3</v>
      </c>
      <c r="H244">
        <f>VLOOKUP($B244,'[1]202512 RFR'!$A:$B,2,0)</f>
        <v>1.4999999999999999E-2</v>
      </c>
      <c r="I244">
        <f t="shared" si="41"/>
        <v>1.6608106787076002</v>
      </c>
      <c r="J244">
        <f t="shared" si="42"/>
        <v>7.8726383775910109E-4</v>
      </c>
      <c r="K244">
        <f t="shared" si="43"/>
        <v>0</v>
      </c>
      <c r="L244">
        <f t="shared" si="35"/>
        <v>0.81449611853254666</v>
      </c>
      <c r="M244">
        <f>IF(AND(MOD(C244,12)=1,D244&lt;='[1]Product parameters'!$C$2),I243*[1]model_point!$G$2,0)</f>
        <v>0</v>
      </c>
      <c r="N244">
        <f t="shared" si="36"/>
        <v>0</v>
      </c>
      <c r="O244">
        <f>[2]results_sample_product_cf!G243</f>
        <v>0</v>
      </c>
      <c r="P244">
        <f>[2]results_sample_product_cf!H243</f>
        <v>0</v>
      </c>
      <c r="Q244">
        <f t="shared" si="37"/>
        <v>0</v>
      </c>
      <c r="R244">
        <f t="shared" si="33"/>
        <v>0</v>
      </c>
    </row>
    <row r="245" spans="1:18" x14ac:dyDescent="0.3">
      <c r="A245">
        <f t="shared" si="38"/>
        <v>242</v>
      </c>
      <c r="B245">
        <f t="shared" si="39"/>
        <v>21</v>
      </c>
      <c r="C245">
        <f t="shared" si="40"/>
        <v>247</v>
      </c>
      <c r="D245">
        <f t="shared" si="34"/>
        <v>21</v>
      </c>
      <c r="E245">
        <f>[1]model_point!$C$2+D245-1</f>
        <v>25</v>
      </c>
      <c r="F245">
        <f>VLOOKUP(E245,'[1]202512 BE mortality'!$A:$C,3,0)</f>
        <v>5.6707981639405576E-3</v>
      </c>
      <c r="G245">
        <f>VLOOKUP(D245,'[1]202512 BE lapse'!$C:$D,2,0)</f>
        <v>1.1183746629262125E-3</v>
      </c>
      <c r="H245">
        <f>VLOOKUP($B245,'[1]202512 RFR'!$A:$B,2,0)</f>
        <v>1.4999999999999999E-2</v>
      </c>
      <c r="I245">
        <f t="shared" si="41"/>
        <v>1.6600237878748469</v>
      </c>
      <c r="J245">
        <f t="shared" si="42"/>
        <v>7.8689083275327296E-4</v>
      </c>
      <c r="K245">
        <f t="shared" si="43"/>
        <v>0</v>
      </c>
      <c r="L245">
        <f t="shared" si="35"/>
        <v>0.81348618542583928</v>
      </c>
      <c r="M245">
        <f>IF(AND(MOD(C245,12)=1,D245&lt;='[1]Product parameters'!$C$2),I244*[1]model_point!$G$2,0)</f>
        <v>0</v>
      </c>
      <c r="N245">
        <f t="shared" si="36"/>
        <v>0</v>
      </c>
      <c r="O245">
        <f>[2]results_sample_product_cf!G244</f>
        <v>0</v>
      </c>
      <c r="P245">
        <f>[2]results_sample_product_cf!H244</f>
        <v>0</v>
      </c>
      <c r="Q245">
        <f t="shared" si="37"/>
        <v>0</v>
      </c>
      <c r="R245">
        <f t="shared" si="33"/>
        <v>0</v>
      </c>
    </row>
    <row r="246" spans="1:18" x14ac:dyDescent="0.3">
      <c r="A246">
        <f t="shared" si="38"/>
        <v>243</v>
      </c>
      <c r="B246">
        <f t="shared" si="39"/>
        <v>21</v>
      </c>
      <c r="C246">
        <f t="shared" si="40"/>
        <v>248</v>
      </c>
      <c r="D246">
        <f t="shared" si="34"/>
        <v>21</v>
      </c>
      <c r="E246">
        <f>[1]model_point!$C$2+D246-1</f>
        <v>25</v>
      </c>
      <c r="F246">
        <f>VLOOKUP(E246,'[1]202512 BE mortality'!$A:$C,3,0)</f>
        <v>5.6707981639405576E-3</v>
      </c>
      <c r="G246">
        <f>VLOOKUP(D246,'[1]202512 BE lapse'!$C:$D,2,0)</f>
        <v>1.1183746629262125E-3</v>
      </c>
      <c r="H246">
        <f>VLOOKUP($B246,'[1]202512 RFR'!$A:$B,2,0)</f>
        <v>1.4999999999999999E-2</v>
      </c>
      <c r="I246">
        <f t="shared" si="41"/>
        <v>1.6592372698703701</v>
      </c>
      <c r="J246">
        <f t="shared" si="42"/>
        <v>7.86518004476932E-4</v>
      </c>
      <c r="K246">
        <f t="shared" si="43"/>
        <v>0</v>
      </c>
      <c r="L246">
        <f t="shared" si="35"/>
        <v>0.81247750458400692</v>
      </c>
      <c r="M246">
        <f>IF(AND(MOD(C246,12)=1,D246&lt;='[1]Product parameters'!$C$2),I245*[1]model_point!$G$2,0)</f>
        <v>0</v>
      </c>
      <c r="N246">
        <f t="shared" si="36"/>
        <v>0</v>
      </c>
      <c r="O246">
        <f>[2]results_sample_product_cf!G245</f>
        <v>0</v>
      </c>
      <c r="P246">
        <f>[2]results_sample_product_cf!H245</f>
        <v>0</v>
      </c>
      <c r="Q246">
        <f t="shared" si="37"/>
        <v>0</v>
      </c>
      <c r="R246">
        <f t="shared" si="33"/>
        <v>0</v>
      </c>
    </row>
    <row r="247" spans="1:18" x14ac:dyDescent="0.3">
      <c r="A247">
        <f t="shared" si="38"/>
        <v>244</v>
      </c>
      <c r="B247">
        <f t="shared" si="39"/>
        <v>21</v>
      </c>
      <c r="C247">
        <f t="shared" si="40"/>
        <v>249</v>
      </c>
      <c r="D247">
        <f t="shared" si="34"/>
        <v>21</v>
      </c>
      <c r="E247">
        <f>[1]model_point!$C$2+D247-1</f>
        <v>25</v>
      </c>
      <c r="F247">
        <f>VLOOKUP(E247,'[1]202512 BE mortality'!$A:$C,3,0)</f>
        <v>5.6707981639405576E-3</v>
      </c>
      <c r="G247">
        <f>VLOOKUP(D247,'[1]202512 BE lapse'!$C:$D,2,0)</f>
        <v>1.1183746629262125E-3</v>
      </c>
      <c r="H247">
        <f>VLOOKUP($B247,'[1]202512 RFR'!$A:$B,2,0)</f>
        <v>1.4999999999999999E-2</v>
      </c>
      <c r="I247">
        <f t="shared" si="41"/>
        <v>1.6584511245175237</v>
      </c>
      <c r="J247">
        <f t="shared" si="42"/>
        <v>7.8614535284634408E-4</v>
      </c>
      <c r="K247">
        <f t="shared" si="43"/>
        <v>0</v>
      </c>
      <c r="L247">
        <f t="shared" si="35"/>
        <v>0.81147007445430575</v>
      </c>
      <c r="M247">
        <f>IF(AND(MOD(C247,12)=1,D247&lt;='[1]Product parameters'!$C$2),I246*[1]model_point!$G$2,0)</f>
        <v>0</v>
      </c>
      <c r="N247">
        <f t="shared" si="36"/>
        <v>0</v>
      </c>
      <c r="O247">
        <f>[2]results_sample_product_cf!G246</f>
        <v>0</v>
      </c>
      <c r="P247">
        <f>[2]results_sample_product_cf!H246</f>
        <v>0</v>
      </c>
      <c r="Q247">
        <f t="shared" si="37"/>
        <v>0</v>
      </c>
      <c r="R247">
        <f t="shared" si="33"/>
        <v>0</v>
      </c>
    </row>
    <row r="248" spans="1:18" x14ac:dyDescent="0.3">
      <c r="A248">
        <f t="shared" si="38"/>
        <v>245</v>
      </c>
      <c r="B248">
        <f t="shared" si="39"/>
        <v>21</v>
      </c>
      <c r="C248">
        <f t="shared" si="40"/>
        <v>250</v>
      </c>
      <c r="D248">
        <f t="shared" si="34"/>
        <v>21</v>
      </c>
      <c r="E248">
        <f>[1]model_point!$C$2+D248-1</f>
        <v>25</v>
      </c>
      <c r="F248">
        <f>VLOOKUP(E248,'[1]202512 BE mortality'!$A:$C,3,0)</f>
        <v>5.6707981639405576E-3</v>
      </c>
      <c r="G248">
        <f>VLOOKUP(D248,'[1]202512 BE lapse'!$C:$D,2,0)</f>
        <v>1.1183746629262125E-3</v>
      </c>
      <c r="H248">
        <f>VLOOKUP($B248,'[1]202512 RFR'!$A:$B,2,0)</f>
        <v>1.4999999999999999E-2</v>
      </c>
      <c r="I248">
        <f t="shared" si="41"/>
        <v>1.6576653516397459</v>
      </c>
      <c r="J248">
        <f t="shared" si="42"/>
        <v>7.8577287777781442E-4</v>
      </c>
      <c r="K248">
        <f t="shared" si="43"/>
        <v>0</v>
      </c>
      <c r="L248">
        <f t="shared" si="35"/>
        <v>0.8104638934859173</v>
      </c>
      <c r="M248">
        <f>IF(AND(MOD(C248,12)=1,D248&lt;='[1]Product parameters'!$C$2),I247*[1]model_point!$G$2,0)</f>
        <v>0</v>
      </c>
      <c r="N248">
        <f t="shared" si="36"/>
        <v>0</v>
      </c>
      <c r="O248">
        <f>[2]results_sample_product_cf!G247</f>
        <v>0</v>
      </c>
      <c r="P248">
        <f>[2]results_sample_product_cf!H247</f>
        <v>0</v>
      </c>
      <c r="Q248">
        <f t="shared" si="37"/>
        <v>0</v>
      </c>
      <c r="R248">
        <f t="shared" si="33"/>
        <v>0</v>
      </c>
    </row>
    <row r="249" spans="1:18" x14ac:dyDescent="0.3">
      <c r="A249">
        <f t="shared" si="38"/>
        <v>246</v>
      </c>
      <c r="B249">
        <f t="shared" si="39"/>
        <v>21</v>
      </c>
      <c r="C249">
        <f t="shared" si="40"/>
        <v>251</v>
      </c>
      <c r="D249">
        <f t="shared" si="34"/>
        <v>21</v>
      </c>
      <c r="E249">
        <f>[1]model_point!$C$2+D249-1</f>
        <v>25</v>
      </c>
      <c r="F249">
        <f>VLOOKUP(E249,'[1]202512 BE mortality'!$A:$C,3,0)</f>
        <v>5.6707981639405576E-3</v>
      </c>
      <c r="G249">
        <f>VLOOKUP(D249,'[1]202512 BE lapse'!$C:$D,2,0)</f>
        <v>1.1183746629262125E-3</v>
      </c>
      <c r="H249">
        <f>VLOOKUP($B249,'[1]202512 RFR'!$A:$B,2,0)</f>
        <v>1.4999999999999999E-2</v>
      </c>
      <c r="I249">
        <f t="shared" si="41"/>
        <v>1.6568799510605583</v>
      </c>
      <c r="J249">
        <f t="shared" si="42"/>
        <v>7.8540057918768816E-4</v>
      </c>
      <c r="K249">
        <f t="shared" si="43"/>
        <v>0</v>
      </c>
      <c r="L249">
        <f t="shared" si="35"/>
        <v>0.80945896012994611</v>
      </c>
      <c r="M249">
        <f>IF(AND(MOD(C249,12)=1,D249&lt;='[1]Product parameters'!$C$2),I248*[1]model_point!$G$2,0)</f>
        <v>0</v>
      </c>
      <c r="N249">
        <f t="shared" si="36"/>
        <v>0</v>
      </c>
      <c r="O249">
        <f>[2]results_sample_product_cf!G248</f>
        <v>0</v>
      </c>
      <c r="P249">
        <f>[2]results_sample_product_cf!H248</f>
        <v>0</v>
      </c>
      <c r="Q249">
        <f t="shared" si="37"/>
        <v>0</v>
      </c>
      <c r="R249">
        <f t="shared" si="33"/>
        <v>0</v>
      </c>
    </row>
    <row r="250" spans="1:18" x14ac:dyDescent="0.3">
      <c r="A250">
        <f t="shared" si="38"/>
        <v>247</v>
      </c>
      <c r="B250">
        <f t="shared" si="39"/>
        <v>21</v>
      </c>
      <c r="C250">
        <f t="shared" si="40"/>
        <v>252</v>
      </c>
      <c r="D250">
        <f t="shared" si="34"/>
        <v>21</v>
      </c>
      <c r="E250">
        <f>[1]model_point!$C$2+D250-1</f>
        <v>25</v>
      </c>
      <c r="F250">
        <f>VLOOKUP(E250,'[1]202512 BE mortality'!$A:$C,3,0)</f>
        <v>5.6707981639405576E-3</v>
      </c>
      <c r="G250">
        <f>VLOOKUP(D250,'[1]202512 BE lapse'!$C:$D,2,0)</f>
        <v>1.1183746629262125E-3</v>
      </c>
      <c r="H250">
        <f>VLOOKUP($B250,'[1]202512 RFR'!$A:$B,2,0)</f>
        <v>1.4999999999999999E-2</v>
      </c>
      <c r="I250">
        <f t="shared" si="41"/>
        <v>1.6542427880027253</v>
      </c>
      <c r="J250">
        <f t="shared" si="42"/>
        <v>7.8502845699235E-4</v>
      </c>
      <c r="K250">
        <f t="shared" si="43"/>
        <v>1.8521346008405751E-3</v>
      </c>
      <c r="L250">
        <f t="shared" si="35"/>
        <v>0.80845527283941732</v>
      </c>
      <c r="M250">
        <f>IF(AND(MOD(C250,12)=1,D250&lt;='[1]Product parameters'!$C$2),I249*[1]model_point!$G$2,0)</f>
        <v>0</v>
      </c>
      <c r="N250">
        <f t="shared" si="36"/>
        <v>0</v>
      </c>
      <c r="O250">
        <f>[2]results_sample_product_cf!G249</f>
        <v>0</v>
      </c>
      <c r="P250">
        <f>[2]results_sample_product_cf!H249</f>
        <v>0</v>
      </c>
      <c r="Q250">
        <f t="shared" si="37"/>
        <v>0</v>
      </c>
      <c r="R250">
        <f t="shared" si="33"/>
        <v>0</v>
      </c>
    </row>
    <row r="251" spans="1:18" x14ac:dyDescent="0.3">
      <c r="A251">
        <f t="shared" si="38"/>
        <v>248</v>
      </c>
      <c r="B251">
        <f t="shared" si="39"/>
        <v>21</v>
      </c>
      <c r="C251">
        <f t="shared" si="40"/>
        <v>253</v>
      </c>
      <c r="D251">
        <f t="shared" si="34"/>
        <v>22</v>
      </c>
      <c r="E251">
        <f>[1]model_point!$C$2+D251-1</f>
        <v>26</v>
      </c>
      <c r="F251">
        <f>VLOOKUP(E251,'[1]202512 BE mortality'!$A:$C,3,0)</f>
        <v>6.1857911183559686E-3</v>
      </c>
      <c r="G251">
        <f>VLOOKUP(D251,'[1]202512 BE lapse'!$C:$D,2,0)</f>
        <v>6.8653553320458579E-3</v>
      </c>
      <c r="H251">
        <f>VLOOKUP($B251,'[1]202512 RFR'!$A:$B,2,0)</f>
        <v>1.4999999999999999E-2</v>
      </c>
      <c r="I251">
        <f t="shared" si="41"/>
        <v>1.6533876274121009</v>
      </c>
      <c r="J251">
        <f t="shared" si="42"/>
        <v>8.5516059062448432E-4</v>
      </c>
      <c r="K251">
        <f t="shared" si="43"/>
        <v>0</v>
      </c>
      <c r="L251">
        <f t="shared" si="35"/>
        <v>0.80745283006927415</v>
      </c>
      <c r="M251">
        <f>IF(AND(MOD(C251,12)=1,D251&lt;='[1]Product parameters'!$C$2),I250*[1]model_point!$G$2,0)</f>
        <v>0</v>
      </c>
      <c r="N251">
        <f t="shared" si="36"/>
        <v>0</v>
      </c>
      <c r="O251">
        <f>[2]results_sample_product_cf!G250</f>
        <v>0</v>
      </c>
      <c r="P251">
        <f>[2]results_sample_product_cf!H250</f>
        <v>0</v>
      </c>
      <c r="Q251">
        <f t="shared" si="37"/>
        <v>0</v>
      </c>
      <c r="R251">
        <f t="shared" si="33"/>
        <v>0</v>
      </c>
    </row>
    <row r="252" spans="1:18" x14ac:dyDescent="0.3">
      <c r="A252">
        <f t="shared" si="38"/>
        <v>249</v>
      </c>
      <c r="B252">
        <f t="shared" si="39"/>
        <v>21</v>
      </c>
      <c r="C252">
        <f t="shared" si="40"/>
        <v>254</v>
      </c>
      <c r="D252">
        <f t="shared" si="34"/>
        <v>22</v>
      </c>
      <c r="E252">
        <f>[1]model_point!$C$2+D252-1</f>
        <v>26</v>
      </c>
      <c r="F252">
        <f>VLOOKUP(E252,'[1]202512 BE mortality'!$A:$C,3,0)</f>
        <v>6.1857911183559686E-3</v>
      </c>
      <c r="G252">
        <f>VLOOKUP(D252,'[1]202512 BE lapse'!$C:$D,2,0)</f>
        <v>6.8653553320458579E-3</v>
      </c>
      <c r="H252">
        <f>VLOOKUP($B252,'[1]202512 RFR'!$A:$B,2,0)</f>
        <v>1.4999999999999999E-2</v>
      </c>
      <c r="I252">
        <f t="shared" si="41"/>
        <v>1.6525329088966307</v>
      </c>
      <c r="J252">
        <f t="shared" si="42"/>
        <v>8.5471851547018365E-4</v>
      </c>
      <c r="K252">
        <f t="shared" si="43"/>
        <v>0</v>
      </c>
      <c r="L252">
        <f t="shared" si="35"/>
        <v>0.80645163027637556</v>
      </c>
      <c r="M252">
        <f>IF(AND(MOD(C252,12)=1,D252&lt;='[1]Product parameters'!$C$2),I251*[1]model_point!$G$2,0)</f>
        <v>0</v>
      </c>
      <c r="N252">
        <f t="shared" si="36"/>
        <v>0</v>
      </c>
      <c r="O252">
        <f>[2]results_sample_product_cf!G251</f>
        <v>0</v>
      </c>
      <c r="P252">
        <f>[2]results_sample_product_cf!H251</f>
        <v>0</v>
      </c>
      <c r="Q252">
        <f t="shared" si="37"/>
        <v>0</v>
      </c>
      <c r="R252">
        <f t="shared" si="33"/>
        <v>0</v>
      </c>
    </row>
    <row r="253" spans="1:18" x14ac:dyDescent="0.3">
      <c r="A253">
        <f t="shared" si="38"/>
        <v>250</v>
      </c>
      <c r="B253">
        <f t="shared" si="39"/>
        <v>21</v>
      </c>
      <c r="C253">
        <f t="shared" si="40"/>
        <v>255</v>
      </c>
      <c r="D253">
        <f t="shared" si="34"/>
        <v>22</v>
      </c>
      <c r="E253">
        <f>[1]model_point!$C$2+D253-1</f>
        <v>26</v>
      </c>
      <c r="F253">
        <f>VLOOKUP(E253,'[1]202512 BE mortality'!$A:$C,3,0)</f>
        <v>6.1857911183559686E-3</v>
      </c>
      <c r="G253">
        <f>VLOOKUP(D253,'[1]202512 BE lapse'!$C:$D,2,0)</f>
        <v>6.8653553320458579E-3</v>
      </c>
      <c r="H253">
        <f>VLOOKUP($B253,'[1]202512 RFR'!$A:$B,2,0)</f>
        <v>1.4999999999999999E-2</v>
      </c>
      <c r="I253">
        <f t="shared" si="41"/>
        <v>1.6516786322277841</v>
      </c>
      <c r="J253">
        <f t="shared" si="42"/>
        <v>8.5427666884657551E-4</v>
      </c>
      <c r="K253">
        <f t="shared" si="43"/>
        <v>0</v>
      </c>
      <c r="L253">
        <f t="shared" si="35"/>
        <v>0.80545167191949396</v>
      </c>
      <c r="M253">
        <f>IF(AND(MOD(C253,12)=1,D253&lt;='[1]Product parameters'!$C$2),I252*[1]model_point!$G$2,0)</f>
        <v>0</v>
      </c>
      <c r="N253">
        <f t="shared" si="36"/>
        <v>0</v>
      </c>
      <c r="O253">
        <f>[2]results_sample_product_cf!G252</f>
        <v>0</v>
      </c>
      <c r="P253">
        <f>[2]results_sample_product_cf!H252</f>
        <v>0</v>
      </c>
      <c r="Q253">
        <f t="shared" si="37"/>
        <v>0</v>
      </c>
      <c r="R253">
        <f t="shared" si="33"/>
        <v>0</v>
      </c>
    </row>
    <row r="254" spans="1:18" x14ac:dyDescent="0.3">
      <c r="A254">
        <f t="shared" si="38"/>
        <v>251</v>
      </c>
      <c r="B254">
        <f t="shared" si="39"/>
        <v>21</v>
      </c>
      <c r="C254">
        <f t="shared" si="40"/>
        <v>256</v>
      </c>
      <c r="D254">
        <f t="shared" si="34"/>
        <v>22</v>
      </c>
      <c r="E254">
        <f>[1]model_point!$C$2+D254-1</f>
        <v>26</v>
      </c>
      <c r="F254">
        <f>VLOOKUP(E254,'[1]202512 BE mortality'!$A:$C,3,0)</f>
        <v>6.1857911183559686E-3</v>
      </c>
      <c r="G254">
        <f>VLOOKUP(D254,'[1]202512 BE lapse'!$C:$D,2,0)</f>
        <v>6.8653553320458579E-3</v>
      </c>
      <c r="H254">
        <f>VLOOKUP($B254,'[1]202512 RFR'!$A:$B,2,0)</f>
        <v>1.4999999999999999E-2</v>
      </c>
      <c r="I254">
        <f t="shared" si="41"/>
        <v>1.6508247971771486</v>
      </c>
      <c r="J254">
        <f t="shared" si="42"/>
        <v>8.53835050635521E-4</v>
      </c>
      <c r="K254">
        <f t="shared" si="43"/>
        <v>0</v>
      </c>
      <c r="L254">
        <f t="shared" si="35"/>
        <v>0.80445295345931289</v>
      </c>
      <c r="M254">
        <f>IF(AND(MOD(C254,12)=1,D254&lt;='[1]Product parameters'!$C$2),I253*[1]model_point!$G$2,0)</f>
        <v>0</v>
      </c>
      <c r="N254">
        <f t="shared" si="36"/>
        <v>0</v>
      </c>
      <c r="O254">
        <f>[2]results_sample_product_cf!G253</f>
        <v>0</v>
      </c>
      <c r="P254">
        <f>[2]results_sample_product_cf!H253</f>
        <v>0</v>
      </c>
      <c r="Q254">
        <f t="shared" si="37"/>
        <v>0</v>
      </c>
      <c r="R254">
        <f t="shared" si="33"/>
        <v>0</v>
      </c>
    </row>
    <row r="255" spans="1:18" x14ac:dyDescent="0.3">
      <c r="A255">
        <f t="shared" si="38"/>
        <v>252</v>
      </c>
      <c r="B255">
        <f t="shared" si="39"/>
        <v>21</v>
      </c>
      <c r="C255">
        <f t="shared" si="40"/>
        <v>257</v>
      </c>
      <c r="D255">
        <f t="shared" si="34"/>
        <v>22</v>
      </c>
      <c r="E255">
        <f>[1]model_point!$C$2+D255-1</f>
        <v>26</v>
      </c>
      <c r="F255">
        <f>VLOOKUP(E255,'[1]202512 BE mortality'!$A:$C,3,0)</f>
        <v>6.1857911183559686E-3</v>
      </c>
      <c r="G255">
        <f>VLOOKUP(D255,'[1]202512 BE lapse'!$C:$D,2,0)</f>
        <v>6.8653553320458579E-3</v>
      </c>
      <c r="H255">
        <f>VLOOKUP($B255,'[1]202512 RFR'!$A:$B,2,0)</f>
        <v>1.4999999999999999E-2</v>
      </c>
      <c r="I255">
        <f t="shared" si="41"/>
        <v>1.6499714035164297</v>
      </c>
      <c r="J255">
        <f t="shared" si="42"/>
        <v>8.5339366071894227E-4</v>
      </c>
      <c r="K255">
        <f t="shared" si="43"/>
        <v>0</v>
      </c>
      <c r="L255">
        <f t="shared" si="35"/>
        <v>0.80345547335842449</v>
      </c>
      <c r="M255">
        <f>IF(AND(MOD(C255,12)=1,D255&lt;='[1]Product parameters'!$C$2),I254*[1]model_point!$G$2,0)</f>
        <v>0</v>
      </c>
      <c r="N255">
        <f t="shared" si="36"/>
        <v>0</v>
      </c>
      <c r="O255">
        <f>[2]results_sample_product_cf!G254</f>
        <v>0</v>
      </c>
      <c r="P255">
        <f>[2]results_sample_product_cf!H254</f>
        <v>0</v>
      </c>
      <c r="Q255">
        <f t="shared" si="37"/>
        <v>0</v>
      </c>
      <c r="R255">
        <f t="shared" si="33"/>
        <v>0</v>
      </c>
    </row>
    <row r="256" spans="1:18" x14ac:dyDescent="0.3">
      <c r="A256">
        <f t="shared" si="38"/>
        <v>253</v>
      </c>
      <c r="B256">
        <f t="shared" si="39"/>
        <v>22</v>
      </c>
      <c r="C256">
        <f t="shared" si="40"/>
        <v>258</v>
      </c>
      <c r="D256">
        <f t="shared" si="34"/>
        <v>22</v>
      </c>
      <c r="E256">
        <f>[1]model_point!$C$2+D256-1</f>
        <v>26</v>
      </c>
      <c r="F256">
        <f>VLOOKUP(E256,'[1]202512 BE mortality'!$A:$C,3,0)</f>
        <v>6.1857911183559686E-3</v>
      </c>
      <c r="G256">
        <f>VLOOKUP(D256,'[1]202512 BE lapse'!$C:$D,2,0)</f>
        <v>6.8653553320458579E-3</v>
      </c>
      <c r="H256">
        <f>VLOOKUP($B256,'[1]202512 RFR'!$A:$B,2,0)</f>
        <v>1.4999999999999999E-2</v>
      </c>
      <c r="I256">
        <f t="shared" si="41"/>
        <v>1.6491184510174508</v>
      </c>
      <c r="J256">
        <f t="shared" si="42"/>
        <v>8.529524989788227E-4</v>
      </c>
      <c r="K256">
        <f t="shared" si="43"/>
        <v>0</v>
      </c>
      <c r="L256">
        <f t="shared" si="35"/>
        <v>0.80245923008132714</v>
      </c>
      <c r="M256">
        <f>IF(AND(MOD(C256,12)=1,D256&lt;='[1]Product parameters'!$C$2),I255*[1]model_point!$G$2,0)</f>
        <v>0</v>
      </c>
      <c r="N256">
        <f t="shared" si="36"/>
        <v>0</v>
      </c>
      <c r="O256">
        <f>[2]results_sample_product_cf!G255</f>
        <v>0</v>
      </c>
      <c r="P256">
        <f>[2]results_sample_product_cf!H255</f>
        <v>0</v>
      </c>
      <c r="Q256">
        <f t="shared" si="37"/>
        <v>0</v>
      </c>
      <c r="R256">
        <f t="shared" si="33"/>
        <v>0</v>
      </c>
    </row>
    <row r="257" spans="1:18" x14ac:dyDescent="0.3">
      <c r="A257">
        <f t="shared" si="38"/>
        <v>254</v>
      </c>
      <c r="B257">
        <f t="shared" si="39"/>
        <v>22</v>
      </c>
      <c r="C257">
        <f t="shared" si="40"/>
        <v>259</v>
      </c>
      <c r="D257">
        <f t="shared" si="34"/>
        <v>22</v>
      </c>
      <c r="E257">
        <f>[1]model_point!$C$2+D257-1</f>
        <v>26</v>
      </c>
      <c r="F257">
        <f>VLOOKUP(E257,'[1]202512 BE mortality'!$A:$C,3,0)</f>
        <v>6.1857911183559686E-3</v>
      </c>
      <c r="G257">
        <f>VLOOKUP(D257,'[1]202512 BE lapse'!$C:$D,2,0)</f>
        <v>6.8653553320458579E-3</v>
      </c>
      <c r="H257">
        <f>VLOOKUP($B257,'[1]202512 RFR'!$A:$B,2,0)</f>
        <v>1.4999999999999999E-2</v>
      </c>
      <c r="I257">
        <f t="shared" si="41"/>
        <v>1.6482659394521535</v>
      </c>
      <c r="J257">
        <f t="shared" si="42"/>
        <v>8.5251156529720631E-4</v>
      </c>
      <c r="K257">
        <f t="shared" si="43"/>
        <v>0</v>
      </c>
      <c r="L257">
        <f t="shared" si="35"/>
        <v>0.80146422209442336</v>
      </c>
      <c r="M257">
        <f>IF(AND(MOD(C257,12)=1,D257&lt;='[1]Product parameters'!$C$2),I256*[1]model_point!$G$2,0)</f>
        <v>0</v>
      </c>
      <c r="N257">
        <f t="shared" si="36"/>
        <v>0</v>
      </c>
      <c r="O257">
        <f>[2]results_sample_product_cf!G256</f>
        <v>0</v>
      </c>
      <c r="P257">
        <f>[2]results_sample_product_cf!H256</f>
        <v>0</v>
      </c>
      <c r="Q257">
        <f t="shared" si="37"/>
        <v>0</v>
      </c>
      <c r="R257">
        <f t="shared" si="33"/>
        <v>0</v>
      </c>
    </row>
    <row r="258" spans="1:18" x14ac:dyDescent="0.3">
      <c r="A258">
        <f t="shared" si="38"/>
        <v>255</v>
      </c>
      <c r="B258">
        <f t="shared" si="39"/>
        <v>22</v>
      </c>
      <c r="C258">
        <f t="shared" si="40"/>
        <v>260</v>
      </c>
      <c r="D258">
        <f t="shared" si="34"/>
        <v>22</v>
      </c>
      <c r="E258">
        <f>[1]model_point!$C$2+D258-1</f>
        <v>26</v>
      </c>
      <c r="F258">
        <f>VLOOKUP(E258,'[1]202512 BE mortality'!$A:$C,3,0)</f>
        <v>6.1857911183559686E-3</v>
      </c>
      <c r="G258">
        <f>VLOOKUP(D258,'[1]202512 BE lapse'!$C:$D,2,0)</f>
        <v>6.8653553320458579E-3</v>
      </c>
      <c r="H258">
        <f>VLOOKUP($B258,'[1]202512 RFR'!$A:$B,2,0)</f>
        <v>1.4999999999999999E-2</v>
      </c>
      <c r="I258">
        <f t="shared" si="41"/>
        <v>1.6474138685925972</v>
      </c>
      <c r="J258">
        <f t="shared" si="42"/>
        <v>8.5207085955619837E-4</v>
      </c>
      <c r="K258">
        <f t="shared" si="43"/>
        <v>0</v>
      </c>
      <c r="L258">
        <f t="shared" si="35"/>
        <v>0.80047044786601707</v>
      </c>
      <c r="M258">
        <f>IF(AND(MOD(C258,12)=1,D258&lt;='[1]Product parameters'!$C$2),I257*[1]model_point!$G$2,0)</f>
        <v>0</v>
      </c>
      <c r="N258">
        <f t="shared" si="36"/>
        <v>0</v>
      </c>
      <c r="O258">
        <f>[2]results_sample_product_cf!G257</f>
        <v>0</v>
      </c>
      <c r="P258">
        <f>[2]results_sample_product_cf!H257</f>
        <v>0</v>
      </c>
      <c r="Q258">
        <f t="shared" si="37"/>
        <v>0</v>
      </c>
      <c r="R258">
        <f t="shared" si="33"/>
        <v>0</v>
      </c>
    </row>
    <row r="259" spans="1:18" x14ac:dyDescent="0.3">
      <c r="A259">
        <f t="shared" si="38"/>
        <v>256</v>
      </c>
      <c r="B259">
        <f t="shared" si="39"/>
        <v>22</v>
      </c>
      <c r="C259">
        <f t="shared" si="40"/>
        <v>261</v>
      </c>
      <c r="D259">
        <f t="shared" si="34"/>
        <v>22</v>
      </c>
      <c r="E259">
        <f>[1]model_point!$C$2+D259-1</f>
        <v>26</v>
      </c>
      <c r="F259">
        <f>VLOOKUP(E259,'[1]202512 BE mortality'!$A:$C,3,0)</f>
        <v>6.1857911183559686E-3</v>
      </c>
      <c r="G259">
        <f>VLOOKUP(D259,'[1]202512 BE lapse'!$C:$D,2,0)</f>
        <v>6.8653553320458579E-3</v>
      </c>
      <c r="H259">
        <f>VLOOKUP($B259,'[1]202512 RFR'!$A:$B,2,0)</f>
        <v>1.4999999999999999E-2</v>
      </c>
      <c r="I259">
        <f t="shared" si="41"/>
        <v>1.6465622382109593</v>
      </c>
      <c r="J259">
        <f t="shared" si="42"/>
        <v>8.5163038163796497E-4</v>
      </c>
      <c r="K259">
        <f t="shared" si="43"/>
        <v>0</v>
      </c>
      <c r="L259">
        <f t="shared" si="35"/>
        <v>0.7994779058663114</v>
      </c>
      <c r="M259">
        <f>IF(AND(MOD(C259,12)=1,D259&lt;='[1]Product parameters'!$C$2),I258*[1]model_point!$G$2,0)</f>
        <v>0</v>
      </c>
      <c r="N259">
        <f t="shared" si="36"/>
        <v>0</v>
      </c>
      <c r="O259">
        <f>[2]results_sample_product_cf!G258</f>
        <v>0</v>
      </c>
      <c r="P259">
        <f>[2]results_sample_product_cf!H258</f>
        <v>0</v>
      </c>
      <c r="Q259">
        <f t="shared" si="37"/>
        <v>0</v>
      </c>
      <c r="R259">
        <f t="shared" ref="R259:R322" si="44">ROUND(N259-P259,6)</f>
        <v>0</v>
      </c>
    </row>
    <row r="260" spans="1:18" x14ac:dyDescent="0.3">
      <c r="A260">
        <f t="shared" si="38"/>
        <v>257</v>
      </c>
      <c r="B260">
        <f t="shared" si="39"/>
        <v>22</v>
      </c>
      <c r="C260">
        <f t="shared" si="40"/>
        <v>262</v>
      </c>
      <c r="D260">
        <f t="shared" ref="D260:D323" si="45">TRUNC((C260-1)/12,0)+1</f>
        <v>22</v>
      </c>
      <c r="E260">
        <f>[1]model_point!$C$2+D260-1</f>
        <v>26</v>
      </c>
      <c r="F260">
        <f>VLOOKUP(E260,'[1]202512 BE mortality'!$A:$C,3,0)</f>
        <v>6.1857911183559686E-3</v>
      </c>
      <c r="G260">
        <f>VLOOKUP(D260,'[1]202512 BE lapse'!$C:$D,2,0)</f>
        <v>6.8653553320458579E-3</v>
      </c>
      <c r="H260">
        <f>VLOOKUP($B260,'[1]202512 RFR'!$A:$B,2,0)</f>
        <v>1.4999999999999999E-2</v>
      </c>
      <c r="I260">
        <f t="shared" si="41"/>
        <v>1.6457110480795345</v>
      </c>
      <c r="J260">
        <f t="shared" si="42"/>
        <v>8.5119013142473323E-4</v>
      </c>
      <c r="K260">
        <f t="shared" si="43"/>
        <v>0</v>
      </c>
      <c r="L260">
        <f t="shared" ref="L260:L323" si="46">L259/(1+H260)^(1/12)</f>
        <v>0.79848659456740656</v>
      </c>
      <c r="M260">
        <f>IF(AND(MOD(C260,12)=1,D260&lt;='[1]Product parameters'!$C$2),I259*[1]model_point!$G$2,0)</f>
        <v>0</v>
      </c>
      <c r="N260">
        <f t="shared" ref="N260:N323" si="47">SUMPRODUCT(L260:L1459,M261:M1460)/L260</f>
        <v>0</v>
      </c>
      <c r="O260">
        <f>[2]results_sample_product_cf!G259</f>
        <v>0</v>
      </c>
      <c r="P260">
        <f>[2]results_sample_product_cf!H259</f>
        <v>0</v>
      </c>
      <c r="Q260">
        <f t="shared" ref="Q260:Q323" si="48">ROUND(M260-O260,6)</f>
        <v>0</v>
      </c>
      <c r="R260">
        <f t="shared" si="44"/>
        <v>0</v>
      </c>
    </row>
    <row r="261" spans="1:18" x14ac:dyDescent="0.3">
      <c r="A261">
        <f t="shared" ref="A261:A324" si="49">A260+1</f>
        <v>258</v>
      </c>
      <c r="B261">
        <f t="shared" ref="B261:B324" si="50">INT((A261-1)/12)+1</f>
        <v>22</v>
      </c>
      <c r="C261">
        <f t="shared" ref="C261:C324" si="51">C260+1</f>
        <v>263</v>
      </c>
      <c r="D261">
        <f t="shared" si="45"/>
        <v>22</v>
      </c>
      <c r="E261">
        <f>[1]model_point!$C$2+D261-1</f>
        <v>26</v>
      </c>
      <c r="F261">
        <f>VLOOKUP(E261,'[1]202512 BE mortality'!$A:$C,3,0)</f>
        <v>6.1857911183559686E-3</v>
      </c>
      <c r="G261">
        <f>VLOOKUP(D261,'[1]202512 BE lapse'!$C:$D,2,0)</f>
        <v>6.8653553320458579E-3</v>
      </c>
      <c r="H261">
        <f>VLOOKUP($B261,'[1]202512 RFR'!$A:$B,2,0)</f>
        <v>1.4999999999999999E-2</v>
      </c>
      <c r="I261">
        <f t="shared" ref="I261:I324" si="52">I260-J261-K261</f>
        <v>1.6448602979707356</v>
      </c>
      <c r="J261">
        <f t="shared" ref="J261:J324" si="53">I260*(1-(1-F261)^(1/12))</f>
        <v>8.5075010879879099E-4</v>
      </c>
      <c r="K261">
        <f t="shared" ref="K261:K324" si="54">(I260-J261)*IF(MOD(C261,12)=0,G261,0)</f>
        <v>0</v>
      </c>
      <c r="L261">
        <f t="shared" si="46"/>
        <v>0.79749651244329711</v>
      </c>
      <c r="M261">
        <f>IF(AND(MOD(C261,12)=1,D261&lt;='[1]Product parameters'!$C$2),I260*[1]model_point!$G$2,0)</f>
        <v>0</v>
      </c>
      <c r="N261">
        <f t="shared" si="47"/>
        <v>0</v>
      </c>
      <c r="O261">
        <f>[2]results_sample_product_cf!G260</f>
        <v>0</v>
      </c>
      <c r="P261">
        <f>[2]results_sample_product_cf!H260</f>
        <v>0</v>
      </c>
      <c r="Q261">
        <f t="shared" si="48"/>
        <v>0</v>
      </c>
      <c r="R261">
        <f t="shared" si="44"/>
        <v>0</v>
      </c>
    </row>
    <row r="262" spans="1:18" x14ac:dyDescent="0.3">
      <c r="A262">
        <f t="shared" si="49"/>
        <v>259</v>
      </c>
      <c r="B262">
        <f t="shared" si="50"/>
        <v>22</v>
      </c>
      <c r="C262">
        <f t="shared" si="51"/>
        <v>264</v>
      </c>
      <c r="D262">
        <f t="shared" si="45"/>
        <v>22</v>
      </c>
      <c r="E262">
        <f>[1]model_point!$C$2+D262-1</f>
        <v>26</v>
      </c>
      <c r="F262">
        <f>VLOOKUP(E262,'[1]202512 BE mortality'!$A:$C,3,0)</f>
        <v>6.1857911183559686E-3</v>
      </c>
      <c r="G262">
        <f>VLOOKUP(D262,'[1]202512 BE lapse'!$C:$D,2,0)</f>
        <v>6.8653553320458579E-3</v>
      </c>
      <c r="H262">
        <f>VLOOKUP($B262,'[1]202512 RFR'!$A:$B,2,0)</f>
        <v>1.4999999999999999E-2</v>
      </c>
      <c r="I262">
        <f t="shared" si="52"/>
        <v>1.6327232749223948</v>
      </c>
      <c r="J262">
        <f t="shared" si="53"/>
        <v>8.5031031364248705E-4</v>
      </c>
      <c r="K262">
        <f t="shared" si="54"/>
        <v>1.1286712734698268E-2</v>
      </c>
      <c r="L262">
        <f t="shared" si="46"/>
        <v>0.79650765796986978</v>
      </c>
      <c r="M262">
        <f>IF(AND(MOD(C262,12)=1,D262&lt;='[1]Product parameters'!$C$2),I261*[1]model_point!$G$2,0)</f>
        <v>0</v>
      </c>
      <c r="N262">
        <f t="shared" si="47"/>
        <v>0</v>
      </c>
      <c r="O262">
        <f>[2]results_sample_product_cf!G261</f>
        <v>0</v>
      </c>
      <c r="P262">
        <f>[2]results_sample_product_cf!H261</f>
        <v>0</v>
      </c>
      <c r="Q262">
        <f t="shared" si="48"/>
        <v>0</v>
      </c>
      <c r="R262">
        <f t="shared" si="44"/>
        <v>0</v>
      </c>
    </row>
    <row r="263" spans="1:18" x14ac:dyDescent="0.3">
      <c r="A263">
        <f t="shared" si="49"/>
        <v>260</v>
      </c>
      <c r="B263">
        <f t="shared" si="50"/>
        <v>22</v>
      </c>
      <c r="C263">
        <f t="shared" si="51"/>
        <v>265</v>
      </c>
      <c r="D263">
        <f t="shared" si="45"/>
        <v>23</v>
      </c>
      <c r="E263">
        <f>[1]model_point!$C$2+D263-1</f>
        <v>27</v>
      </c>
      <c r="F263">
        <f>VLOOKUP(E263,'[1]202512 BE mortality'!$A:$C,3,0)</f>
        <v>2.233170360114718E-3</v>
      </c>
      <c r="G263">
        <f>VLOOKUP(D263,'[1]202512 BE lapse'!$C:$D,2,0)</f>
        <v>6.5004472657705066E-3</v>
      </c>
      <c r="H263">
        <f>VLOOKUP($B263,'[1]202512 RFR'!$A:$B,2,0)</f>
        <v>1.4999999999999999E-2</v>
      </c>
      <c r="I263">
        <f t="shared" si="52"/>
        <v>1.6324191177120955</v>
      </c>
      <c r="J263">
        <f t="shared" si="53"/>
        <v>3.041572102992698E-4</v>
      </c>
      <c r="K263">
        <f t="shared" si="54"/>
        <v>0</v>
      </c>
      <c r="L263">
        <f t="shared" si="46"/>
        <v>0.79552002962490109</v>
      </c>
      <c r="M263">
        <f>IF(AND(MOD(C263,12)=1,D263&lt;='[1]Product parameters'!$C$2),I262*[1]model_point!$G$2,0)</f>
        <v>0</v>
      </c>
      <c r="N263">
        <f t="shared" si="47"/>
        <v>0</v>
      </c>
      <c r="O263">
        <f>[2]results_sample_product_cf!G262</f>
        <v>0</v>
      </c>
      <c r="P263">
        <f>[2]results_sample_product_cf!H262</f>
        <v>0</v>
      </c>
      <c r="Q263">
        <f t="shared" si="48"/>
        <v>0</v>
      </c>
      <c r="R263">
        <f t="shared" si="44"/>
        <v>0</v>
      </c>
    </row>
    <row r="264" spans="1:18" x14ac:dyDescent="0.3">
      <c r="A264">
        <f t="shared" si="49"/>
        <v>261</v>
      </c>
      <c r="B264">
        <f t="shared" si="50"/>
        <v>22</v>
      </c>
      <c r="C264">
        <f t="shared" si="51"/>
        <v>266</v>
      </c>
      <c r="D264">
        <f t="shared" si="45"/>
        <v>23</v>
      </c>
      <c r="E264">
        <f>[1]model_point!$C$2+D264-1</f>
        <v>27</v>
      </c>
      <c r="F264">
        <f>VLOOKUP(E264,'[1]202512 BE mortality'!$A:$C,3,0)</f>
        <v>2.233170360114718E-3</v>
      </c>
      <c r="G264">
        <f>VLOOKUP(D264,'[1]202512 BE lapse'!$C:$D,2,0)</f>
        <v>6.5004472657705066E-3</v>
      </c>
      <c r="H264">
        <f>VLOOKUP($B264,'[1]202512 RFR'!$A:$B,2,0)</f>
        <v>1.4999999999999999E-2</v>
      </c>
      <c r="I264">
        <f t="shared" si="52"/>
        <v>1.6321150171627197</v>
      </c>
      <c r="J264">
        <f t="shared" si="53"/>
        <v>3.0410054937576983E-4</v>
      </c>
      <c r="K264">
        <f t="shared" si="54"/>
        <v>0</v>
      </c>
      <c r="L264">
        <f t="shared" si="46"/>
        <v>0.79453362588805521</v>
      </c>
      <c r="M264">
        <f>IF(AND(MOD(C264,12)=1,D264&lt;='[1]Product parameters'!$C$2),I263*[1]model_point!$G$2,0)</f>
        <v>0</v>
      </c>
      <c r="N264">
        <f t="shared" si="47"/>
        <v>0</v>
      </c>
      <c r="O264">
        <f>[2]results_sample_product_cf!G263</f>
        <v>0</v>
      </c>
      <c r="P264">
        <f>[2]results_sample_product_cf!H263</f>
        <v>0</v>
      </c>
      <c r="Q264">
        <f t="shared" si="48"/>
        <v>0</v>
      </c>
      <c r="R264">
        <f t="shared" si="44"/>
        <v>0</v>
      </c>
    </row>
    <row r="265" spans="1:18" x14ac:dyDescent="0.3">
      <c r="A265">
        <f t="shared" si="49"/>
        <v>262</v>
      </c>
      <c r="B265">
        <f t="shared" si="50"/>
        <v>22</v>
      </c>
      <c r="C265">
        <f t="shared" si="51"/>
        <v>267</v>
      </c>
      <c r="D265">
        <f t="shared" si="45"/>
        <v>23</v>
      </c>
      <c r="E265">
        <f>[1]model_point!$C$2+D265-1</f>
        <v>27</v>
      </c>
      <c r="F265">
        <f>VLOOKUP(E265,'[1]202512 BE mortality'!$A:$C,3,0)</f>
        <v>2.233170360114718E-3</v>
      </c>
      <c r="G265">
        <f>VLOOKUP(D265,'[1]202512 BE lapse'!$C:$D,2,0)</f>
        <v>6.5004472657705066E-3</v>
      </c>
      <c r="H265">
        <f>VLOOKUP($B265,'[1]202512 RFR'!$A:$B,2,0)</f>
        <v>1.4999999999999999E-2</v>
      </c>
      <c r="I265">
        <f t="shared" si="52"/>
        <v>1.6318109732637121</v>
      </c>
      <c r="J265">
        <f t="shared" si="53"/>
        <v>3.0404389900753578E-4</v>
      </c>
      <c r="K265">
        <f t="shared" si="54"/>
        <v>0</v>
      </c>
      <c r="L265">
        <f t="shared" si="46"/>
        <v>0.7935484452408812</v>
      </c>
      <c r="M265">
        <f>IF(AND(MOD(C265,12)=1,D265&lt;='[1]Product parameters'!$C$2),I264*[1]model_point!$G$2,0)</f>
        <v>0</v>
      </c>
      <c r="N265">
        <f t="shared" si="47"/>
        <v>0</v>
      </c>
      <c r="O265">
        <f>[2]results_sample_product_cf!G264</f>
        <v>0</v>
      </c>
      <c r="P265">
        <f>[2]results_sample_product_cf!H264</f>
        <v>0</v>
      </c>
      <c r="Q265">
        <f t="shared" si="48"/>
        <v>0</v>
      </c>
      <c r="R265">
        <f t="shared" si="44"/>
        <v>0</v>
      </c>
    </row>
    <row r="266" spans="1:18" x14ac:dyDescent="0.3">
      <c r="A266">
        <f t="shared" si="49"/>
        <v>263</v>
      </c>
      <c r="B266">
        <f t="shared" si="50"/>
        <v>22</v>
      </c>
      <c r="C266">
        <f t="shared" si="51"/>
        <v>268</v>
      </c>
      <c r="D266">
        <f t="shared" si="45"/>
        <v>23</v>
      </c>
      <c r="E266">
        <f>[1]model_point!$C$2+D266-1</f>
        <v>27</v>
      </c>
      <c r="F266">
        <f>VLOOKUP(E266,'[1]202512 BE mortality'!$A:$C,3,0)</f>
        <v>2.233170360114718E-3</v>
      </c>
      <c r="G266">
        <f>VLOOKUP(D266,'[1]202512 BE lapse'!$C:$D,2,0)</f>
        <v>6.5004472657705066E-3</v>
      </c>
      <c r="H266">
        <f>VLOOKUP($B266,'[1]202512 RFR'!$A:$B,2,0)</f>
        <v>1.4999999999999999E-2</v>
      </c>
      <c r="I266">
        <f t="shared" si="52"/>
        <v>1.6315069860045195</v>
      </c>
      <c r="J266">
        <f t="shared" si="53"/>
        <v>3.0398725919260138E-4</v>
      </c>
      <c r="K266">
        <f t="shared" si="54"/>
        <v>0</v>
      </c>
      <c r="L266">
        <f t="shared" si="46"/>
        <v>0.79256448616681119</v>
      </c>
      <c r="M266">
        <f>IF(AND(MOD(C266,12)=1,D266&lt;='[1]Product parameters'!$C$2),I265*[1]model_point!$G$2,0)</f>
        <v>0</v>
      </c>
      <c r="N266">
        <f t="shared" si="47"/>
        <v>0</v>
      </c>
      <c r="O266">
        <f>[2]results_sample_product_cf!G265</f>
        <v>0</v>
      </c>
      <c r="P266">
        <f>[2]results_sample_product_cf!H265</f>
        <v>0</v>
      </c>
      <c r="Q266">
        <f t="shared" si="48"/>
        <v>0</v>
      </c>
      <c r="R266">
        <f t="shared" si="44"/>
        <v>0</v>
      </c>
    </row>
    <row r="267" spans="1:18" x14ac:dyDescent="0.3">
      <c r="A267">
        <f t="shared" si="49"/>
        <v>264</v>
      </c>
      <c r="B267">
        <f t="shared" si="50"/>
        <v>22</v>
      </c>
      <c r="C267">
        <f t="shared" si="51"/>
        <v>269</v>
      </c>
      <c r="D267">
        <f t="shared" si="45"/>
        <v>23</v>
      </c>
      <c r="E267">
        <f>[1]model_point!$C$2+D267-1</f>
        <v>27</v>
      </c>
      <c r="F267">
        <f>VLOOKUP(E267,'[1]202512 BE mortality'!$A:$C,3,0)</f>
        <v>2.233170360114718E-3</v>
      </c>
      <c r="G267">
        <f>VLOOKUP(D267,'[1]202512 BE lapse'!$C:$D,2,0)</f>
        <v>6.5004472657705066E-3</v>
      </c>
      <c r="H267">
        <f>VLOOKUP($B267,'[1]202512 RFR'!$A:$B,2,0)</f>
        <v>1.4999999999999999E-2</v>
      </c>
      <c r="I267">
        <f t="shared" si="52"/>
        <v>1.6312030553745904</v>
      </c>
      <c r="J267">
        <f t="shared" si="53"/>
        <v>3.0393062992900072E-4</v>
      </c>
      <c r="K267">
        <f t="shared" si="54"/>
        <v>0</v>
      </c>
      <c r="L267">
        <f t="shared" si="46"/>
        <v>0.79158174715115759</v>
      </c>
      <c r="M267">
        <f>IF(AND(MOD(C267,12)=1,D267&lt;='[1]Product parameters'!$C$2),I266*[1]model_point!$G$2,0)</f>
        <v>0</v>
      </c>
      <c r="N267">
        <f t="shared" si="47"/>
        <v>0</v>
      </c>
      <c r="O267">
        <f>[2]results_sample_product_cf!G266</f>
        <v>0</v>
      </c>
      <c r="P267">
        <f>[2]results_sample_product_cf!H266</f>
        <v>0</v>
      </c>
      <c r="Q267">
        <f t="shared" si="48"/>
        <v>0</v>
      </c>
      <c r="R267">
        <f t="shared" si="44"/>
        <v>0</v>
      </c>
    </row>
    <row r="268" spans="1:18" x14ac:dyDescent="0.3">
      <c r="A268">
        <f t="shared" si="49"/>
        <v>265</v>
      </c>
      <c r="B268">
        <f t="shared" si="50"/>
        <v>23</v>
      </c>
      <c r="C268">
        <f t="shared" si="51"/>
        <v>270</v>
      </c>
      <c r="D268">
        <f t="shared" si="45"/>
        <v>23</v>
      </c>
      <c r="E268">
        <f>[1]model_point!$C$2+D268-1</f>
        <v>27</v>
      </c>
      <c r="F268">
        <f>VLOOKUP(E268,'[1]202512 BE mortality'!$A:$C,3,0)</f>
        <v>2.233170360114718E-3</v>
      </c>
      <c r="G268">
        <f>VLOOKUP(D268,'[1]202512 BE lapse'!$C:$D,2,0)</f>
        <v>6.5004472657705066E-3</v>
      </c>
      <c r="H268">
        <f>VLOOKUP($B268,'[1]202512 RFR'!$A:$B,2,0)</f>
        <v>1.4999999999999999E-2</v>
      </c>
      <c r="I268">
        <f t="shared" si="52"/>
        <v>1.6308991813633757</v>
      </c>
      <c r="J268">
        <f t="shared" si="53"/>
        <v>3.0387401121476814E-4</v>
      </c>
      <c r="K268">
        <f t="shared" si="54"/>
        <v>0</v>
      </c>
      <c r="L268">
        <f t="shared" si="46"/>
        <v>0.79060022668111096</v>
      </c>
      <c r="M268">
        <f>IF(AND(MOD(C268,12)=1,D268&lt;='[1]Product parameters'!$C$2),I267*[1]model_point!$G$2,0)</f>
        <v>0</v>
      </c>
      <c r="N268">
        <f t="shared" si="47"/>
        <v>0</v>
      </c>
      <c r="O268">
        <f>[2]results_sample_product_cf!G267</f>
        <v>0</v>
      </c>
      <c r="P268">
        <f>[2]results_sample_product_cf!H267</f>
        <v>0</v>
      </c>
      <c r="Q268">
        <f t="shared" si="48"/>
        <v>0</v>
      </c>
      <c r="R268">
        <f t="shared" si="44"/>
        <v>0</v>
      </c>
    </row>
    <row r="269" spans="1:18" x14ac:dyDescent="0.3">
      <c r="A269">
        <f t="shared" si="49"/>
        <v>266</v>
      </c>
      <c r="B269">
        <f t="shared" si="50"/>
        <v>23</v>
      </c>
      <c r="C269">
        <f t="shared" si="51"/>
        <v>271</v>
      </c>
      <c r="D269">
        <f t="shared" si="45"/>
        <v>23</v>
      </c>
      <c r="E269">
        <f>[1]model_point!$C$2+D269-1</f>
        <v>27</v>
      </c>
      <c r="F269">
        <f>VLOOKUP(E269,'[1]202512 BE mortality'!$A:$C,3,0)</f>
        <v>2.233170360114718E-3</v>
      </c>
      <c r="G269">
        <f>VLOOKUP(D269,'[1]202512 BE lapse'!$C:$D,2,0)</f>
        <v>6.5004472657705066E-3</v>
      </c>
      <c r="H269">
        <f>VLOOKUP($B269,'[1]202512 RFR'!$A:$B,2,0)</f>
        <v>1.4999999999999999E-2</v>
      </c>
      <c r="I269">
        <f t="shared" si="52"/>
        <v>1.6305953639603279</v>
      </c>
      <c r="J269">
        <f t="shared" si="53"/>
        <v>3.0381740304793846E-4</v>
      </c>
      <c r="K269">
        <f t="shared" si="54"/>
        <v>0</v>
      </c>
      <c r="L269">
        <f t="shared" si="46"/>
        <v>0.78961992324573771</v>
      </c>
      <c r="M269">
        <f>IF(AND(MOD(C269,12)=1,D269&lt;='[1]Product parameters'!$C$2),I268*[1]model_point!$G$2,0)</f>
        <v>0</v>
      </c>
      <c r="N269">
        <f t="shared" si="47"/>
        <v>0</v>
      </c>
      <c r="O269">
        <f>[2]results_sample_product_cf!G268</f>
        <v>0</v>
      </c>
      <c r="P269">
        <f>[2]results_sample_product_cf!H268</f>
        <v>0</v>
      </c>
      <c r="Q269">
        <f t="shared" si="48"/>
        <v>0</v>
      </c>
      <c r="R269">
        <f t="shared" si="44"/>
        <v>0</v>
      </c>
    </row>
    <row r="270" spans="1:18" x14ac:dyDescent="0.3">
      <c r="A270">
        <f t="shared" si="49"/>
        <v>267</v>
      </c>
      <c r="B270">
        <f t="shared" si="50"/>
        <v>23</v>
      </c>
      <c r="C270">
        <f t="shared" si="51"/>
        <v>272</v>
      </c>
      <c r="D270">
        <f t="shared" si="45"/>
        <v>23</v>
      </c>
      <c r="E270">
        <f>[1]model_point!$C$2+D270-1</f>
        <v>27</v>
      </c>
      <c r="F270">
        <f>VLOOKUP(E270,'[1]202512 BE mortality'!$A:$C,3,0)</f>
        <v>2.233170360114718E-3</v>
      </c>
      <c r="G270">
        <f>VLOOKUP(D270,'[1]202512 BE lapse'!$C:$D,2,0)</f>
        <v>6.5004472657705066E-3</v>
      </c>
      <c r="H270">
        <f>VLOOKUP($B270,'[1]202512 RFR'!$A:$B,2,0)</f>
        <v>1.4999999999999999E-2</v>
      </c>
      <c r="I270">
        <f t="shared" si="52"/>
        <v>1.6302916031549013</v>
      </c>
      <c r="J270">
        <f t="shared" si="53"/>
        <v>3.0376080542654678E-4</v>
      </c>
      <c r="K270">
        <f t="shared" si="54"/>
        <v>0</v>
      </c>
      <c r="L270">
        <f t="shared" si="46"/>
        <v>0.78864083533597784</v>
      </c>
      <c r="M270">
        <f>IF(AND(MOD(C270,12)=1,D270&lt;='[1]Product parameters'!$C$2),I269*[1]model_point!$G$2,0)</f>
        <v>0</v>
      </c>
      <c r="N270">
        <f t="shared" si="47"/>
        <v>0</v>
      </c>
      <c r="O270">
        <f>[2]results_sample_product_cf!G269</f>
        <v>0</v>
      </c>
      <c r="P270">
        <f>[2]results_sample_product_cf!H269</f>
        <v>0</v>
      </c>
      <c r="Q270">
        <f t="shared" si="48"/>
        <v>0</v>
      </c>
      <c r="R270">
        <f t="shared" si="44"/>
        <v>0</v>
      </c>
    </row>
    <row r="271" spans="1:18" x14ac:dyDescent="0.3">
      <c r="A271">
        <f t="shared" si="49"/>
        <v>268</v>
      </c>
      <c r="B271">
        <f t="shared" si="50"/>
        <v>23</v>
      </c>
      <c r="C271">
        <f t="shared" si="51"/>
        <v>273</v>
      </c>
      <c r="D271">
        <f t="shared" si="45"/>
        <v>23</v>
      </c>
      <c r="E271">
        <f>[1]model_point!$C$2+D271-1</f>
        <v>27</v>
      </c>
      <c r="F271">
        <f>VLOOKUP(E271,'[1]202512 BE mortality'!$A:$C,3,0)</f>
        <v>2.233170360114718E-3</v>
      </c>
      <c r="G271">
        <f>VLOOKUP(D271,'[1]202512 BE lapse'!$C:$D,2,0)</f>
        <v>6.5004472657705066E-3</v>
      </c>
      <c r="H271">
        <f>VLOOKUP($B271,'[1]202512 RFR'!$A:$B,2,0)</f>
        <v>1.4999999999999999E-2</v>
      </c>
      <c r="I271">
        <f t="shared" si="52"/>
        <v>1.6299878989365526</v>
      </c>
      <c r="J271">
        <f t="shared" si="53"/>
        <v>3.0370421834862864E-4</v>
      </c>
      <c r="K271">
        <f t="shared" si="54"/>
        <v>0</v>
      </c>
      <c r="L271">
        <f t="shared" si="46"/>
        <v>0.78766296144464221</v>
      </c>
      <c r="M271">
        <f>IF(AND(MOD(C271,12)=1,D271&lt;='[1]Product parameters'!$C$2),I270*[1]model_point!$G$2,0)</f>
        <v>0</v>
      </c>
      <c r="N271">
        <f t="shared" si="47"/>
        <v>0</v>
      </c>
      <c r="O271">
        <f>[2]results_sample_product_cf!G270</f>
        <v>0</v>
      </c>
      <c r="P271">
        <f>[2]results_sample_product_cf!H270</f>
        <v>0</v>
      </c>
      <c r="Q271">
        <f t="shared" si="48"/>
        <v>0</v>
      </c>
      <c r="R271">
        <f t="shared" si="44"/>
        <v>0</v>
      </c>
    </row>
    <row r="272" spans="1:18" x14ac:dyDescent="0.3">
      <c r="A272">
        <f t="shared" si="49"/>
        <v>269</v>
      </c>
      <c r="B272">
        <f t="shared" si="50"/>
        <v>23</v>
      </c>
      <c r="C272">
        <f t="shared" si="51"/>
        <v>274</v>
      </c>
      <c r="D272">
        <f t="shared" si="45"/>
        <v>23</v>
      </c>
      <c r="E272">
        <f>[1]model_point!$C$2+D272-1</f>
        <v>27</v>
      </c>
      <c r="F272">
        <f>VLOOKUP(E272,'[1]202512 BE mortality'!$A:$C,3,0)</f>
        <v>2.233170360114718E-3</v>
      </c>
      <c r="G272">
        <f>VLOOKUP(D272,'[1]202512 BE lapse'!$C:$D,2,0)</f>
        <v>6.5004472657705066E-3</v>
      </c>
      <c r="H272">
        <f>VLOOKUP($B272,'[1]202512 RFR'!$A:$B,2,0)</f>
        <v>1.4999999999999999E-2</v>
      </c>
      <c r="I272">
        <f t="shared" si="52"/>
        <v>1.6296842512947405</v>
      </c>
      <c r="J272">
        <f t="shared" si="53"/>
        <v>3.0364764181221989E-4</v>
      </c>
      <c r="K272">
        <f t="shared" si="54"/>
        <v>0</v>
      </c>
      <c r="L272">
        <f t="shared" si="46"/>
        <v>0.78668630006641083</v>
      </c>
      <c r="M272">
        <f>IF(AND(MOD(C272,12)=1,D272&lt;='[1]Product parameters'!$C$2),I271*[1]model_point!$G$2,0)</f>
        <v>0</v>
      </c>
      <c r="N272">
        <f t="shared" si="47"/>
        <v>0</v>
      </c>
      <c r="O272">
        <f>[2]results_sample_product_cf!G271</f>
        <v>0</v>
      </c>
      <c r="P272">
        <f>[2]results_sample_product_cf!H271</f>
        <v>0</v>
      </c>
      <c r="Q272">
        <f t="shared" si="48"/>
        <v>0</v>
      </c>
      <c r="R272">
        <f t="shared" si="44"/>
        <v>0</v>
      </c>
    </row>
    <row r="273" spans="1:18" x14ac:dyDescent="0.3">
      <c r="A273">
        <f t="shared" si="49"/>
        <v>270</v>
      </c>
      <c r="B273">
        <f t="shared" si="50"/>
        <v>23</v>
      </c>
      <c r="C273">
        <f t="shared" si="51"/>
        <v>275</v>
      </c>
      <c r="D273">
        <f t="shared" si="45"/>
        <v>23</v>
      </c>
      <c r="E273">
        <f>[1]model_point!$C$2+D273-1</f>
        <v>27</v>
      </c>
      <c r="F273">
        <f>VLOOKUP(E273,'[1]202512 BE mortality'!$A:$C,3,0)</f>
        <v>2.233170360114718E-3</v>
      </c>
      <c r="G273">
        <f>VLOOKUP(D273,'[1]202512 BE lapse'!$C:$D,2,0)</f>
        <v>6.5004472657705066E-3</v>
      </c>
      <c r="H273">
        <f>VLOOKUP($B273,'[1]202512 RFR'!$A:$B,2,0)</f>
        <v>1.4999999999999999E-2</v>
      </c>
      <c r="I273">
        <f t="shared" si="52"/>
        <v>1.6293806602189251</v>
      </c>
      <c r="J273">
        <f t="shared" si="53"/>
        <v>3.0359107581535684E-4</v>
      </c>
      <c r="K273">
        <f t="shared" si="54"/>
        <v>0</v>
      </c>
      <c r="L273">
        <f t="shared" si="46"/>
        <v>0.78571084969783</v>
      </c>
      <c r="M273">
        <f>IF(AND(MOD(C273,12)=1,D273&lt;='[1]Product parameters'!$C$2),I272*[1]model_point!$G$2,0)</f>
        <v>0</v>
      </c>
      <c r="N273">
        <f t="shared" si="47"/>
        <v>0</v>
      </c>
      <c r="O273">
        <f>[2]results_sample_product_cf!G272</f>
        <v>0</v>
      </c>
      <c r="P273">
        <f>[2]results_sample_product_cf!H272</f>
        <v>0</v>
      </c>
      <c r="Q273">
        <f t="shared" si="48"/>
        <v>0</v>
      </c>
      <c r="R273">
        <f t="shared" si="44"/>
        <v>0</v>
      </c>
    </row>
    <row r="274" spans="1:18" x14ac:dyDescent="0.3">
      <c r="A274">
        <f t="shared" si="49"/>
        <v>271</v>
      </c>
      <c r="B274">
        <f t="shared" si="50"/>
        <v>23</v>
      </c>
      <c r="C274">
        <f t="shared" si="51"/>
        <v>276</v>
      </c>
      <c r="D274">
        <f t="shared" si="45"/>
        <v>23</v>
      </c>
      <c r="E274">
        <f>[1]model_point!$C$2+D274-1</f>
        <v>27</v>
      </c>
      <c r="F274">
        <f>VLOOKUP(E274,'[1]202512 BE mortality'!$A:$C,3,0)</f>
        <v>2.233170360114718E-3</v>
      </c>
      <c r="G274">
        <f>VLOOKUP(D274,'[1]202512 BE lapse'!$C:$D,2,0)</f>
        <v>6.5004472657705066E-3</v>
      </c>
      <c r="H274">
        <f>VLOOKUP($B274,'[1]202512 RFR'!$A:$B,2,0)</f>
        <v>1.4999999999999999E-2</v>
      </c>
      <c r="I274">
        <f t="shared" si="52"/>
        <v>1.6184873957510924</v>
      </c>
      <c r="J274">
        <f t="shared" si="53"/>
        <v>3.0353452035607599E-4</v>
      </c>
      <c r="K274">
        <f t="shared" si="54"/>
        <v>1.0589729947476539E-2</v>
      </c>
      <c r="L274">
        <f t="shared" si="46"/>
        <v>0.78473660883731045</v>
      </c>
      <c r="M274">
        <f>IF(AND(MOD(C274,12)=1,D274&lt;='[1]Product parameters'!$C$2),I273*[1]model_point!$G$2,0)</f>
        <v>0</v>
      </c>
      <c r="N274">
        <f t="shared" si="47"/>
        <v>0</v>
      </c>
      <c r="O274">
        <f>[2]results_sample_product_cf!G273</f>
        <v>0</v>
      </c>
      <c r="P274">
        <f>[2]results_sample_product_cf!H273</f>
        <v>0</v>
      </c>
      <c r="Q274">
        <f t="shared" si="48"/>
        <v>0</v>
      </c>
      <c r="R274">
        <f t="shared" si="44"/>
        <v>0</v>
      </c>
    </row>
    <row r="275" spans="1:18" x14ac:dyDescent="0.3">
      <c r="A275">
        <f t="shared" si="49"/>
        <v>272</v>
      </c>
      <c r="B275">
        <f t="shared" si="50"/>
        <v>23</v>
      </c>
      <c r="C275">
        <f t="shared" si="51"/>
        <v>277</v>
      </c>
      <c r="D275">
        <f t="shared" si="45"/>
        <v>24</v>
      </c>
      <c r="E275">
        <f>[1]model_point!$C$2+D275-1</f>
        <v>28</v>
      </c>
      <c r="F275">
        <f>VLOOKUP(E275,'[1]202512 BE mortality'!$A:$C,3,0)</f>
        <v>3.539421623045963E-3</v>
      </c>
      <c r="G275">
        <f>VLOOKUP(D275,'[1]202512 BE lapse'!$C:$D,2,0)</f>
        <v>1.9994379268815365E-3</v>
      </c>
      <c r="H275">
        <f>VLOOKUP($B275,'[1]202512 RFR'!$A:$B,2,0)</f>
        <v>1.4999999999999999E-2</v>
      </c>
      <c r="I275">
        <f t="shared" si="52"/>
        <v>1.6180092438059683</v>
      </c>
      <c r="J275">
        <f t="shared" si="53"/>
        <v>4.7815194512394391E-4</v>
      </c>
      <c r="K275">
        <f t="shared" si="54"/>
        <v>0</v>
      </c>
      <c r="L275">
        <f t="shared" si="46"/>
        <v>0.78376357598512458</v>
      </c>
      <c r="M275">
        <f>IF(AND(MOD(C275,12)=1,D275&lt;='[1]Product parameters'!$C$2),I274*[1]model_point!$G$2,0)</f>
        <v>0</v>
      </c>
      <c r="N275">
        <f t="shared" si="47"/>
        <v>0</v>
      </c>
      <c r="O275">
        <f>[2]results_sample_product_cf!G274</f>
        <v>0</v>
      </c>
      <c r="P275">
        <f>[2]results_sample_product_cf!H274</f>
        <v>0</v>
      </c>
      <c r="Q275">
        <f t="shared" si="48"/>
        <v>0</v>
      </c>
      <c r="R275">
        <f t="shared" si="44"/>
        <v>0</v>
      </c>
    </row>
    <row r="276" spans="1:18" x14ac:dyDescent="0.3">
      <c r="A276">
        <f t="shared" si="49"/>
        <v>273</v>
      </c>
      <c r="B276">
        <f t="shared" si="50"/>
        <v>23</v>
      </c>
      <c r="C276">
        <f t="shared" si="51"/>
        <v>278</v>
      </c>
      <c r="D276">
        <f t="shared" si="45"/>
        <v>24</v>
      </c>
      <c r="E276">
        <f>[1]model_point!$C$2+D276-1</f>
        <v>28</v>
      </c>
      <c r="F276">
        <f>VLOOKUP(E276,'[1]202512 BE mortality'!$A:$C,3,0)</f>
        <v>3.539421623045963E-3</v>
      </c>
      <c r="G276">
        <f>VLOOKUP(D276,'[1]202512 BE lapse'!$C:$D,2,0)</f>
        <v>1.9994379268815365E-3</v>
      </c>
      <c r="H276">
        <f>VLOOKUP($B276,'[1]202512 RFR'!$A:$B,2,0)</f>
        <v>1.4999999999999999E-2</v>
      </c>
      <c r="I276">
        <f t="shared" si="52"/>
        <v>1.6175312331219276</v>
      </c>
      <c r="J276">
        <f t="shared" si="53"/>
        <v>4.7801068404077076E-4</v>
      </c>
      <c r="K276">
        <f t="shared" si="54"/>
        <v>0</v>
      </c>
      <c r="L276">
        <f t="shared" si="46"/>
        <v>0.78279174964340448</v>
      </c>
      <c r="M276">
        <f>IF(AND(MOD(C276,12)=1,D276&lt;='[1]Product parameters'!$C$2),I275*[1]model_point!$G$2,0)</f>
        <v>0</v>
      </c>
      <c r="N276">
        <f t="shared" si="47"/>
        <v>0</v>
      </c>
      <c r="O276">
        <f>[2]results_sample_product_cf!G275</f>
        <v>0</v>
      </c>
      <c r="P276">
        <f>[2]results_sample_product_cf!H275</f>
        <v>0</v>
      </c>
      <c r="Q276">
        <f t="shared" si="48"/>
        <v>0</v>
      </c>
      <c r="R276">
        <f t="shared" si="44"/>
        <v>0</v>
      </c>
    </row>
    <row r="277" spans="1:18" x14ac:dyDescent="0.3">
      <c r="A277">
        <f t="shared" si="49"/>
        <v>274</v>
      </c>
      <c r="B277">
        <f t="shared" si="50"/>
        <v>23</v>
      </c>
      <c r="C277">
        <f t="shared" si="51"/>
        <v>279</v>
      </c>
      <c r="D277">
        <f t="shared" si="45"/>
        <v>24</v>
      </c>
      <c r="E277">
        <f>[1]model_point!$C$2+D277-1</f>
        <v>28</v>
      </c>
      <c r="F277">
        <f>VLOOKUP(E277,'[1]202512 BE mortality'!$A:$C,3,0)</f>
        <v>3.539421623045963E-3</v>
      </c>
      <c r="G277">
        <f>VLOOKUP(D277,'[1]202512 BE lapse'!$C:$D,2,0)</f>
        <v>1.9994379268815365E-3</v>
      </c>
      <c r="H277">
        <f>VLOOKUP($B277,'[1]202512 RFR'!$A:$B,2,0)</f>
        <v>1.4999999999999999E-2</v>
      </c>
      <c r="I277">
        <f t="shared" si="52"/>
        <v>1.6170533636572371</v>
      </c>
      <c r="J277">
        <f t="shared" si="53"/>
        <v>4.7786946469055271E-4</v>
      </c>
      <c r="K277">
        <f t="shared" si="54"/>
        <v>0</v>
      </c>
      <c r="L277">
        <f t="shared" si="46"/>
        <v>0.78182112831613948</v>
      </c>
      <c r="M277">
        <f>IF(AND(MOD(C277,12)=1,D277&lt;='[1]Product parameters'!$C$2),I276*[1]model_point!$G$2,0)</f>
        <v>0</v>
      </c>
      <c r="N277">
        <f t="shared" si="47"/>
        <v>0</v>
      </c>
      <c r="O277">
        <f>[2]results_sample_product_cf!G276</f>
        <v>0</v>
      </c>
      <c r="P277">
        <f>[2]results_sample_product_cf!H276</f>
        <v>0</v>
      </c>
      <c r="Q277">
        <f t="shared" si="48"/>
        <v>0</v>
      </c>
      <c r="R277">
        <f t="shared" si="44"/>
        <v>0</v>
      </c>
    </row>
    <row r="278" spans="1:18" x14ac:dyDescent="0.3">
      <c r="A278">
        <f t="shared" si="49"/>
        <v>275</v>
      </c>
      <c r="B278">
        <f t="shared" si="50"/>
        <v>23</v>
      </c>
      <c r="C278">
        <f t="shared" si="51"/>
        <v>280</v>
      </c>
      <c r="D278">
        <f t="shared" si="45"/>
        <v>24</v>
      </c>
      <c r="E278">
        <f>[1]model_point!$C$2+D278-1</f>
        <v>28</v>
      </c>
      <c r="F278">
        <f>VLOOKUP(E278,'[1]202512 BE mortality'!$A:$C,3,0)</f>
        <v>3.539421623045963E-3</v>
      </c>
      <c r="G278">
        <f>VLOOKUP(D278,'[1]202512 BE lapse'!$C:$D,2,0)</f>
        <v>1.9994379268815365E-3</v>
      </c>
      <c r="H278">
        <f>VLOOKUP($B278,'[1]202512 RFR'!$A:$B,2,0)</f>
        <v>1.4999999999999999E-2</v>
      </c>
      <c r="I278">
        <f t="shared" si="52"/>
        <v>1.6165756353701761</v>
      </c>
      <c r="J278">
        <f t="shared" si="53"/>
        <v>4.7772828706096041E-4</v>
      </c>
      <c r="K278">
        <f t="shared" si="54"/>
        <v>0</v>
      </c>
      <c r="L278">
        <f t="shared" si="46"/>
        <v>0.7808517105091739</v>
      </c>
      <c r="M278">
        <f>IF(AND(MOD(C278,12)=1,D278&lt;='[1]Product parameters'!$C$2),I277*[1]model_point!$G$2,0)</f>
        <v>0</v>
      </c>
      <c r="N278">
        <f t="shared" si="47"/>
        <v>0</v>
      </c>
      <c r="O278">
        <f>[2]results_sample_product_cf!G277</f>
        <v>0</v>
      </c>
      <c r="P278">
        <f>[2]results_sample_product_cf!H277</f>
        <v>0</v>
      </c>
      <c r="Q278">
        <f t="shared" si="48"/>
        <v>0</v>
      </c>
      <c r="R278">
        <f t="shared" si="44"/>
        <v>0</v>
      </c>
    </row>
    <row r="279" spans="1:18" x14ac:dyDescent="0.3">
      <c r="A279">
        <f t="shared" si="49"/>
        <v>276</v>
      </c>
      <c r="B279">
        <f t="shared" si="50"/>
        <v>23</v>
      </c>
      <c r="C279">
        <f t="shared" si="51"/>
        <v>281</v>
      </c>
      <c r="D279">
        <f t="shared" si="45"/>
        <v>24</v>
      </c>
      <c r="E279">
        <f>[1]model_point!$C$2+D279-1</f>
        <v>28</v>
      </c>
      <c r="F279">
        <f>VLOOKUP(E279,'[1]202512 BE mortality'!$A:$C,3,0)</f>
        <v>3.539421623045963E-3</v>
      </c>
      <c r="G279">
        <f>VLOOKUP(D279,'[1]202512 BE lapse'!$C:$D,2,0)</f>
        <v>1.9994379268815365E-3</v>
      </c>
      <c r="H279">
        <f>VLOOKUP($B279,'[1]202512 RFR'!$A:$B,2,0)</f>
        <v>1.4999999999999999E-2</v>
      </c>
      <c r="I279">
        <f t="shared" si="52"/>
        <v>1.6160980482190364</v>
      </c>
      <c r="J279">
        <f t="shared" si="53"/>
        <v>4.7758715113966835E-4</v>
      </c>
      <c r="K279">
        <f t="shared" si="54"/>
        <v>0</v>
      </c>
      <c r="L279">
        <f t="shared" si="46"/>
        <v>0.7798834947302048</v>
      </c>
      <c r="M279">
        <f>IF(AND(MOD(C279,12)=1,D279&lt;='[1]Product parameters'!$C$2),I278*[1]model_point!$G$2,0)</f>
        <v>0</v>
      </c>
      <c r="N279">
        <f t="shared" si="47"/>
        <v>0</v>
      </c>
      <c r="O279">
        <f>[2]results_sample_product_cf!G278</f>
        <v>0</v>
      </c>
      <c r="P279">
        <f>[2]results_sample_product_cf!H278</f>
        <v>0</v>
      </c>
      <c r="Q279">
        <f t="shared" si="48"/>
        <v>0</v>
      </c>
      <c r="R279">
        <f t="shared" si="44"/>
        <v>0</v>
      </c>
    </row>
    <row r="280" spans="1:18" x14ac:dyDescent="0.3">
      <c r="A280">
        <f t="shared" si="49"/>
        <v>277</v>
      </c>
      <c r="B280">
        <f t="shared" si="50"/>
        <v>24</v>
      </c>
      <c r="C280">
        <f t="shared" si="51"/>
        <v>282</v>
      </c>
      <c r="D280">
        <f t="shared" si="45"/>
        <v>24</v>
      </c>
      <c r="E280">
        <f>[1]model_point!$C$2+D280-1</f>
        <v>28</v>
      </c>
      <c r="F280">
        <f>VLOOKUP(E280,'[1]202512 BE mortality'!$A:$C,3,0)</f>
        <v>3.539421623045963E-3</v>
      </c>
      <c r="G280">
        <f>VLOOKUP(D280,'[1]202512 BE lapse'!$C:$D,2,0)</f>
        <v>1.9994379268815365E-3</v>
      </c>
      <c r="H280">
        <f>VLOOKUP($B280,'[1]202512 RFR'!$A:$B,2,0)</f>
        <v>1.4999999999999999E-2</v>
      </c>
      <c r="I280">
        <f t="shared" si="52"/>
        <v>1.615620602162122</v>
      </c>
      <c r="J280">
        <f t="shared" si="53"/>
        <v>4.7744605691435455E-4</v>
      </c>
      <c r="K280">
        <f t="shared" si="54"/>
        <v>0</v>
      </c>
      <c r="L280">
        <f t="shared" si="46"/>
        <v>0.77891647948877951</v>
      </c>
      <c r="M280">
        <f>IF(AND(MOD(C280,12)=1,D280&lt;='[1]Product parameters'!$C$2),I279*[1]model_point!$G$2,0)</f>
        <v>0</v>
      </c>
      <c r="N280">
        <f t="shared" si="47"/>
        <v>0</v>
      </c>
      <c r="O280">
        <f>[2]results_sample_product_cf!G279</f>
        <v>0</v>
      </c>
      <c r="P280">
        <f>[2]results_sample_product_cf!H279</f>
        <v>0</v>
      </c>
      <c r="Q280">
        <f t="shared" si="48"/>
        <v>0</v>
      </c>
      <c r="R280">
        <f t="shared" si="44"/>
        <v>0</v>
      </c>
    </row>
    <row r="281" spans="1:18" x14ac:dyDescent="0.3">
      <c r="A281">
        <f t="shared" si="49"/>
        <v>278</v>
      </c>
      <c r="B281">
        <f t="shared" si="50"/>
        <v>24</v>
      </c>
      <c r="C281">
        <f t="shared" si="51"/>
        <v>283</v>
      </c>
      <c r="D281">
        <f t="shared" si="45"/>
        <v>24</v>
      </c>
      <c r="E281">
        <f>[1]model_point!$C$2+D281-1</f>
        <v>28</v>
      </c>
      <c r="F281">
        <f>VLOOKUP(E281,'[1]202512 BE mortality'!$A:$C,3,0)</f>
        <v>3.539421623045963E-3</v>
      </c>
      <c r="G281">
        <f>VLOOKUP(D281,'[1]202512 BE lapse'!$C:$D,2,0)</f>
        <v>1.9994379268815365E-3</v>
      </c>
      <c r="H281">
        <f>VLOOKUP($B281,'[1]202512 RFR'!$A:$B,2,0)</f>
        <v>1.4999999999999999E-2</v>
      </c>
      <c r="I281">
        <f t="shared" si="52"/>
        <v>1.6151432971577493</v>
      </c>
      <c r="J281">
        <f t="shared" si="53"/>
        <v>4.7730500437270074E-4</v>
      </c>
      <c r="K281">
        <f t="shared" si="54"/>
        <v>0</v>
      </c>
      <c r="L281">
        <f t="shared" si="46"/>
        <v>0.77795066329629359</v>
      </c>
      <c r="M281">
        <f>IF(AND(MOD(C281,12)=1,D281&lt;='[1]Product parameters'!$C$2),I280*[1]model_point!$G$2,0)</f>
        <v>0</v>
      </c>
      <c r="N281">
        <f t="shared" si="47"/>
        <v>0</v>
      </c>
      <c r="O281">
        <f>[2]results_sample_product_cf!G280</f>
        <v>0</v>
      </c>
      <c r="P281">
        <f>[2]results_sample_product_cf!H280</f>
        <v>0</v>
      </c>
      <c r="Q281">
        <f t="shared" si="48"/>
        <v>0</v>
      </c>
      <c r="R281">
        <f t="shared" si="44"/>
        <v>0</v>
      </c>
    </row>
    <row r="282" spans="1:18" x14ac:dyDescent="0.3">
      <c r="A282">
        <f t="shared" si="49"/>
        <v>279</v>
      </c>
      <c r="B282">
        <f t="shared" si="50"/>
        <v>24</v>
      </c>
      <c r="C282">
        <f t="shared" si="51"/>
        <v>284</v>
      </c>
      <c r="D282">
        <f t="shared" si="45"/>
        <v>24</v>
      </c>
      <c r="E282">
        <f>[1]model_point!$C$2+D282-1</f>
        <v>28</v>
      </c>
      <c r="F282">
        <f>VLOOKUP(E282,'[1]202512 BE mortality'!$A:$C,3,0)</f>
        <v>3.539421623045963E-3</v>
      </c>
      <c r="G282">
        <f>VLOOKUP(D282,'[1]202512 BE lapse'!$C:$D,2,0)</f>
        <v>1.9994379268815365E-3</v>
      </c>
      <c r="H282">
        <f>VLOOKUP($B282,'[1]202512 RFR'!$A:$B,2,0)</f>
        <v>1.4999999999999999E-2</v>
      </c>
      <c r="I282">
        <f t="shared" si="52"/>
        <v>1.6146661331642469</v>
      </c>
      <c r="J282">
        <f t="shared" si="53"/>
        <v>4.7716399350239224E-4</v>
      </c>
      <c r="K282">
        <f t="shared" si="54"/>
        <v>0</v>
      </c>
      <c r="L282">
        <f t="shared" si="46"/>
        <v>0.77698604466598831</v>
      </c>
      <c r="M282">
        <f>IF(AND(MOD(C282,12)=1,D282&lt;='[1]Product parameters'!$C$2),I281*[1]model_point!$G$2,0)</f>
        <v>0</v>
      </c>
      <c r="N282">
        <f t="shared" si="47"/>
        <v>0</v>
      </c>
      <c r="O282">
        <f>[2]results_sample_product_cf!G281</f>
        <v>0</v>
      </c>
      <c r="P282">
        <f>[2]results_sample_product_cf!H281</f>
        <v>0</v>
      </c>
      <c r="Q282">
        <f t="shared" si="48"/>
        <v>0</v>
      </c>
      <c r="R282">
        <f t="shared" si="44"/>
        <v>0</v>
      </c>
    </row>
    <row r="283" spans="1:18" x14ac:dyDescent="0.3">
      <c r="A283">
        <f t="shared" si="49"/>
        <v>280</v>
      </c>
      <c r="B283">
        <f t="shared" si="50"/>
        <v>24</v>
      </c>
      <c r="C283">
        <f t="shared" si="51"/>
        <v>285</v>
      </c>
      <c r="D283">
        <f t="shared" si="45"/>
        <v>24</v>
      </c>
      <c r="E283">
        <f>[1]model_point!$C$2+D283-1</f>
        <v>28</v>
      </c>
      <c r="F283">
        <f>VLOOKUP(E283,'[1]202512 BE mortality'!$A:$C,3,0)</f>
        <v>3.539421623045963E-3</v>
      </c>
      <c r="G283">
        <f>VLOOKUP(D283,'[1]202512 BE lapse'!$C:$D,2,0)</f>
        <v>1.9994379268815365E-3</v>
      </c>
      <c r="H283">
        <f>VLOOKUP($B283,'[1]202512 RFR'!$A:$B,2,0)</f>
        <v>1.4999999999999999E-2</v>
      </c>
      <c r="I283">
        <f t="shared" si="52"/>
        <v>1.6141891101399557</v>
      </c>
      <c r="J283">
        <f t="shared" si="53"/>
        <v>4.7702302429111803E-4</v>
      </c>
      <c r="K283">
        <f t="shared" si="54"/>
        <v>0</v>
      </c>
      <c r="L283">
        <f t="shared" si="46"/>
        <v>0.77602262211294837</v>
      </c>
      <c r="M283">
        <f>IF(AND(MOD(C283,12)=1,D283&lt;='[1]Product parameters'!$C$2),I282*[1]model_point!$G$2,0)</f>
        <v>0</v>
      </c>
      <c r="N283">
        <f t="shared" si="47"/>
        <v>0</v>
      </c>
      <c r="O283">
        <f>[2]results_sample_product_cf!G282</f>
        <v>0</v>
      </c>
      <c r="P283">
        <f>[2]results_sample_product_cf!H282</f>
        <v>0</v>
      </c>
      <c r="Q283">
        <f t="shared" si="48"/>
        <v>0</v>
      </c>
      <c r="R283">
        <f t="shared" si="44"/>
        <v>0</v>
      </c>
    </row>
    <row r="284" spans="1:18" x14ac:dyDescent="0.3">
      <c r="A284">
        <f t="shared" si="49"/>
        <v>281</v>
      </c>
      <c r="B284">
        <f t="shared" si="50"/>
        <v>24</v>
      </c>
      <c r="C284">
        <f t="shared" si="51"/>
        <v>286</v>
      </c>
      <c r="D284">
        <f t="shared" si="45"/>
        <v>24</v>
      </c>
      <c r="E284">
        <f>[1]model_point!$C$2+D284-1</f>
        <v>28</v>
      </c>
      <c r="F284">
        <f>VLOOKUP(E284,'[1]202512 BE mortality'!$A:$C,3,0)</f>
        <v>3.539421623045963E-3</v>
      </c>
      <c r="G284">
        <f>VLOOKUP(D284,'[1]202512 BE lapse'!$C:$D,2,0)</f>
        <v>1.9994379268815365E-3</v>
      </c>
      <c r="H284">
        <f>VLOOKUP($B284,'[1]202512 RFR'!$A:$B,2,0)</f>
        <v>1.4999999999999999E-2</v>
      </c>
      <c r="I284">
        <f t="shared" si="52"/>
        <v>1.6137122280432292</v>
      </c>
      <c r="J284">
        <f t="shared" si="53"/>
        <v>4.7688209672657069E-4</v>
      </c>
      <c r="K284">
        <f t="shared" si="54"/>
        <v>0</v>
      </c>
      <c r="L284">
        <f t="shared" si="46"/>
        <v>0.77506039415409977</v>
      </c>
      <c r="M284">
        <f>IF(AND(MOD(C284,12)=1,D284&lt;='[1]Product parameters'!$C$2),I283*[1]model_point!$G$2,0)</f>
        <v>0</v>
      </c>
      <c r="N284">
        <f t="shared" si="47"/>
        <v>0</v>
      </c>
      <c r="O284">
        <f>[2]results_sample_product_cf!G283</f>
        <v>0</v>
      </c>
      <c r="P284">
        <f>[2]results_sample_product_cf!H283</f>
        <v>0</v>
      </c>
      <c r="Q284">
        <f t="shared" si="48"/>
        <v>0</v>
      </c>
      <c r="R284">
        <f t="shared" si="44"/>
        <v>0</v>
      </c>
    </row>
    <row r="285" spans="1:18" x14ac:dyDescent="0.3">
      <c r="A285">
        <f t="shared" si="49"/>
        <v>282</v>
      </c>
      <c r="B285">
        <f t="shared" si="50"/>
        <v>24</v>
      </c>
      <c r="C285">
        <f t="shared" si="51"/>
        <v>287</v>
      </c>
      <c r="D285">
        <f t="shared" si="45"/>
        <v>24</v>
      </c>
      <c r="E285">
        <f>[1]model_point!$C$2+D285-1</f>
        <v>28</v>
      </c>
      <c r="F285">
        <f>VLOOKUP(E285,'[1]202512 BE mortality'!$A:$C,3,0)</f>
        <v>3.539421623045963E-3</v>
      </c>
      <c r="G285">
        <f>VLOOKUP(D285,'[1]202512 BE lapse'!$C:$D,2,0)</f>
        <v>1.9994379268815365E-3</v>
      </c>
      <c r="H285">
        <f>VLOOKUP($B285,'[1]202512 RFR'!$A:$B,2,0)</f>
        <v>1.4999999999999999E-2</v>
      </c>
      <c r="I285">
        <f t="shared" si="52"/>
        <v>1.6132354868324328</v>
      </c>
      <c r="J285">
        <f t="shared" si="53"/>
        <v>4.7674121079644658E-4</v>
      </c>
      <c r="K285">
        <f t="shared" si="54"/>
        <v>0</v>
      </c>
      <c r="L285">
        <f t="shared" si="46"/>
        <v>0.77409935930820739</v>
      </c>
      <c r="M285">
        <f>IF(AND(MOD(C285,12)=1,D285&lt;='[1]Product parameters'!$C$2),I284*[1]model_point!$G$2,0)</f>
        <v>0</v>
      </c>
      <c r="N285">
        <f t="shared" si="47"/>
        <v>0</v>
      </c>
      <c r="O285">
        <f>[2]results_sample_product_cf!G284</f>
        <v>0</v>
      </c>
      <c r="P285">
        <f>[2]results_sample_product_cf!H284</f>
        <v>0</v>
      </c>
      <c r="Q285">
        <f t="shared" si="48"/>
        <v>0</v>
      </c>
      <c r="R285">
        <f t="shared" si="44"/>
        <v>0</v>
      </c>
    </row>
    <row r="286" spans="1:18" x14ac:dyDescent="0.3">
      <c r="A286">
        <f t="shared" si="49"/>
        <v>283</v>
      </c>
      <c r="B286">
        <f t="shared" si="50"/>
        <v>24</v>
      </c>
      <c r="C286">
        <f t="shared" si="51"/>
        <v>288</v>
      </c>
      <c r="D286">
        <f t="shared" si="45"/>
        <v>24</v>
      </c>
      <c r="E286">
        <f>[1]model_point!$C$2+D286-1</f>
        <v>28</v>
      </c>
      <c r="F286">
        <f>VLOOKUP(E286,'[1]202512 BE mortality'!$A:$C,3,0)</f>
        <v>3.539421623045963E-3</v>
      </c>
      <c r="G286">
        <f>VLOOKUP(D286,'[1]202512 BE lapse'!$C:$D,2,0)</f>
        <v>1.9994379268815365E-3</v>
      </c>
      <c r="H286">
        <f>VLOOKUP($B286,'[1]202512 RFR'!$A:$B,2,0)</f>
        <v>1.4999999999999999E-2</v>
      </c>
      <c r="I286">
        <f t="shared" si="52"/>
        <v>1.609534275181429</v>
      </c>
      <c r="J286">
        <f t="shared" si="53"/>
        <v>4.7660036648844548E-4</v>
      </c>
      <c r="K286">
        <f t="shared" si="54"/>
        <v>3.224611284515243E-3</v>
      </c>
      <c r="L286">
        <f t="shared" si="46"/>
        <v>0.77313951609587284</v>
      </c>
      <c r="M286">
        <f>IF(AND(MOD(C286,12)=1,D286&lt;='[1]Product parameters'!$C$2),I285*[1]model_point!$G$2,0)</f>
        <v>0</v>
      </c>
      <c r="N286">
        <f t="shared" si="47"/>
        <v>0</v>
      </c>
      <c r="O286">
        <f>[2]results_sample_product_cf!G285</f>
        <v>0</v>
      </c>
      <c r="P286">
        <f>[2]results_sample_product_cf!H285</f>
        <v>0</v>
      </c>
      <c r="Q286">
        <f t="shared" si="48"/>
        <v>0</v>
      </c>
      <c r="R286">
        <f t="shared" si="44"/>
        <v>0</v>
      </c>
    </row>
    <row r="287" spans="1:18" x14ac:dyDescent="0.3">
      <c r="A287">
        <f t="shared" si="49"/>
        <v>284</v>
      </c>
      <c r="B287">
        <f t="shared" si="50"/>
        <v>24</v>
      </c>
      <c r="C287">
        <f t="shared" si="51"/>
        <v>289</v>
      </c>
      <c r="D287">
        <f t="shared" si="45"/>
        <v>25</v>
      </c>
      <c r="E287">
        <f>[1]model_point!$C$2+D287-1</f>
        <v>29</v>
      </c>
      <c r="F287">
        <f>VLOOKUP(E287,'[1]202512 BE mortality'!$A:$C,3,0)</f>
        <v>5.86866475794918E-3</v>
      </c>
      <c r="G287">
        <f>VLOOKUP(D287,'[1]202512 BE lapse'!$C:$D,2,0)</f>
        <v>1.4682627491897759E-3</v>
      </c>
      <c r="H287">
        <f>VLOOKUP($B287,'[1]202512 RFR'!$A:$B,2,0)</f>
        <v>1.4999999999999999E-2</v>
      </c>
      <c r="I287">
        <f t="shared" si="52"/>
        <v>1.6087449985020008</v>
      </c>
      <c r="J287">
        <f t="shared" si="53"/>
        <v>7.8927667942810644E-4</v>
      </c>
      <c r="K287">
        <f t="shared" si="54"/>
        <v>0</v>
      </c>
      <c r="L287">
        <f t="shared" si="46"/>
        <v>0.77218086303953204</v>
      </c>
      <c r="M287">
        <f>IF(AND(MOD(C287,12)=1,D287&lt;='[1]Product parameters'!$C$2),I286*[1]model_point!$G$2,0)</f>
        <v>0</v>
      </c>
      <c r="N287">
        <f t="shared" si="47"/>
        <v>0</v>
      </c>
      <c r="O287">
        <f>[2]results_sample_product_cf!G286</f>
        <v>0</v>
      </c>
      <c r="P287">
        <f>[2]results_sample_product_cf!H286</f>
        <v>0</v>
      </c>
      <c r="Q287">
        <f t="shared" si="48"/>
        <v>0</v>
      </c>
      <c r="R287">
        <f t="shared" si="44"/>
        <v>0</v>
      </c>
    </row>
    <row r="288" spans="1:18" x14ac:dyDescent="0.3">
      <c r="A288">
        <f t="shared" si="49"/>
        <v>285</v>
      </c>
      <c r="B288">
        <f t="shared" si="50"/>
        <v>24</v>
      </c>
      <c r="C288">
        <f t="shared" si="51"/>
        <v>290</v>
      </c>
      <c r="D288">
        <f t="shared" si="45"/>
        <v>25</v>
      </c>
      <c r="E288">
        <f>[1]model_point!$C$2+D288-1</f>
        <v>29</v>
      </c>
      <c r="F288">
        <f>VLOOKUP(E288,'[1]202512 BE mortality'!$A:$C,3,0)</f>
        <v>5.86866475794918E-3</v>
      </c>
      <c r="G288">
        <f>VLOOKUP(D288,'[1]202512 BE lapse'!$C:$D,2,0)</f>
        <v>1.4682627491897759E-3</v>
      </c>
      <c r="H288">
        <f>VLOOKUP($B288,'[1]202512 RFR'!$A:$B,2,0)</f>
        <v>1.4999999999999999E-2</v>
      </c>
      <c r="I288">
        <f t="shared" si="52"/>
        <v>1.6079561088647665</v>
      </c>
      <c r="J288">
        <f t="shared" si="53"/>
        <v>7.8888963723441419E-4</v>
      </c>
      <c r="K288">
        <f t="shared" si="54"/>
        <v>0</v>
      </c>
      <c r="L288">
        <f t="shared" si="46"/>
        <v>0.77122339866345313</v>
      </c>
      <c r="M288">
        <f>IF(AND(MOD(C288,12)=1,D288&lt;='[1]Product parameters'!$C$2),I287*[1]model_point!$G$2,0)</f>
        <v>0</v>
      </c>
      <c r="N288">
        <f t="shared" si="47"/>
        <v>0</v>
      </c>
      <c r="O288">
        <f>[2]results_sample_product_cf!G287</f>
        <v>0</v>
      </c>
      <c r="P288">
        <f>[2]results_sample_product_cf!H287</f>
        <v>0</v>
      </c>
      <c r="Q288">
        <f t="shared" si="48"/>
        <v>0</v>
      </c>
      <c r="R288">
        <f t="shared" si="44"/>
        <v>0</v>
      </c>
    </row>
    <row r="289" spans="1:18" x14ac:dyDescent="0.3">
      <c r="A289">
        <f t="shared" si="49"/>
        <v>286</v>
      </c>
      <c r="B289">
        <f t="shared" si="50"/>
        <v>24</v>
      </c>
      <c r="C289">
        <f t="shared" si="51"/>
        <v>291</v>
      </c>
      <c r="D289">
        <f t="shared" si="45"/>
        <v>25</v>
      </c>
      <c r="E289">
        <f>[1]model_point!$C$2+D289-1</f>
        <v>29</v>
      </c>
      <c r="F289">
        <f>VLOOKUP(E289,'[1]202512 BE mortality'!$A:$C,3,0)</f>
        <v>5.86866475794918E-3</v>
      </c>
      <c r="G289">
        <f>VLOOKUP(D289,'[1]202512 BE lapse'!$C:$D,2,0)</f>
        <v>1.4682627491897759E-3</v>
      </c>
      <c r="H289">
        <f>VLOOKUP($B289,'[1]202512 RFR'!$A:$B,2,0)</f>
        <v>1.4999999999999999E-2</v>
      </c>
      <c r="I289">
        <f t="shared" si="52"/>
        <v>1.6071676060799296</v>
      </c>
      <c r="J289">
        <f t="shared" si="53"/>
        <v>7.8850278483685258E-4</v>
      </c>
      <c r="K289">
        <f t="shared" si="54"/>
        <v>0</v>
      </c>
      <c r="L289">
        <f t="shared" si="46"/>
        <v>0.77026712149373389</v>
      </c>
      <c r="M289">
        <f>IF(AND(MOD(C289,12)=1,D289&lt;='[1]Product parameters'!$C$2),I288*[1]model_point!$G$2,0)</f>
        <v>0</v>
      </c>
      <c r="N289">
        <f t="shared" si="47"/>
        <v>0</v>
      </c>
      <c r="O289">
        <f>[2]results_sample_product_cf!G288</f>
        <v>0</v>
      </c>
      <c r="P289">
        <f>[2]results_sample_product_cf!H288</f>
        <v>0</v>
      </c>
      <c r="Q289">
        <f t="shared" si="48"/>
        <v>0</v>
      </c>
      <c r="R289">
        <f t="shared" si="44"/>
        <v>0</v>
      </c>
    </row>
    <row r="290" spans="1:18" x14ac:dyDescent="0.3">
      <c r="A290">
        <f t="shared" si="49"/>
        <v>287</v>
      </c>
      <c r="B290">
        <f t="shared" si="50"/>
        <v>24</v>
      </c>
      <c r="C290">
        <f t="shared" si="51"/>
        <v>292</v>
      </c>
      <c r="D290">
        <f t="shared" si="45"/>
        <v>25</v>
      </c>
      <c r="E290">
        <f>[1]model_point!$C$2+D290-1</f>
        <v>29</v>
      </c>
      <c r="F290">
        <f>VLOOKUP(E290,'[1]202512 BE mortality'!$A:$C,3,0)</f>
        <v>5.86866475794918E-3</v>
      </c>
      <c r="G290">
        <f>VLOOKUP(D290,'[1]202512 BE lapse'!$C:$D,2,0)</f>
        <v>1.4682627491897759E-3</v>
      </c>
      <c r="H290">
        <f>VLOOKUP($B290,'[1]202512 RFR'!$A:$B,2,0)</f>
        <v>1.4999999999999999E-2</v>
      </c>
      <c r="I290">
        <f t="shared" si="52"/>
        <v>1.6063794899577872</v>
      </c>
      <c r="J290">
        <f t="shared" si="53"/>
        <v>7.8811612214235E-4</v>
      </c>
      <c r="K290">
        <f t="shared" si="54"/>
        <v>0</v>
      </c>
      <c r="L290">
        <f t="shared" si="46"/>
        <v>0.76931203005829984</v>
      </c>
      <c r="M290">
        <f>IF(AND(MOD(C290,12)=1,D290&lt;='[1]Product parameters'!$C$2),I289*[1]model_point!$G$2,0)</f>
        <v>0</v>
      </c>
      <c r="N290">
        <f t="shared" si="47"/>
        <v>0</v>
      </c>
      <c r="O290">
        <f>[2]results_sample_product_cf!G289</f>
        <v>0</v>
      </c>
      <c r="P290">
        <f>[2]results_sample_product_cf!H289</f>
        <v>0</v>
      </c>
      <c r="Q290">
        <f t="shared" si="48"/>
        <v>0</v>
      </c>
      <c r="R290">
        <f t="shared" si="44"/>
        <v>0</v>
      </c>
    </row>
    <row r="291" spans="1:18" x14ac:dyDescent="0.3">
      <c r="A291">
        <f t="shared" si="49"/>
        <v>288</v>
      </c>
      <c r="B291">
        <f t="shared" si="50"/>
        <v>24</v>
      </c>
      <c r="C291">
        <f t="shared" si="51"/>
        <v>293</v>
      </c>
      <c r="D291">
        <f t="shared" si="45"/>
        <v>25</v>
      </c>
      <c r="E291">
        <f>[1]model_point!$C$2+D291-1</f>
        <v>29</v>
      </c>
      <c r="F291">
        <f>VLOOKUP(E291,'[1]202512 BE mortality'!$A:$C,3,0)</f>
        <v>5.86866475794918E-3</v>
      </c>
      <c r="G291">
        <f>VLOOKUP(D291,'[1]202512 BE lapse'!$C:$D,2,0)</f>
        <v>1.4682627491897759E-3</v>
      </c>
      <c r="H291">
        <f>VLOOKUP($B291,'[1]202512 RFR'!$A:$B,2,0)</f>
        <v>1.4999999999999999E-2</v>
      </c>
      <c r="I291">
        <f t="shared" si="52"/>
        <v>1.6055917603087293</v>
      </c>
      <c r="J291">
        <f t="shared" si="53"/>
        <v>7.8772964905788083E-4</v>
      </c>
      <c r="K291">
        <f t="shared" si="54"/>
        <v>0</v>
      </c>
      <c r="L291">
        <f t="shared" si="46"/>
        <v>0.76835812288690175</v>
      </c>
      <c r="M291">
        <f>IF(AND(MOD(C291,12)=1,D291&lt;='[1]Product parameters'!$C$2),I290*[1]model_point!$G$2,0)</f>
        <v>0</v>
      </c>
      <c r="N291">
        <f t="shared" si="47"/>
        <v>0</v>
      </c>
      <c r="O291">
        <f>[2]results_sample_product_cf!G290</f>
        <v>0</v>
      </c>
      <c r="P291">
        <f>[2]results_sample_product_cf!H290</f>
        <v>0</v>
      </c>
      <c r="Q291">
        <f t="shared" si="48"/>
        <v>0</v>
      </c>
      <c r="R291">
        <f t="shared" si="44"/>
        <v>0</v>
      </c>
    </row>
    <row r="292" spans="1:18" x14ac:dyDescent="0.3">
      <c r="A292">
        <f t="shared" si="49"/>
        <v>289</v>
      </c>
      <c r="B292">
        <f t="shared" si="50"/>
        <v>25</v>
      </c>
      <c r="C292">
        <f t="shared" si="51"/>
        <v>294</v>
      </c>
      <c r="D292">
        <f t="shared" si="45"/>
        <v>25</v>
      </c>
      <c r="E292">
        <f>[1]model_point!$C$2+D292-1</f>
        <v>29</v>
      </c>
      <c r="F292">
        <f>VLOOKUP(E292,'[1]202512 BE mortality'!$A:$C,3,0)</f>
        <v>5.86866475794918E-3</v>
      </c>
      <c r="G292">
        <f>VLOOKUP(D292,'[1]202512 BE lapse'!$C:$D,2,0)</f>
        <v>1.4682627491897759E-3</v>
      </c>
      <c r="H292">
        <f>VLOOKUP($B292,'[1]202512 RFR'!$A:$B,2,0)</f>
        <v>1.4999999999999999E-2</v>
      </c>
      <c r="I292">
        <f t="shared" si="52"/>
        <v>1.6048044169432389</v>
      </c>
      <c r="J292">
        <f t="shared" si="53"/>
        <v>7.8734336549046474E-4</v>
      </c>
      <c r="K292">
        <f t="shared" si="54"/>
        <v>0</v>
      </c>
      <c r="L292">
        <f t="shared" si="46"/>
        <v>0.76740539851111333</v>
      </c>
      <c r="M292">
        <f>IF(AND(MOD(C292,12)=1,D292&lt;='[1]Product parameters'!$C$2),I291*[1]model_point!$G$2,0)</f>
        <v>0</v>
      </c>
      <c r="N292">
        <f t="shared" si="47"/>
        <v>0</v>
      </c>
      <c r="O292">
        <f>[2]results_sample_product_cf!G291</f>
        <v>0</v>
      </c>
      <c r="P292">
        <f>[2]results_sample_product_cf!H291</f>
        <v>0</v>
      </c>
      <c r="Q292">
        <f t="shared" si="48"/>
        <v>0</v>
      </c>
      <c r="R292">
        <f t="shared" si="44"/>
        <v>0</v>
      </c>
    </row>
    <row r="293" spans="1:18" x14ac:dyDescent="0.3">
      <c r="A293">
        <f t="shared" si="49"/>
        <v>290</v>
      </c>
      <c r="B293">
        <f t="shared" si="50"/>
        <v>25</v>
      </c>
      <c r="C293">
        <f t="shared" si="51"/>
        <v>295</v>
      </c>
      <c r="D293">
        <f t="shared" si="45"/>
        <v>25</v>
      </c>
      <c r="E293">
        <f>[1]model_point!$C$2+D293-1</f>
        <v>29</v>
      </c>
      <c r="F293">
        <f>VLOOKUP(E293,'[1]202512 BE mortality'!$A:$C,3,0)</f>
        <v>5.86866475794918E-3</v>
      </c>
      <c r="G293">
        <f>VLOOKUP(D293,'[1]202512 BE lapse'!$C:$D,2,0)</f>
        <v>1.4682627491897759E-3</v>
      </c>
      <c r="H293">
        <f>VLOOKUP($B293,'[1]202512 RFR'!$A:$B,2,0)</f>
        <v>1.4999999999999999E-2</v>
      </c>
      <c r="I293">
        <f t="shared" si="52"/>
        <v>1.6040174596718917</v>
      </c>
      <c r="J293">
        <f t="shared" si="53"/>
        <v>7.869572713471673E-4</v>
      </c>
      <c r="K293">
        <f t="shared" si="54"/>
        <v>0</v>
      </c>
      <c r="L293">
        <f t="shared" si="46"/>
        <v>0.7664538554643292</v>
      </c>
      <c r="M293">
        <f>IF(AND(MOD(C293,12)=1,D293&lt;='[1]Product parameters'!$C$2),I292*[1]model_point!$G$2,0)</f>
        <v>0</v>
      </c>
      <c r="N293">
        <f t="shared" si="47"/>
        <v>0</v>
      </c>
      <c r="O293">
        <f>[2]results_sample_product_cf!G292</f>
        <v>0</v>
      </c>
      <c r="P293">
        <f>[2]results_sample_product_cf!H292</f>
        <v>0</v>
      </c>
      <c r="Q293">
        <f t="shared" si="48"/>
        <v>0</v>
      </c>
      <c r="R293">
        <f t="shared" si="44"/>
        <v>0</v>
      </c>
    </row>
    <row r="294" spans="1:18" x14ac:dyDescent="0.3">
      <c r="A294">
        <f t="shared" si="49"/>
        <v>291</v>
      </c>
      <c r="B294">
        <f t="shared" si="50"/>
        <v>25</v>
      </c>
      <c r="C294">
        <f t="shared" si="51"/>
        <v>296</v>
      </c>
      <c r="D294">
        <f t="shared" si="45"/>
        <v>25</v>
      </c>
      <c r="E294">
        <f>[1]model_point!$C$2+D294-1</f>
        <v>29</v>
      </c>
      <c r="F294">
        <f>VLOOKUP(E294,'[1]202512 BE mortality'!$A:$C,3,0)</f>
        <v>5.86866475794918E-3</v>
      </c>
      <c r="G294">
        <f>VLOOKUP(D294,'[1]202512 BE lapse'!$C:$D,2,0)</f>
        <v>1.4682627491897759E-3</v>
      </c>
      <c r="H294">
        <f>VLOOKUP($B294,'[1]202512 RFR'!$A:$B,2,0)</f>
        <v>1.4999999999999999E-2</v>
      </c>
      <c r="I294">
        <f t="shared" si="52"/>
        <v>1.6032308883053565</v>
      </c>
      <c r="J294">
        <f t="shared" si="53"/>
        <v>7.8657136653509949E-4</v>
      </c>
      <c r="K294">
        <f t="shared" si="54"/>
        <v>0</v>
      </c>
      <c r="L294">
        <f t="shared" si="46"/>
        <v>0.7655034922817624</v>
      </c>
      <c r="M294">
        <f>IF(AND(MOD(C294,12)=1,D294&lt;='[1]Product parameters'!$C$2),I293*[1]model_point!$G$2,0)</f>
        <v>0</v>
      </c>
      <c r="N294">
        <f t="shared" si="47"/>
        <v>0</v>
      </c>
      <c r="O294">
        <f>[2]results_sample_product_cf!G293</f>
        <v>0</v>
      </c>
      <c r="P294">
        <f>[2]results_sample_product_cf!H293</f>
        <v>0</v>
      </c>
      <c r="Q294">
        <f t="shared" si="48"/>
        <v>0</v>
      </c>
      <c r="R294">
        <f t="shared" si="44"/>
        <v>0</v>
      </c>
    </row>
    <row r="295" spans="1:18" x14ac:dyDescent="0.3">
      <c r="A295">
        <f t="shared" si="49"/>
        <v>292</v>
      </c>
      <c r="B295">
        <f t="shared" si="50"/>
        <v>25</v>
      </c>
      <c r="C295">
        <f t="shared" si="51"/>
        <v>297</v>
      </c>
      <c r="D295">
        <f t="shared" si="45"/>
        <v>25</v>
      </c>
      <c r="E295">
        <f>[1]model_point!$C$2+D295-1</f>
        <v>29</v>
      </c>
      <c r="F295">
        <f>VLOOKUP(E295,'[1]202512 BE mortality'!$A:$C,3,0)</f>
        <v>5.86866475794918E-3</v>
      </c>
      <c r="G295">
        <f>VLOOKUP(D295,'[1]202512 BE lapse'!$C:$D,2,0)</f>
        <v>1.4682627491897759E-3</v>
      </c>
      <c r="H295">
        <f>VLOOKUP($B295,'[1]202512 RFR'!$A:$B,2,0)</f>
        <v>1.4999999999999999E-2</v>
      </c>
      <c r="I295">
        <f t="shared" si="52"/>
        <v>1.6024447026543951</v>
      </c>
      <c r="J295">
        <f t="shared" si="53"/>
        <v>7.861856509614177E-4</v>
      </c>
      <c r="K295">
        <f t="shared" si="54"/>
        <v>0</v>
      </c>
      <c r="L295">
        <f t="shared" si="46"/>
        <v>0.76455430750044218</v>
      </c>
      <c r="M295">
        <f>IF(AND(MOD(C295,12)=1,D295&lt;='[1]Product parameters'!$C$2),I294*[1]model_point!$G$2,0)</f>
        <v>0</v>
      </c>
      <c r="N295">
        <f t="shared" si="47"/>
        <v>0</v>
      </c>
      <c r="O295">
        <f>[2]results_sample_product_cf!G294</f>
        <v>0</v>
      </c>
      <c r="P295">
        <f>[2]results_sample_product_cf!H294</f>
        <v>0</v>
      </c>
      <c r="Q295">
        <f t="shared" si="48"/>
        <v>0</v>
      </c>
      <c r="R295">
        <f t="shared" si="44"/>
        <v>0</v>
      </c>
    </row>
    <row r="296" spans="1:18" x14ac:dyDescent="0.3">
      <c r="A296">
        <f t="shared" si="49"/>
        <v>293</v>
      </c>
      <c r="B296">
        <f t="shared" si="50"/>
        <v>25</v>
      </c>
      <c r="C296">
        <f t="shared" si="51"/>
        <v>298</v>
      </c>
      <c r="D296">
        <f t="shared" si="45"/>
        <v>25</v>
      </c>
      <c r="E296">
        <f>[1]model_point!$C$2+D296-1</f>
        <v>29</v>
      </c>
      <c r="F296">
        <f>VLOOKUP(E296,'[1]202512 BE mortality'!$A:$C,3,0)</f>
        <v>5.86866475794918E-3</v>
      </c>
      <c r="G296">
        <f>VLOOKUP(D296,'[1]202512 BE lapse'!$C:$D,2,0)</f>
        <v>1.4682627491897759E-3</v>
      </c>
      <c r="H296">
        <f>VLOOKUP($B296,'[1]202512 RFR'!$A:$B,2,0)</f>
        <v>1.4999999999999999E-2</v>
      </c>
      <c r="I296">
        <f t="shared" si="52"/>
        <v>1.6016589025298618</v>
      </c>
      <c r="J296">
        <f t="shared" si="53"/>
        <v>7.858001245333241E-4</v>
      </c>
      <c r="K296">
        <f t="shared" si="54"/>
        <v>0</v>
      </c>
      <c r="L296">
        <f t="shared" si="46"/>
        <v>0.76360629965921201</v>
      </c>
      <c r="M296">
        <f>IF(AND(MOD(C296,12)=1,D296&lt;='[1]Product parameters'!$C$2),I295*[1]model_point!$G$2,0)</f>
        <v>0</v>
      </c>
      <c r="N296">
        <f t="shared" si="47"/>
        <v>0</v>
      </c>
      <c r="O296">
        <f>[2]results_sample_product_cf!G295</f>
        <v>0</v>
      </c>
      <c r="P296">
        <f>[2]results_sample_product_cf!H295</f>
        <v>0</v>
      </c>
      <c r="Q296">
        <f t="shared" si="48"/>
        <v>0</v>
      </c>
      <c r="R296">
        <f t="shared" si="44"/>
        <v>0</v>
      </c>
    </row>
    <row r="297" spans="1:18" x14ac:dyDescent="0.3">
      <c r="A297">
        <f t="shared" si="49"/>
        <v>294</v>
      </c>
      <c r="B297">
        <f t="shared" si="50"/>
        <v>25</v>
      </c>
      <c r="C297">
        <f t="shared" si="51"/>
        <v>299</v>
      </c>
      <c r="D297">
        <f t="shared" si="45"/>
        <v>25</v>
      </c>
      <c r="E297">
        <f>[1]model_point!$C$2+D297-1</f>
        <v>29</v>
      </c>
      <c r="F297">
        <f>VLOOKUP(E297,'[1]202512 BE mortality'!$A:$C,3,0)</f>
        <v>5.86866475794918E-3</v>
      </c>
      <c r="G297">
        <f>VLOOKUP(D297,'[1]202512 BE lapse'!$C:$D,2,0)</f>
        <v>1.4682627491897759E-3</v>
      </c>
      <c r="H297">
        <f>VLOOKUP($B297,'[1]202512 RFR'!$A:$B,2,0)</f>
        <v>1.4999999999999999E-2</v>
      </c>
      <c r="I297">
        <f t="shared" si="52"/>
        <v>1.6008734877427038</v>
      </c>
      <c r="J297">
        <f t="shared" si="53"/>
        <v>7.8541478715806628E-4</v>
      </c>
      <c r="K297">
        <f t="shared" si="54"/>
        <v>0</v>
      </c>
      <c r="L297">
        <f t="shared" si="46"/>
        <v>0.76265946729872691</v>
      </c>
      <c r="M297">
        <f>IF(AND(MOD(C297,12)=1,D297&lt;='[1]Product parameters'!$C$2),I296*[1]model_point!$G$2,0)</f>
        <v>0</v>
      </c>
      <c r="N297">
        <f t="shared" si="47"/>
        <v>0</v>
      </c>
      <c r="O297">
        <f>[2]results_sample_product_cf!G296</f>
        <v>0</v>
      </c>
      <c r="P297">
        <f>[2]results_sample_product_cf!H296</f>
        <v>0</v>
      </c>
      <c r="Q297">
        <f t="shared" si="48"/>
        <v>0</v>
      </c>
      <c r="R297">
        <f t="shared" si="44"/>
        <v>0</v>
      </c>
    </row>
    <row r="298" spans="1:18" x14ac:dyDescent="0.3">
      <c r="A298">
        <f t="shared" si="49"/>
        <v>295</v>
      </c>
      <c r="B298">
        <f t="shared" si="50"/>
        <v>25</v>
      </c>
      <c r="C298">
        <f t="shared" si="51"/>
        <v>300</v>
      </c>
      <c r="D298">
        <f t="shared" si="45"/>
        <v>25</v>
      </c>
      <c r="E298">
        <f>[1]model_point!$C$2+D298-1</f>
        <v>29</v>
      </c>
      <c r="F298">
        <f>VLOOKUP(E298,'[1]202512 BE mortality'!$A:$C,3,0)</f>
        <v>5.86866475794918E-3</v>
      </c>
      <c r="G298">
        <f>VLOOKUP(D298,'[1]202512 BE lapse'!$C:$D,2,0)</f>
        <v>1.4682627491897759E-3</v>
      </c>
      <c r="H298">
        <f>VLOOKUP($B298,'[1]202512 RFR'!$A:$B,2,0)</f>
        <v>1.4999999999999999E-2</v>
      </c>
      <c r="I298">
        <f t="shared" si="52"/>
        <v>1.5977391078255183</v>
      </c>
      <c r="J298">
        <f t="shared" si="53"/>
        <v>7.8502963874293736E-4</v>
      </c>
      <c r="K298">
        <f t="shared" si="54"/>
        <v>2.3493502784425512E-3</v>
      </c>
      <c r="L298">
        <f t="shared" si="46"/>
        <v>0.76171380896145147</v>
      </c>
      <c r="M298">
        <f>IF(AND(MOD(C298,12)=1,D298&lt;='[1]Product parameters'!$C$2),I297*[1]model_point!$G$2,0)</f>
        <v>0</v>
      </c>
      <c r="N298">
        <f t="shared" si="47"/>
        <v>0</v>
      </c>
      <c r="O298">
        <f>[2]results_sample_product_cf!G297</f>
        <v>0</v>
      </c>
      <c r="P298">
        <f>[2]results_sample_product_cf!H297</f>
        <v>0</v>
      </c>
      <c r="Q298">
        <f t="shared" si="48"/>
        <v>0</v>
      </c>
      <c r="R298">
        <f t="shared" si="44"/>
        <v>0</v>
      </c>
    </row>
    <row r="299" spans="1:18" x14ac:dyDescent="0.3">
      <c r="A299">
        <f t="shared" si="49"/>
        <v>296</v>
      </c>
      <c r="B299">
        <f t="shared" si="50"/>
        <v>25</v>
      </c>
      <c r="C299">
        <f t="shared" si="51"/>
        <v>301</v>
      </c>
      <c r="D299">
        <f t="shared" si="45"/>
        <v>26</v>
      </c>
      <c r="E299">
        <f>[1]model_point!$C$2+D299-1</f>
        <v>30</v>
      </c>
      <c r="F299">
        <f>VLOOKUP(E299,'[1]202512 BE mortality'!$A:$C,3,0)</f>
        <v>6.7126407146811287E-4</v>
      </c>
      <c r="G299">
        <f>VLOOKUP(D299,'[1]202512 BE lapse'!$C:$D,2,0)</f>
        <v>9.049276759309173E-3</v>
      </c>
      <c r="H299">
        <f>VLOOKUP($B299,'[1]202512 RFR'!$A:$B,2,0)</f>
        <v>1.4999999999999999E-2</v>
      </c>
      <c r="I299">
        <f t="shared" si="52"/>
        <v>1.5976497049113529</v>
      </c>
      <c r="J299">
        <f t="shared" si="53"/>
        <v>8.9402914165410304E-5</v>
      </c>
      <c r="K299">
        <f t="shared" si="54"/>
        <v>0</v>
      </c>
      <c r="L299">
        <f t="shared" si="46"/>
        <v>0.76076932319165758</v>
      </c>
      <c r="M299">
        <f>IF(AND(MOD(C299,12)=1,D299&lt;='[1]Product parameters'!$C$2),I298*[1]model_point!$G$2,0)</f>
        <v>0</v>
      </c>
      <c r="N299">
        <f t="shared" si="47"/>
        <v>0</v>
      </c>
      <c r="O299">
        <f>[2]results_sample_product_cf!G298</f>
        <v>0</v>
      </c>
      <c r="P299">
        <f>[2]results_sample_product_cf!H298</f>
        <v>0</v>
      </c>
      <c r="Q299">
        <f t="shared" si="48"/>
        <v>0</v>
      </c>
      <c r="R299">
        <f t="shared" si="44"/>
        <v>0</v>
      </c>
    </row>
    <row r="300" spans="1:18" x14ac:dyDescent="0.3">
      <c r="A300">
        <f t="shared" si="49"/>
        <v>297</v>
      </c>
      <c r="B300">
        <f t="shared" si="50"/>
        <v>25</v>
      </c>
      <c r="C300">
        <f t="shared" si="51"/>
        <v>302</v>
      </c>
      <c r="D300">
        <f t="shared" si="45"/>
        <v>26</v>
      </c>
      <c r="E300">
        <f>[1]model_point!$C$2+D300-1</f>
        <v>30</v>
      </c>
      <c r="F300">
        <f>VLOOKUP(E300,'[1]202512 BE mortality'!$A:$C,3,0)</f>
        <v>6.7126407146811287E-4</v>
      </c>
      <c r="G300">
        <f>VLOOKUP(D300,'[1]202512 BE lapse'!$C:$D,2,0)</f>
        <v>9.049276759309173E-3</v>
      </c>
      <c r="H300">
        <f>VLOOKUP($B300,'[1]202512 RFR'!$A:$B,2,0)</f>
        <v>1.4999999999999999E-2</v>
      </c>
      <c r="I300">
        <f t="shared" si="52"/>
        <v>1.5975603069998072</v>
      </c>
      <c r="J300">
        <f t="shared" si="53"/>
        <v>8.939791154575725E-5</v>
      </c>
      <c r="K300">
        <f t="shared" si="54"/>
        <v>0</v>
      </c>
      <c r="L300">
        <f t="shared" si="46"/>
        <v>0.75982600853542215</v>
      </c>
      <c r="M300">
        <f>IF(AND(MOD(C300,12)=1,D300&lt;='[1]Product parameters'!$C$2),I299*[1]model_point!$G$2,0)</f>
        <v>0</v>
      </c>
      <c r="N300">
        <f t="shared" si="47"/>
        <v>0</v>
      </c>
      <c r="O300">
        <f>[2]results_sample_product_cf!G299</f>
        <v>0</v>
      </c>
      <c r="P300">
        <f>[2]results_sample_product_cf!H299</f>
        <v>0</v>
      </c>
      <c r="Q300">
        <f t="shared" si="48"/>
        <v>0</v>
      </c>
      <c r="R300">
        <f t="shared" si="44"/>
        <v>0</v>
      </c>
    </row>
    <row r="301" spans="1:18" x14ac:dyDescent="0.3">
      <c r="A301">
        <f t="shared" si="49"/>
        <v>298</v>
      </c>
      <c r="B301">
        <f t="shared" si="50"/>
        <v>25</v>
      </c>
      <c r="C301">
        <f t="shared" si="51"/>
        <v>303</v>
      </c>
      <c r="D301">
        <f t="shared" si="45"/>
        <v>26</v>
      </c>
      <c r="E301">
        <f>[1]model_point!$C$2+D301-1</f>
        <v>30</v>
      </c>
      <c r="F301">
        <f>VLOOKUP(E301,'[1]202512 BE mortality'!$A:$C,3,0)</f>
        <v>6.7126407146811287E-4</v>
      </c>
      <c r="G301">
        <f>VLOOKUP(D301,'[1]202512 BE lapse'!$C:$D,2,0)</f>
        <v>9.049276759309173E-3</v>
      </c>
      <c r="H301">
        <f>VLOOKUP($B301,'[1]202512 RFR'!$A:$B,2,0)</f>
        <v>1.4999999999999999E-2</v>
      </c>
      <c r="I301">
        <f t="shared" si="52"/>
        <v>1.5974709140906012</v>
      </c>
      <c r="J301">
        <f t="shared" si="53"/>
        <v>8.9392909206030221E-5</v>
      </c>
      <c r="K301">
        <f t="shared" si="54"/>
        <v>0</v>
      </c>
      <c r="L301">
        <f t="shared" si="46"/>
        <v>0.75888386354062487</v>
      </c>
      <c r="M301">
        <f>IF(AND(MOD(C301,12)=1,D301&lt;='[1]Product parameters'!$C$2),I300*[1]model_point!$G$2,0)</f>
        <v>0</v>
      </c>
      <c r="N301">
        <f t="shared" si="47"/>
        <v>0</v>
      </c>
      <c r="O301">
        <f>[2]results_sample_product_cf!G300</f>
        <v>0</v>
      </c>
      <c r="P301">
        <f>[2]results_sample_product_cf!H300</f>
        <v>0</v>
      </c>
      <c r="Q301">
        <f t="shared" si="48"/>
        <v>0</v>
      </c>
      <c r="R301">
        <f t="shared" si="44"/>
        <v>0</v>
      </c>
    </row>
    <row r="302" spans="1:18" x14ac:dyDescent="0.3">
      <c r="A302">
        <f t="shared" si="49"/>
        <v>299</v>
      </c>
      <c r="B302">
        <f t="shared" si="50"/>
        <v>25</v>
      </c>
      <c r="C302">
        <f t="shared" si="51"/>
        <v>304</v>
      </c>
      <c r="D302">
        <f t="shared" si="45"/>
        <v>26</v>
      </c>
      <c r="E302">
        <f>[1]model_point!$C$2+D302-1</f>
        <v>30</v>
      </c>
      <c r="F302">
        <f>VLOOKUP(E302,'[1]202512 BE mortality'!$A:$C,3,0)</f>
        <v>6.7126407146811287E-4</v>
      </c>
      <c r="G302">
        <f>VLOOKUP(D302,'[1]202512 BE lapse'!$C:$D,2,0)</f>
        <v>9.049276759309173E-3</v>
      </c>
      <c r="H302">
        <f>VLOOKUP($B302,'[1]202512 RFR'!$A:$B,2,0)</f>
        <v>1.4999999999999999E-2</v>
      </c>
      <c r="I302">
        <f t="shared" si="52"/>
        <v>1.597381526183455</v>
      </c>
      <c r="J302">
        <f t="shared" si="53"/>
        <v>8.9387907146213578E-5</v>
      </c>
      <c r="K302">
        <f t="shared" si="54"/>
        <v>0</v>
      </c>
      <c r="L302">
        <f t="shared" si="46"/>
        <v>0.75794288675694599</v>
      </c>
      <c r="M302">
        <f>IF(AND(MOD(C302,12)=1,D302&lt;='[1]Product parameters'!$C$2),I301*[1]model_point!$G$2,0)</f>
        <v>0</v>
      </c>
      <c r="N302">
        <f t="shared" si="47"/>
        <v>0</v>
      </c>
      <c r="O302">
        <f>[2]results_sample_product_cf!G301</f>
        <v>0</v>
      </c>
      <c r="P302">
        <f>[2]results_sample_product_cf!H301</f>
        <v>0</v>
      </c>
      <c r="Q302">
        <f t="shared" si="48"/>
        <v>0</v>
      </c>
      <c r="R302">
        <f t="shared" si="44"/>
        <v>0</v>
      </c>
    </row>
    <row r="303" spans="1:18" x14ac:dyDescent="0.3">
      <c r="A303">
        <f t="shared" si="49"/>
        <v>300</v>
      </c>
      <c r="B303">
        <f t="shared" si="50"/>
        <v>25</v>
      </c>
      <c r="C303">
        <f t="shared" si="51"/>
        <v>305</v>
      </c>
      <c r="D303">
        <f t="shared" si="45"/>
        <v>26</v>
      </c>
      <c r="E303">
        <f>[1]model_point!$C$2+D303-1</f>
        <v>30</v>
      </c>
      <c r="F303">
        <f>VLOOKUP(E303,'[1]202512 BE mortality'!$A:$C,3,0)</f>
        <v>6.7126407146811287E-4</v>
      </c>
      <c r="G303">
        <f>VLOOKUP(D303,'[1]202512 BE lapse'!$C:$D,2,0)</f>
        <v>9.049276759309173E-3</v>
      </c>
      <c r="H303">
        <f>VLOOKUP($B303,'[1]202512 RFR'!$A:$B,2,0)</f>
        <v>1.4999999999999999E-2</v>
      </c>
      <c r="I303">
        <f t="shared" si="52"/>
        <v>1.5972921432780887</v>
      </c>
      <c r="J303">
        <f t="shared" si="53"/>
        <v>8.9382905366291641E-5</v>
      </c>
      <c r="K303">
        <f t="shared" si="54"/>
        <v>0</v>
      </c>
      <c r="L303">
        <f t="shared" si="46"/>
        <v>0.75700307673586409</v>
      </c>
      <c r="M303">
        <f>IF(AND(MOD(C303,12)=1,D303&lt;='[1]Product parameters'!$C$2),I302*[1]model_point!$G$2,0)</f>
        <v>0</v>
      </c>
      <c r="N303">
        <f t="shared" si="47"/>
        <v>0</v>
      </c>
      <c r="O303">
        <f>[2]results_sample_product_cf!G302</f>
        <v>0</v>
      </c>
      <c r="P303">
        <f>[2]results_sample_product_cf!H302</f>
        <v>0</v>
      </c>
      <c r="Q303">
        <f t="shared" si="48"/>
        <v>0</v>
      </c>
      <c r="R303">
        <f t="shared" si="44"/>
        <v>0</v>
      </c>
    </row>
    <row r="304" spans="1:18" x14ac:dyDescent="0.3">
      <c r="A304">
        <f t="shared" si="49"/>
        <v>301</v>
      </c>
      <c r="B304">
        <f t="shared" si="50"/>
        <v>26</v>
      </c>
      <c r="C304">
        <f t="shared" si="51"/>
        <v>306</v>
      </c>
      <c r="D304">
        <f t="shared" si="45"/>
        <v>26</v>
      </c>
      <c r="E304">
        <f>[1]model_point!$C$2+D304-1</f>
        <v>30</v>
      </c>
      <c r="F304">
        <f>VLOOKUP(E304,'[1]202512 BE mortality'!$A:$C,3,0)</f>
        <v>6.7126407146811287E-4</v>
      </c>
      <c r="G304">
        <f>VLOOKUP(D304,'[1]202512 BE lapse'!$C:$D,2,0)</f>
        <v>9.049276759309173E-3</v>
      </c>
      <c r="H304">
        <f>VLOOKUP($B304,'[1]202512 RFR'!$A:$B,2,0)</f>
        <v>1.4999999999999999E-2</v>
      </c>
      <c r="I304">
        <f t="shared" si="52"/>
        <v>1.5972027653742225</v>
      </c>
      <c r="J304">
        <f t="shared" si="53"/>
        <v>8.9377903866248742E-5</v>
      </c>
      <c r="K304">
        <f t="shared" si="54"/>
        <v>0</v>
      </c>
      <c r="L304">
        <f t="shared" si="46"/>
        <v>0.75606443203065388</v>
      </c>
      <c r="M304">
        <f>IF(AND(MOD(C304,12)=1,D304&lt;='[1]Product parameters'!$C$2),I303*[1]model_point!$G$2,0)</f>
        <v>0</v>
      </c>
      <c r="N304">
        <f t="shared" si="47"/>
        <v>0</v>
      </c>
      <c r="O304">
        <f>[2]results_sample_product_cf!G303</f>
        <v>0</v>
      </c>
      <c r="P304">
        <f>[2]results_sample_product_cf!H303</f>
        <v>0</v>
      </c>
      <c r="Q304">
        <f t="shared" si="48"/>
        <v>0</v>
      </c>
      <c r="R304">
        <f t="shared" si="44"/>
        <v>0</v>
      </c>
    </row>
    <row r="305" spans="1:18" x14ac:dyDescent="0.3">
      <c r="A305">
        <f t="shared" si="49"/>
        <v>302</v>
      </c>
      <c r="B305">
        <f t="shared" si="50"/>
        <v>26</v>
      </c>
      <c r="C305">
        <f t="shared" si="51"/>
        <v>307</v>
      </c>
      <c r="D305">
        <f t="shared" si="45"/>
        <v>26</v>
      </c>
      <c r="E305">
        <f>[1]model_point!$C$2+D305-1</f>
        <v>30</v>
      </c>
      <c r="F305">
        <f>VLOOKUP(E305,'[1]202512 BE mortality'!$A:$C,3,0)</f>
        <v>6.7126407146811287E-4</v>
      </c>
      <c r="G305">
        <f>VLOOKUP(D305,'[1]202512 BE lapse'!$C:$D,2,0)</f>
        <v>9.049276759309173E-3</v>
      </c>
      <c r="H305">
        <f>VLOOKUP($B305,'[1]202512 RFR'!$A:$B,2,0)</f>
        <v>1.4999999999999999E-2</v>
      </c>
      <c r="I305">
        <f t="shared" si="52"/>
        <v>1.5971133924715764</v>
      </c>
      <c r="J305">
        <f t="shared" si="53"/>
        <v>8.9372902646069242E-5</v>
      </c>
      <c r="K305">
        <f t="shared" si="54"/>
        <v>0</v>
      </c>
      <c r="L305">
        <f t="shared" si="46"/>
        <v>0.75512695119638373</v>
      </c>
      <c r="M305">
        <f>IF(AND(MOD(C305,12)=1,D305&lt;='[1]Product parameters'!$C$2),I304*[1]model_point!$G$2,0)</f>
        <v>0</v>
      </c>
      <c r="N305">
        <f t="shared" si="47"/>
        <v>0</v>
      </c>
      <c r="O305">
        <f>[2]results_sample_product_cf!G304</f>
        <v>0</v>
      </c>
      <c r="P305">
        <f>[2]results_sample_product_cf!H304</f>
        <v>0</v>
      </c>
      <c r="Q305">
        <f t="shared" si="48"/>
        <v>0</v>
      </c>
      <c r="R305">
        <f t="shared" si="44"/>
        <v>0</v>
      </c>
    </row>
    <row r="306" spans="1:18" x14ac:dyDescent="0.3">
      <c r="A306">
        <f t="shared" si="49"/>
        <v>303</v>
      </c>
      <c r="B306">
        <f t="shared" si="50"/>
        <v>26</v>
      </c>
      <c r="C306">
        <f t="shared" si="51"/>
        <v>308</v>
      </c>
      <c r="D306">
        <f t="shared" si="45"/>
        <v>26</v>
      </c>
      <c r="E306">
        <f>[1]model_point!$C$2+D306-1</f>
        <v>30</v>
      </c>
      <c r="F306">
        <f>VLOOKUP(E306,'[1]202512 BE mortality'!$A:$C,3,0)</f>
        <v>6.7126407146811287E-4</v>
      </c>
      <c r="G306">
        <f>VLOOKUP(D306,'[1]202512 BE lapse'!$C:$D,2,0)</f>
        <v>9.049276759309173E-3</v>
      </c>
      <c r="H306">
        <f>VLOOKUP($B306,'[1]202512 RFR'!$A:$B,2,0)</f>
        <v>1.4999999999999999E-2</v>
      </c>
      <c r="I306">
        <f t="shared" si="52"/>
        <v>1.5970240245698706</v>
      </c>
      <c r="J306">
        <f t="shared" si="53"/>
        <v>8.9367901705737462E-5</v>
      </c>
      <c r="K306">
        <f t="shared" si="54"/>
        <v>0</v>
      </c>
      <c r="L306">
        <f t="shared" si="46"/>
        <v>0.75419063278991394</v>
      </c>
      <c r="M306">
        <f>IF(AND(MOD(C306,12)=1,D306&lt;='[1]Product parameters'!$C$2),I305*[1]model_point!$G$2,0)</f>
        <v>0</v>
      </c>
      <c r="N306">
        <f t="shared" si="47"/>
        <v>0</v>
      </c>
      <c r="O306">
        <f>[2]results_sample_product_cf!G305</f>
        <v>0</v>
      </c>
      <c r="P306">
        <f>[2]results_sample_product_cf!H305</f>
        <v>0</v>
      </c>
      <c r="Q306">
        <f t="shared" si="48"/>
        <v>0</v>
      </c>
      <c r="R306">
        <f t="shared" si="44"/>
        <v>0</v>
      </c>
    </row>
    <row r="307" spans="1:18" x14ac:dyDescent="0.3">
      <c r="A307">
        <f t="shared" si="49"/>
        <v>304</v>
      </c>
      <c r="B307">
        <f t="shared" si="50"/>
        <v>26</v>
      </c>
      <c r="C307">
        <f t="shared" si="51"/>
        <v>309</v>
      </c>
      <c r="D307">
        <f t="shared" si="45"/>
        <v>26</v>
      </c>
      <c r="E307">
        <f>[1]model_point!$C$2+D307-1</f>
        <v>30</v>
      </c>
      <c r="F307">
        <f>VLOOKUP(E307,'[1]202512 BE mortality'!$A:$C,3,0)</f>
        <v>6.7126407146811287E-4</v>
      </c>
      <c r="G307">
        <f>VLOOKUP(D307,'[1]202512 BE lapse'!$C:$D,2,0)</f>
        <v>9.049276759309173E-3</v>
      </c>
      <c r="H307">
        <f>VLOOKUP($B307,'[1]202512 RFR'!$A:$B,2,0)</f>
        <v>1.4999999999999999E-2</v>
      </c>
      <c r="I307">
        <f t="shared" si="52"/>
        <v>1.5969346616688254</v>
      </c>
      <c r="J307">
        <f t="shared" si="53"/>
        <v>8.936290104523776E-5</v>
      </c>
      <c r="K307">
        <f t="shared" si="54"/>
        <v>0</v>
      </c>
      <c r="L307">
        <f t="shared" si="46"/>
        <v>0.75325547536989401</v>
      </c>
      <c r="M307">
        <f>IF(AND(MOD(C307,12)=1,D307&lt;='[1]Product parameters'!$C$2),I306*[1]model_point!$G$2,0)</f>
        <v>0</v>
      </c>
      <c r="N307">
        <f t="shared" si="47"/>
        <v>0</v>
      </c>
      <c r="O307">
        <f>[2]results_sample_product_cf!G306</f>
        <v>0</v>
      </c>
      <c r="P307">
        <f>[2]results_sample_product_cf!H306</f>
        <v>0</v>
      </c>
      <c r="Q307">
        <f t="shared" si="48"/>
        <v>0</v>
      </c>
      <c r="R307">
        <f t="shared" si="44"/>
        <v>0</v>
      </c>
    </row>
    <row r="308" spans="1:18" x14ac:dyDescent="0.3">
      <c r="A308">
        <f t="shared" si="49"/>
        <v>305</v>
      </c>
      <c r="B308">
        <f t="shared" si="50"/>
        <v>26</v>
      </c>
      <c r="C308">
        <f t="shared" si="51"/>
        <v>310</v>
      </c>
      <c r="D308">
        <f t="shared" si="45"/>
        <v>26</v>
      </c>
      <c r="E308">
        <f>[1]model_point!$C$2+D308-1</f>
        <v>30</v>
      </c>
      <c r="F308">
        <f>VLOOKUP(E308,'[1]202512 BE mortality'!$A:$C,3,0)</f>
        <v>6.7126407146811287E-4</v>
      </c>
      <c r="G308">
        <f>VLOOKUP(D308,'[1]202512 BE lapse'!$C:$D,2,0)</f>
        <v>9.049276759309173E-3</v>
      </c>
      <c r="H308">
        <f>VLOOKUP($B308,'[1]202512 RFR'!$A:$B,2,0)</f>
        <v>1.4999999999999999E-2</v>
      </c>
      <c r="I308">
        <f t="shared" si="52"/>
        <v>1.5968453037681609</v>
      </c>
      <c r="J308">
        <f t="shared" si="53"/>
        <v>8.9357900664554458E-5</v>
      </c>
      <c r="K308">
        <f t="shared" si="54"/>
        <v>0</v>
      </c>
      <c r="L308">
        <f t="shared" si="46"/>
        <v>0.75232147749676082</v>
      </c>
      <c r="M308">
        <f>IF(AND(MOD(C308,12)=1,D308&lt;='[1]Product parameters'!$C$2),I307*[1]model_point!$G$2,0)</f>
        <v>0</v>
      </c>
      <c r="N308">
        <f t="shared" si="47"/>
        <v>0</v>
      </c>
      <c r="O308">
        <f>[2]results_sample_product_cf!G307</f>
        <v>0</v>
      </c>
      <c r="P308">
        <f>[2]results_sample_product_cf!H307</f>
        <v>0</v>
      </c>
      <c r="Q308">
        <f t="shared" si="48"/>
        <v>0</v>
      </c>
      <c r="R308">
        <f t="shared" si="44"/>
        <v>0</v>
      </c>
    </row>
    <row r="309" spans="1:18" x14ac:dyDescent="0.3">
      <c r="A309">
        <f t="shared" si="49"/>
        <v>306</v>
      </c>
      <c r="B309">
        <f t="shared" si="50"/>
        <v>26</v>
      </c>
      <c r="C309">
        <f t="shared" si="51"/>
        <v>311</v>
      </c>
      <c r="D309">
        <f t="shared" si="45"/>
        <v>26</v>
      </c>
      <c r="E309">
        <f>[1]model_point!$C$2+D309-1</f>
        <v>30</v>
      </c>
      <c r="F309">
        <f>VLOOKUP(E309,'[1]202512 BE mortality'!$A:$C,3,0)</f>
        <v>6.7126407146811287E-4</v>
      </c>
      <c r="G309">
        <f>VLOOKUP(D309,'[1]202512 BE lapse'!$C:$D,2,0)</f>
        <v>9.049276759309173E-3</v>
      </c>
      <c r="H309">
        <f>VLOOKUP($B309,'[1]202512 RFR'!$A:$B,2,0)</f>
        <v>1.4999999999999999E-2</v>
      </c>
      <c r="I309">
        <f t="shared" si="52"/>
        <v>1.5967559508675973</v>
      </c>
      <c r="J309">
        <f t="shared" si="53"/>
        <v>8.9352900563671928E-5</v>
      </c>
      <c r="K309">
        <f t="shared" si="54"/>
        <v>0</v>
      </c>
      <c r="L309">
        <f t="shared" si="46"/>
        <v>0.75138863773273612</v>
      </c>
      <c r="M309">
        <f>IF(AND(MOD(C309,12)=1,D309&lt;='[1]Product parameters'!$C$2),I308*[1]model_point!$G$2,0)</f>
        <v>0</v>
      </c>
      <c r="N309">
        <f t="shared" si="47"/>
        <v>0</v>
      </c>
      <c r="O309">
        <f>[2]results_sample_product_cf!G308</f>
        <v>0</v>
      </c>
      <c r="P309">
        <f>[2]results_sample_product_cf!H308</f>
        <v>0</v>
      </c>
      <c r="Q309">
        <f t="shared" si="48"/>
        <v>0</v>
      </c>
      <c r="R309">
        <f t="shared" si="44"/>
        <v>0</v>
      </c>
    </row>
    <row r="310" spans="1:18" x14ac:dyDescent="0.3">
      <c r="A310">
        <f t="shared" si="49"/>
        <v>307</v>
      </c>
      <c r="B310">
        <f t="shared" si="50"/>
        <v>26</v>
      </c>
      <c r="C310">
        <f t="shared" si="51"/>
        <v>312</v>
      </c>
      <c r="D310">
        <f t="shared" si="45"/>
        <v>26</v>
      </c>
      <c r="E310">
        <f>[1]model_point!$C$2+D310-1</f>
        <v>30</v>
      </c>
      <c r="F310">
        <f>VLOOKUP(E310,'[1]202512 BE mortality'!$A:$C,3,0)</f>
        <v>6.7126407146811287E-4</v>
      </c>
      <c r="G310">
        <f>VLOOKUP(D310,'[1]202512 BE lapse'!$C:$D,2,0)</f>
        <v>9.049276759309173E-3</v>
      </c>
      <c r="H310">
        <f>VLOOKUP($B310,'[1]202512 RFR'!$A:$B,2,0)</f>
        <v>1.4999999999999999E-2</v>
      </c>
      <c r="I310">
        <f t="shared" si="52"/>
        <v>1.5822179249842616</v>
      </c>
      <c r="J310">
        <f t="shared" si="53"/>
        <v>8.9347900742574478E-5</v>
      </c>
      <c r="K310">
        <f t="shared" si="54"/>
        <v>1.4448677982593083E-2</v>
      </c>
      <c r="L310">
        <f t="shared" si="46"/>
        <v>0.75045695464182438</v>
      </c>
      <c r="M310">
        <f>IF(AND(MOD(C310,12)=1,D310&lt;='[1]Product parameters'!$C$2),I309*[1]model_point!$G$2,0)</f>
        <v>0</v>
      </c>
      <c r="N310">
        <f t="shared" si="47"/>
        <v>0</v>
      </c>
      <c r="O310">
        <f>[2]results_sample_product_cf!G309</f>
        <v>0</v>
      </c>
      <c r="P310">
        <f>[2]results_sample_product_cf!H309</f>
        <v>0</v>
      </c>
      <c r="Q310">
        <f t="shared" si="48"/>
        <v>0</v>
      </c>
      <c r="R310">
        <f t="shared" si="44"/>
        <v>0</v>
      </c>
    </row>
    <row r="311" spans="1:18" x14ac:dyDescent="0.3">
      <c r="A311">
        <f t="shared" si="49"/>
        <v>308</v>
      </c>
      <c r="B311">
        <f t="shared" si="50"/>
        <v>26</v>
      </c>
      <c r="C311">
        <f t="shared" si="51"/>
        <v>313</v>
      </c>
      <c r="D311">
        <f t="shared" si="45"/>
        <v>27</v>
      </c>
      <c r="E311">
        <f>[1]model_point!$C$2+D311-1</f>
        <v>31</v>
      </c>
      <c r="F311">
        <f>VLOOKUP(E311,'[1]202512 BE mortality'!$A:$C,3,0)</f>
        <v>1.0711993415442999E-3</v>
      </c>
      <c r="G311">
        <f>VLOOKUP(D311,'[1]202512 BE lapse'!$C:$D,2,0)</f>
        <v>6.2131765246914951E-3</v>
      </c>
      <c r="H311">
        <f>VLOOKUP($B311,'[1]202512 RFR'!$A:$B,2,0)</f>
        <v>1.4999999999999999E-2</v>
      </c>
      <c r="I311">
        <f t="shared" si="52"/>
        <v>1.582076616359769</v>
      </c>
      <c r="J311">
        <f t="shared" si="53"/>
        <v>1.4130862449254972E-4</v>
      </c>
      <c r="K311">
        <f t="shared" si="54"/>
        <v>0</v>
      </c>
      <c r="L311">
        <f t="shared" si="46"/>
        <v>0.74952642678981074</v>
      </c>
      <c r="M311">
        <f>IF(AND(MOD(C311,12)=1,D311&lt;='[1]Product parameters'!$C$2),I310*[1]model_point!$G$2,0)</f>
        <v>0</v>
      </c>
      <c r="N311">
        <f t="shared" si="47"/>
        <v>0</v>
      </c>
      <c r="O311">
        <f>[2]results_sample_product_cf!G310</f>
        <v>0</v>
      </c>
      <c r="P311">
        <f>[2]results_sample_product_cf!H310</f>
        <v>0</v>
      </c>
      <c r="Q311">
        <f t="shared" si="48"/>
        <v>0</v>
      </c>
      <c r="R311">
        <f t="shared" si="44"/>
        <v>0</v>
      </c>
    </row>
    <row r="312" spans="1:18" x14ac:dyDescent="0.3">
      <c r="A312">
        <f t="shared" si="49"/>
        <v>309</v>
      </c>
      <c r="B312">
        <f t="shared" si="50"/>
        <v>26</v>
      </c>
      <c r="C312">
        <f t="shared" si="51"/>
        <v>314</v>
      </c>
      <c r="D312">
        <f t="shared" si="45"/>
        <v>27</v>
      </c>
      <c r="E312">
        <f>[1]model_point!$C$2+D312-1</f>
        <v>31</v>
      </c>
      <c r="F312">
        <f>VLOOKUP(E312,'[1]202512 BE mortality'!$A:$C,3,0)</f>
        <v>1.0711993415442999E-3</v>
      </c>
      <c r="G312">
        <f>VLOOKUP(D312,'[1]202512 BE lapse'!$C:$D,2,0)</f>
        <v>6.2131765246914951E-3</v>
      </c>
      <c r="H312">
        <f>VLOOKUP($B312,'[1]202512 RFR'!$A:$B,2,0)</f>
        <v>1.4999999999999999E-2</v>
      </c>
      <c r="I312">
        <f t="shared" si="52"/>
        <v>1.5819353203556159</v>
      </c>
      <c r="J312">
        <f t="shared" si="53"/>
        <v>1.4129600415306256E-4</v>
      </c>
      <c r="K312">
        <f t="shared" si="54"/>
        <v>0</v>
      </c>
      <c r="L312">
        <f t="shared" si="46"/>
        <v>0.74859705274425858</v>
      </c>
      <c r="M312">
        <f>IF(AND(MOD(C312,12)=1,D312&lt;='[1]Product parameters'!$C$2),I311*[1]model_point!$G$2,0)</f>
        <v>0</v>
      </c>
      <c r="N312">
        <f t="shared" si="47"/>
        <v>0</v>
      </c>
      <c r="O312">
        <f>[2]results_sample_product_cf!G311</f>
        <v>0</v>
      </c>
      <c r="P312">
        <f>[2]results_sample_product_cf!H311</f>
        <v>0</v>
      </c>
      <c r="Q312">
        <f t="shared" si="48"/>
        <v>0</v>
      </c>
      <c r="R312">
        <f t="shared" si="44"/>
        <v>0</v>
      </c>
    </row>
    <row r="313" spans="1:18" x14ac:dyDescent="0.3">
      <c r="A313">
        <f t="shared" si="49"/>
        <v>310</v>
      </c>
      <c r="B313">
        <f t="shared" si="50"/>
        <v>26</v>
      </c>
      <c r="C313">
        <f t="shared" si="51"/>
        <v>315</v>
      </c>
      <c r="D313">
        <f t="shared" si="45"/>
        <v>27</v>
      </c>
      <c r="E313">
        <f>[1]model_point!$C$2+D313-1</f>
        <v>31</v>
      </c>
      <c r="F313">
        <f>VLOOKUP(E313,'[1]202512 BE mortality'!$A:$C,3,0)</f>
        <v>1.0711993415442999E-3</v>
      </c>
      <c r="G313">
        <f>VLOOKUP(D313,'[1]202512 BE lapse'!$C:$D,2,0)</f>
        <v>6.2131765246914951E-3</v>
      </c>
      <c r="H313">
        <f>VLOOKUP($B313,'[1]202512 RFR'!$A:$B,2,0)</f>
        <v>1.4999999999999999E-2</v>
      </c>
      <c r="I313">
        <f t="shared" si="52"/>
        <v>1.5817940369706751</v>
      </c>
      <c r="J313">
        <f t="shared" si="53"/>
        <v>1.4128338494070382E-4</v>
      </c>
      <c r="K313">
        <f t="shared" si="54"/>
        <v>0</v>
      </c>
      <c r="L313">
        <f t="shared" si="46"/>
        <v>0.74766883107450754</v>
      </c>
      <c r="M313">
        <f>IF(AND(MOD(C313,12)=1,D313&lt;='[1]Product parameters'!$C$2),I312*[1]model_point!$G$2,0)</f>
        <v>0</v>
      </c>
      <c r="N313">
        <f t="shared" si="47"/>
        <v>0</v>
      </c>
      <c r="O313">
        <f>[2]results_sample_product_cf!G312</f>
        <v>0</v>
      </c>
      <c r="P313">
        <f>[2]results_sample_product_cf!H312</f>
        <v>0</v>
      </c>
      <c r="Q313">
        <f t="shared" si="48"/>
        <v>0</v>
      </c>
      <c r="R313">
        <f t="shared" si="44"/>
        <v>0</v>
      </c>
    </row>
    <row r="314" spans="1:18" x14ac:dyDescent="0.3">
      <c r="A314">
        <f t="shared" si="49"/>
        <v>311</v>
      </c>
      <c r="B314">
        <f t="shared" si="50"/>
        <v>26</v>
      </c>
      <c r="C314">
        <f t="shared" si="51"/>
        <v>316</v>
      </c>
      <c r="D314">
        <f t="shared" si="45"/>
        <v>27</v>
      </c>
      <c r="E314">
        <f>[1]model_point!$C$2+D314-1</f>
        <v>31</v>
      </c>
      <c r="F314">
        <f>VLOOKUP(E314,'[1]202512 BE mortality'!$A:$C,3,0)</f>
        <v>1.0711993415442999E-3</v>
      </c>
      <c r="G314">
        <f>VLOOKUP(D314,'[1]202512 BE lapse'!$C:$D,2,0)</f>
        <v>6.2131765246914951E-3</v>
      </c>
      <c r="H314">
        <f>VLOOKUP($B314,'[1]202512 RFR'!$A:$B,2,0)</f>
        <v>1.4999999999999999E-2</v>
      </c>
      <c r="I314">
        <f t="shared" si="52"/>
        <v>1.5816527662038198</v>
      </c>
      <c r="J314">
        <f t="shared" si="53"/>
        <v>1.4127076685537286E-4</v>
      </c>
      <c r="K314">
        <f t="shared" si="54"/>
        <v>0</v>
      </c>
      <c r="L314">
        <f t="shared" si="46"/>
        <v>0.74674176035167128</v>
      </c>
      <c r="M314">
        <f>IF(AND(MOD(C314,12)=1,D314&lt;='[1]Product parameters'!$C$2),I313*[1]model_point!$G$2,0)</f>
        <v>0</v>
      </c>
      <c r="N314">
        <f t="shared" si="47"/>
        <v>0</v>
      </c>
      <c r="O314">
        <f>[2]results_sample_product_cf!G313</f>
        <v>0</v>
      </c>
      <c r="P314">
        <f>[2]results_sample_product_cf!H313</f>
        <v>0</v>
      </c>
      <c r="Q314">
        <f t="shared" si="48"/>
        <v>0</v>
      </c>
      <c r="R314">
        <f t="shared" si="44"/>
        <v>0</v>
      </c>
    </row>
    <row r="315" spans="1:18" x14ac:dyDescent="0.3">
      <c r="A315">
        <f t="shared" si="49"/>
        <v>312</v>
      </c>
      <c r="B315">
        <f t="shared" si="50"/>
        <v>26</v>
      </c>
      <c r="C315">
        <f t="shared" si="51"/>
        <v>317</v>
      </c>
      <c r="D315">
        <f t="shared" si="45"/>
        <v>27</v>
      </c>
      <c r="E315">
        <f>[1]model_point!$C$2+D315-1</f>
        <v>31</v>
      </c>
      <c r="F315">
        <f>VLOOKUP(E315,'[1]202512 BE mortality'!$A:$C,3,0)</f>
        <v>1.0711993415442999E-3</v>
      </c>
      <c r="G315">
        <f>VLOOKUP(D315,'[1]202512 BE lapse'!$C:$D,2,0)</f>
        <v>6.2131765246914951E-3</v>
      </c>
      <c r="H315">
        <f>VLOOKUP($B315,'[1]202512 RFR'!$A:$B,2,0)</f>
        <v>1.4999999999999999E-2</v>
      </c>
      <c r="I315">
        <f t="shared" si="52"/>
        <v>1.5815115080539228</v>
      </c>
      <c r="J315">
        <f t="shared" si="53"/>
        <v>1.4125814989696903E-4</v>
      </c>
      <c r="K315">
        <f t="shared" si="54"/>
        <v>0</v>
      </c>
      <c r="L315">
        <f t="shared" si="46"/>
        <v>0.74581583914863492</v>
      </c>
      <c r="M315">
        <f>IF(AND(MOD(C315,12)=1,D315&lt;='[1]Product parameters'!$C$2),I314*[1]model_point!$G$2,0)</f>
        <v>0</v>
      </c>
      <c r="N315">
        <f t="shared" si="47"/>
        <v>0</v>
      </c>
      <c r="O315">
        <f>[2]results_sample_product_cf!G314</f>
        <v>0</v>
      </c>
      <c r="P315">
        <f>[2]results_sample_product_cf!H314</f>
        <v>0</v>
      </c>
      <c r="Q315">
        <f t="shared" si="48"/>
        <v>0</v>
      </c>
      <c r="R315">
        <f t="shared" si="44"/>
        <v>0</v>
      </c>
    </row>
    <row r="316" spans="1:18" x14ac:dyDescent="0.3">
      <c r="A316">
        <f t="shared" si="49"/>
        <v>313</v>
      </c>
      <c r="B316">
        <f t="shared" si="50"/>
        <v>27</v>
      </c>
      <c r="C316">
        <f t="shared" si="51"/>
        <v>318</v>
      </c>
      <c r="D316">
        <f t="shared" si="45"/>
        <v>27</v>
      </c>
      <c r="E316">
        <f>[1]model_point!$C$2+D316-1</f>
        <v>31</v>
      </c>
      <c r="F316">
        <f>VLOOKUP(E316,'[1]202512 BE mortality'!$A:$C,3,0)</f>
        <v>1.0711993415442999E-3</v>
      </c>
      <c r="G316">
        <f>VLOOKUP(D316,'[1]202512 BE lapse'!$C:$D,2,0)</f>
        <v>6.2131765246914951E-3</v>
      </c>
      <c r="H316">
        <f>VLOOKUP($B316,'[1]202512 RFR'!$A:$B,2,0)</f>
        <v>1.4999999999999999E-2</v>
      </c>
      <c r="I316">
        <f t="shared" si="52"/>
        <v>1.5813702625198574</v>
      </c>
      <c r="J316">
        <f t="shared" si="53"/>
        <v>1.4124553406539165E-4</v>
      </c>
      <c r="K316">
        <f t="shared" si="54"/>
        <v>0</v>
      </c>
      <c r="L316">
        <f t="shared" si="46"/>
        <v>0.7448910660400534</v>
      </c>
      <c r="M316">
        <f>IF(AND(MOD(C316,12)=1,D316&lt;='[1]Product parameters'!$C$2),I315*[1]model_point!$G$2,0)</f>
        <v>0</v>
      </c>
      <c r="N316">
        <f t="shared" si="47"/>
        <v>0</v>
      </c>
      <c r="O316">
        <f>[2]results_sample_product_cf!G315</f>
        <v>0</v>
      </c>
      <c r="P316">
        <f>[2]results_sample_product_cf!H315</f>
        <v>0</v>
      </c>
      <c r="Q316">
        <f t="shared" si="48"/>
        <v>0</v>
      </c>
      <c r="R316">
        <f t="shared" si="44"/>
        <v>0</v>
      </c>
    </row>
    <row r="317" spans="1:18" x14ac:dyDescent="0.3">
      <c r="A317">
        <f t="shared" si="49"/>
        <v>314</v>
      </c>
      <c r="B317">
        <f t="shared" si="50"/>
        <v>27</v>
      </c>
      <c r="C317">
        <f t="shared" si="51"/>
        <v>319</v>
      </c>
      <c r="D317">
        <f t="shared" si="45"/>
        <v>27</v>
      </c>
      <c r="E317">
        <f>[1]model_point!$C$2+D317-1</f>
        <v>31</v>
      </c>
      <c r="F317">
        <f>VLOOKUP(E317,'[1]202512 BE mortality'!$A:$C,3,0)</f>
        <v>1.0711993415442999E-3</v>
      </c>
      <c r="G317">
        <f>VLOOKUP(D317,'[1]202512 BE lapse'!$C:$D,2,0)</f>
        <v>6.2131765246914951E-3</v>
      </c>
      <c r="H317">
        <f>VLOOKUP($B317,'[1]202512 RFR'!$A:$B,2,0)</f>
        <v>1.4999999999999999E-2</v>
      </c>
      <c r="I317">
        <f t="shared" si="52"/>
        <v>1.5812290296004967</v>
      </c>
      <c r="J317">
        <f t="shared" si="53"/>
        <v>1.412329193605401E-4</v>
      </c>
      <c r="K317">
        <f t="shared" si="54"/>
        <v>0</v>
      </c>
      <c r="L317">
        <f t="shared" si="46"/>
        <v>0.7439674396023489</v>
      </c>
      <c r="M317">
        <f>IF(AND(MOD(C317,12)=1,D317&lt;='[1]Product parameters'!$C$2),I316*[1]model_point!$G$2,0)</f>
        <v>0</v>
      </c>
      <c r="N317">
        <f t="shared" si="47"/>
        <v>0</v>
      </c>
      <c r="O317">
        <f>[2]results_sample_product_cf!G316</f>
        <v>0</v>
      </c>
      <c r="P317">
        <f>[2]results_sample_product_cf!H316</f>
        <v>0</v>
      </c>
      <c r="Q317">
        <f t="shared" si="48"/>
        <v>0</v>
      </c>
      <c r="R317">
        <f t="shared" si="44"/>
        <v>0</v>
      </c>
    </row>
    <row r="318" spans="1:18" x14ac:dyDescent="0.3">
      <c r="A318">
        <f t="shared" si="49"/>
        <v>315</v>
      </c>
      <c r="B318">
        <f t="shared" si="50"/>
        <v>27</v>
      </c>
      <c r="C318">
        <f t="shared" si="51"/>
        <v>320</v>
      </c>
      <c r="D318">
        <f t="shared" si="45"/>
        <v>27</v>
      </c>
      <c r="E318">
        <f>[1]model_point!$C$2+D318-1</f>
        <v>31</v>
      </c>
      <c r="F318">
        <f>VLOOKUP(E318,'[1]202512 BE mortality'!$A:$C,3,0)</f>
        <v>1.0711993415442999E-3</v>
      </c>
      <c r="G318">
        <f>VLOOKUP(D318,'[1]202512 BE lapse'!$C:$D,2,0)</f>
        <v>6.2131765246914951E-3</v>
      </c>
      <c r="H318">
        <f>VLOOKUP($B318,'[1]202512 RFR'!$A:$B,2,0)</f>
        <v>1.4999999999999999E-2</v>
      </c>
      <c r="I318">
        <f t="shared" si="52"/>
        <v>1.5810878092947145</v>
      </c>
      <c r="J318">
        <f t="shared" si="53"/>
        <v>1.4122030578231376E-4</v>
      </c>
      <c r="K318">
        <f t="shared" si="54"/>
        <v>0</v>
      </c>
      <c r="L318">
        <f t="shared" si="46"/>
        <v>0.74304495841370877</v>
      </c>
      <c r="M318">
        <f>IF(AND(MOD(C318,12)=1,D318&lt;='[1]Product parameters'!$C$2),I317*[1]model_point!$G$2,0)</f>
        <v>0</v>
      </c>
      <c r="N318">
        <f t="shared" si="47"/>
        <v>0</v>
      </c>
      <c r="O318">
        <f>[2]results_sample_product_cf!G317</f>
        <v>0</v>
      </c>
      <c r="P318">
        <f>[2]results_sample_product_cf!H317</f>
        <v>0</v>
      </c>
      <c r="Q318">
        <f t="shared" si="48"/>
        <v>0</v>
      </c>
      <c r="R318">
        <f t="shared" si="44"/>
        <v>0</v>
      </c>
    </row>
    <row r="319" spans="1:18" x14ac:dyDescent="0.3">
      <c r="A319">
        <f t="shared" si="49"/>
        <v>316</v>
      </c>
      <c r="B319">
        <f t="shared" si="50"/>
        <v>27</v>
      </c>
      <c r="C319">
        <f t="shared" si="51"/>
        <v>321</v>
      </c>
      <c r="D319">
        <f t="shared" si="45"/>
        <v>27</v>
      </c>
      <c r="E319">
        <f>[1]model_point!$C$2+D319-1</f>
        <v>31</v>
      </c>
      <c r="F319">
        <f>VLOOKUP(E319,'[1]202512 BE mortality'!$A:$C,3,0)</f>
        <v>1.0711993415442999E-3</v>
      </c>
      <c r="G319">
        <f>VLOOKUP(D319,'[1]202512 BE lapse'!$C:$D,2,0)</f>
        <v>6.2131765246914951E-3</v>
      </c>
      <c r="H319">
        <f>VLOOKUP($B319,'[1]202512 RFR'!$A:$B,2,0)</f>
        <v>1.4999999999999999E-2</v>
      </c>
      <c r="I319">
        <f t="shared" si="52"/>
        <v>1.5809466016013838</v>
      </c>
      <c r="J319">
        <f t="shared" si="53"/>
        <v>1.4120769333061202E-4</v>
      </c>
      <c r="K319">
        <f t="shared" si="54"/>
        <v>0</v>
      </c>
      <c r="L319">
        <f t="shared" si="46"/>
        <v>0.74212362105408325</v>
      </c>
      <c r="M319">
        <f>IF(AND(MOD(C319,12)=1,D319&lt;='[1]Product parameters'!$C$2),I318*[1]model_point!$G$2,0)</f>
        <v>0</v>
      </c>
      <c r="N319">
        <f t="shared" si="47"/>
        <v>0</v>
      </c>
      <c r="O319">
        <f>[2]results_sample_product_cf!G318</f>
        <v>0</v>
      </c>
      <c r="P319">
        <f>[2]results_sample_product_cf!H318</f>
        <v>0</v>
      </c>
      <c r="Q319">
        <f t="shared" si="48"/>
        <v>0</v>
      </c>
      <c r="R319">
        <f t="shared" si="44"/>
        <v>0</v>
      </c>
    </row>
    <row r="320" spans="1:18" x14ac:dyDescent="0.3">
      <c r="A320">
        <f t="shared" si="49"/>
        <v>317</v>
      </c>
      <c r="B320">
        <f t="shared" si="50"/>
        <v>27</v>
      </c>
      <c r="C320">
        <f t="shared" si="51"/>
        <v>322</v>
      </c>
      <c r="D320">
        <f t="shared" si="45"/>
        <v>27</v>
      </c>
      <c r="E320">
        <f>[1]model_point!$C$2+D320-1</f>
        <v>31</v>
      </c>
      <c r="F320">
        <f>VLOOKUP(E320,'[1]202512 BE mortality'!$A:$C,3,0)</f>
        <v>1.0711993415442999E-3</v>
      </c>
      <c r="G320">
        <f>VLOOKUP(D320,'[1]202512 BE lapse'!$C:$D,2,0)</f>
        <v>6.2131765246914951E-3</v>
      </c>
      <c r="H320">
        <f>VLOOKUP($B320,'[1]202512 RFR'!$A:$B,2,0)</f>
        <v>1.4999999999999999E-2</v>
      </c>
      <c r="I320">
        <f t="shared" si="52"/>
        <v>1.5808054065193784</v>
      </c>
      <c r="J320">
        <f t="shared" si="53"/>
        <v>1.4119508200533421E-4</v>
      </c>
      <c r="K320">
        <f t="shared" si="54"/>
        <v>0</v>
      </c>
      <c r="L320">
        <f t="shared" si="46"/>
        <v>0.74120342610518353</v>
      </c>
      <c r="M320">
        <f>IF(AND(MOD(C320,12)=1,D320&lt;='[1]Product parameters'!$C$2),I319*[1]model_point!$G$2,0)</f>
        <v>0</v>
      </c>
      <c r="N320">
        <f t="shared" si="47"/>
        <v>0</v>
      </c>
      <c r="O320">
        <f>[2]results_sample_product_cf!G319</f>
        <v>0</v>
      </c>
      <c r="P320">
        <f>[2]results_sample_product_cf!H319</f>
        <v>0</v>
      </c>
      <c r="Q320">
        <f t="shared" si="48"/>
        <v>0</v>
      </c>
      <c r="R320">
        <f t="shared" si="44"/>
        <v>0</v>
      </c>
    </row>
    <row r="321" spans="1:18" x14ac:dyDescent="0.3">
      <c r="A321">
        <f t="shared" si="49"/>
        <v>318</v>
      </c>
      <c r="B321">
        <f t="shared" si="50"/>
        <v>27</v>
      </c>
      <c r="C321">
        <f t="shared" si="51"/>
        <v>323</v>
      </c>
      <c r="D321">
        <f t="shared" si="45"/>
        <v>27</v>
      </c>
      <c r="E321">
        <f>[1]model_point!$C$2+D321-1</f>
        <v>31</v>
      </c>
      <c r="F321">
        <f>VLOOKUP(E321,'[1]202512 BE mortality'!$A:$C,3,0)</f>
        <v>1.0711993415442999E-3</v>
      </c>
      <c r="G321">
        <f>VLOOKUP(D321,'[1]202512 BE lapse'!$C:$D,2,0)</f>
        <v>6.2131765246914951E-3</v>
      </c>
      <c r="H321">
        <f>VLOOKUP($B321,'[1]202512 RFR'!$A:$B,2,0)</f>
        <v>1.4999999999999999E-2</v>
      </c>
      <c r="I321">
        <f t="shared" si="52"/>
        <v>1.5806642240475721</v>
      </c>
      <c r="J321">
        <f t="shared" si="53"/>
        <v>1.411824718063798E-4</v>
      </c>
      <c r="K321">
        <f t="shared" si="54"/>
        <v>0</v>
      </c>
      <c r="L321">
        <f t="shared" si="46"/>
        <v>0.74028437215047938</v>
      </c>
      <c r="M321">
        <f>IF(AND(MOD(C321,12)=1,D321&lt;='[1]Product parameters'!$C$2),I320*[1]model_point!$G$2,0)</f>
        <v>0</v>
      </c>
      <c r="N321">
        <f t="shared" si="47"/>
        <v>0</v>
      </c>
      <c r="O321">
        <f>[2]results_sample_product_cf!G320</f>
        <v>0</v>
      </c>
      <c r="P321">
        <f>[2]results_sample_product_cf!H320</f>
        <v>0</v>
      </c>
      <c r="Q321">
        <f t="shared" si="48"/>
        <v>0</v>
      </c>
      <c r="R321">
        <f t="shared" si="44"/>
        <v>0</v>
      </c>
    </row>
    <row r="322" spans="1:18" x14ac:dyDescent="0.3">
      <c r="A322">
        <f t="shared" si="49"/>
        <v>319</v>
      </c>
      <c r="B322">
        <f t="shared" si="50"/>
        <v>27</v>
      </c>
      <c r="C322">
        <f t="shared" si="51"/>
        <v>324</v>
      </c>
      <c r="D322">
        <f t="shared" si="45"/>
        <v>27</v>
      </c>
      <c r="E322">
        <f>[1]model_point!$C$2+D322-1</f>
        <v>31</v>
      </c>
      <c r="F322">
        <f>VLOOKUP(E322,'[1]202512 BE mortality'!$A:$C,3,0)</f>
        <v>1.0711993415442999E-3</v>
      </c>
      <c r="G322">
        <f>VLOOKUP(D322,'[1]202512 BE lapse'!$C:$D,2,0)</f>
        <v>6.2131765246914951E-3</v>
      </c>
      <c r="H322">
        <f>VLOOKUP($B322,'[1]202512 RFR'!$A:$B,2,0)</f>
        <v>1.4999999999999999E-2</v>
      </c>
      <c r="I322">
        <f t="shared" si="52"/>
        <v>1.5707029854478436</v>
      </c>
      <c r="J322">
        <f t="shared" si="53"/>
        <v>1.4116986273364818E-4</v>
      </c>
      <c r="K322">
        <f t="shared" si="54"/>
        <v>9.820068736994942E-3</v>
      </c>
      <c r="L322">
        <f t="shared" si="46"/>
        <v>0.73936645777519683</v>
      </c>
      <c r="M322">
        <f>IF(AND(MOD(C322,12)=1,D322&lt;='[1]Product parameters'!$C$2),I321*[1]model_point!$G$2,0)</f>
        <v>0</v>
      </c>
      <c r="N322">
        <f t="shared" si="47"/>
        <v>0</v>
      </c>
      <c r="O322">
        <f>[2]results_sample_product_cf!G321</f>
        <v>0</v>
      </c>
      <c r="P322">
        <f>[2]results_sample_product_cf!H321</f>
        <v>0</v>
      </c>
      <c r="Q322">
        <f t="shared" si="48"/>
        <v>0</v>
      </c>
      <c r="R322">
        <f t="shared" si="44"/>
        <v>0</v>
      </c>
    </row>
    <row r="323" spans="1:18" x14ac:dyDescent="0.3">
      <c r="A323">
        <f t="shared" si="49"/>
        <v>320</v>
      </c>
      <c r="B323">
        <f t="shared" si="50"/>
        <v>27</v>
      </c>
      <c r="C323">
        <f t="shared" si="51"/>
        <v>325</v>
      </c>
      <c r="D323">
        <f t="shared" si="45"/>
        <v>28</v>
      </c>
      <c r="E323">
        <f>[1]model_point!$C$2+D323-1</f>
        <v>32</v>
      </c>
      <c r="F323">
        <f>VLOOKUP(E323,'[1]202512 BE mortality'!$A:$C,3,0)</f>
        <v>5.821706736288932E-3</v>
      </c>
      <c r="G323">
        <f>VLOOKUP(D323,'[1]202512 BE lapse'!$C:$D,2,0)</f>
        <v>5.6696149302971064E-4</v>
      </c>
      <c r="H323">
        <f>VLOOKUP($B323,'[1]202512 RFR'!$A:$B,2,0)</f>
        <v>1.4999999999999999E-2</v>
      </c>
      <c r="I323">
        <f t="shared" si="52"/>
        <v>1.569938930237722</v>
      </c>
      <c r="J323">
        <f t="shared" si="53"/>
        <v>7.6405521012147168E-4</v>
      </c>
      <c r="K323">
        <f t="shared" si="54"/>
        <v>0</v>
      </c>
      <c r="L323">
        <f t="shared" si="46"/>
        <v>0.73844968156631641</v>
      </c>
      <c r="M323">
        <f>IF(AND(MOD(C323,12)=1,D323&lt;='[1]Product parameters'!$C$2),I322*[1]model_point!$G$2,0)</f>
        <v>0</v>
      </c>
      <c r="N323">
        <f t="shared" si="47"/>
        <v>0</v>
      </c>
      <c r="O323">
        <f>[2]results_sample_product_cf!G322</f>
        <v>0</v>
      </c>
      <c r="P323">
        <f>[2]results_sample_product_cf!H322</f>
        <v>0</v>
      </c>
      <c r="Q323">
        <f t="shared" si="48"/>
        <v>0</v>
      </c>
      <c r="R323">
        <f t="shared" ref="R323:R386" si="55">ROUND(N323-P323,6)</f>
        <v>0</v>
      </c>
    </row>
    <row r="324" spans="1:18" x14ac:dyDescent="0.3">
      <c r="A324">
        <f t="shared" si="49"/>
        <v>321</v>
      </c>
      <c r="B324">
        <f t="shared" si="50"/>
        <v>27</v>
      </c>
      <c r="C324">
        <f t="shared" si="51"/>
        <v>326</v>
      </c>
      <c r="D324">
        <f t="shared" ref="D324:D387" si="56">TRUNC((C324-1)/12,0)+1</f>
        <v>28</v>
      </c>
      <c r="E324">
        <f>[1]model_point!$C$2+D324-1</f>
        <v>32</v>
      </c>
      <c r="F324">
        <f>VLOOKUP(E324,'[1]202512 BE mortality'!$A:$C,3,0)</f>
        <v>5.821706736288932E-3</v>
      </c>
      <c r="G324">
        <f>VLOOKUP(D324,'[1]202512 BE lapse'!$C:$D,2,0)</f>
        <v>5.6696149302971064E-4</v>
      </c>
      <c r="H324">
        <f>VLOOKUP($B324,'[1]202512 RFR'!$A:$B,2,0)</f>
        <v>1.4999999999999999E-2</v>
      </c>
      <c r="I324">
        <f t="shared" si="52"/>
        <v>1.5691752466958087</v>
      </c>
      <c r="J324">
        <f t="shared" si="53"/>
        <v>7.636835419133365E-4</v>
      </c>
      <c r="K324">
        <f t="shared" si="54"/>
        <v>0</v>
      </c>
      <c r="L324">
        <f t="shared" ref="L324:L387" si="57">L323/(1+H324)^(1/12)</f>
        <v>0.73753404211257045</v>
      </c>
      <c r="M324">
        <f>IF(AND(MOD(C324,12)=1,D324&lt;='[1]Product parameters'!$C$2),I323*[1]model_point!$G$2,0)</f>
        <v>0</v>
      </c>
      <c r="N324">
        <f t="shared" ref="N324:N387" si="58">SUMPRODUCT(L324:L1523,M325:M1524)/L324</f>
        <v>0</v>
      </c>
      <c r="O324">
        <f>[2]results_sample_product_cf!G323</f>
        <v>0</v>
      </c>
      <c r="P324">
        <f>[2]results_sample_product_cf!H323</f>
        <v>0</v>
      </c>
      <c r="Q324">
        <f t="shared" ref="Q324:Q387" si="59">ROUND(M324-O324,6)</f>
        <v>0</v>
      </c>
      <c r="R324">
        <f t="shared" si="55"/>
        <v>0</v>
      </c>
    </row>
    <row r="325" spans="1:18" x14ac:dyDescent="0.3">
      <c r="A325">
        <f t="shared" ref="A325:A388" si="60">A324+1</f>
        <v>322</v>
      </c>
      <c r="B325">
        <f t="shared" ref="B325:B388" si="61">INT((A325-1)/12)+1</f>
        <v>27</v>
      </c>
      <c r="C325">
        <f t="shared" ref="C325:C388" si="62">C324+1</f>
        <v>327</v>
      </c>
      <c r="D325">
        <f t="shared" si="56"/>
        <v>28</v>
      </c>
      <c r="E325">
        <f>[1]model_point!$C$2+D325-1</f>
        <v>32</v>
      </c>
      <c r="F325">
        <f>VLOOKUP(E325,'[1]202512 BE mortality'!$A:$C,3,0)</f>
        <v>5.821706736288932E-3</v>
      </c>
      <c r="G325">
        <f>VLOOKUP(D325,'[1]202512 BE lapse'!$C:$D,2,0)</f>
        <v>5.6696149302971064E-4</v>
      </c>
      <c r="H325">
        <f>VLOOKUP($B325,'[1]202512 RFR'!$A:$B,2,0)</f>
        <v>1.4999999999999999E-2</v>
      </c>
      <c r="I325">
        <f t="shared" ref="I325:I388" si="63">I324-J325-K325</f>
        <v>1.5684119346413086</v>
      </c>
      <c r="J325">
        <f t="shared" ref="J325:J388" si="64">I324*(1-(1-F325)^(1/12))</f>
        <v>7.6331205450006433E-4</v>
      </c>
      <c r="K325">
        <f t="shared" ref="K325:K388" si="65">(I324-J325)*IF(MOD(C325,12)=0,G325,0)</f>
        <v>0</v>
      </c>
      <c r="L325">
        <f t="shared" si="57"/>
        <v>0.73661953800444135</v>
      </c>
      <c r="M325">
        <f>IF(AND(MOD(C325,12)=1,D325&lt;='[1]Product parameters'!$C$2),I324*[1]model_point!$G$2,0)</f>
        <v>0</v>
      </c>
      <c r="N325">
        <f t="shared" si="58"/>
        <v>0</v>
      </c>
      <c r="O325">
        <f>[2]results_sample_product_cf!G324</f>
        <v>0</v>
      </c>
      <c r="P325">
        <f>[2]results_sample_product_cf!H324</f>
        <v>0</v>
      </c>
      <c r="Q325">
        <f t="shared" si="59"/>
        <v>0</v>
      </c>
      <c r="R325">
        <f t="shared" si="55"/>
        <v>0</v>
      </c>
    </row>
    <row r="326" spans="1:18" x14ac:dyDescent="0.3">
      <c r="A326">
        <f t="shared" si="60"/>
        <v>323</v>
      </c>
      <c r="B326">
        <f t="shared" si="61"/>
        <v>27</v>
      </c>
      <c r="C326">
        <f t="shared" si="62"/>
        <v>328</v>
      </c>
      <c r="D326">
        <f t="shared" si="56"/>
        <v>28</v>
      </c>
      <c r="E326">
        <f>[1]model_point!$C$2+D326-1</f>
        <v>32</v>
      </c>
      <c r="F326">
        <f>VLOOKUP(E326,'[1]202512 BE mortality'!$A:$C,3,0)</f>
        <v>5.821706736288932E-3</v>
      </c>
      <c r="G326">
        <f>VLOOKUP(D326,'[1]202512 BE lapse'!$C:$D,2,0)</f>
        <v>5.6696149302971064E-4</v>
      </c>
      <c r="H326">
        <f>VLOOKUP($B326,'[1]202512 RFR'!$A:$B,2,0)</f>
        <v>1.4999999999999999E-2</v>
      </c>
      <c r="I326">
        <f t="shared" si="63"/>
        <v>1.5676489938935148</v>
      </c>
      <c r="J326">
        <f t="shared" si="64"/>
        <v>7.6294074779370894E-4</v>
      </c>
      <c r="K326">
        <f t="shared" si="65"/>
        <v>0</v>
      </c>
      <c r="L326">
        <f t="shared" si="57"/>
        <v>0.73570616783415932</v>
      </c>
      <c r="M326">
        <f>IF(AND(MOD(C326,12)=1,D326&lt;='[1]Product parameters'!$C$2),I325*[1]model_point!$G$2,0)</f>
        <v>0</v>
      </c>
      <c r="N326">
        <f t="shared" si="58"/>
        <v>0</v>
      </c>
      <c r="O326">
        <f>[2]results_sample_product_cf!G325</f>
        <v>0</v>
      </c>
      <c r="P326">
        <f>[2]results_sample_product_cf!H325</f>
        <v>0</v>
      </c>
      <c r="Q326">
        <f t="shared" si="59"/>
        <v>0</v>
      </c>
      <c r="R326">
        <f t="shared" si="55"/>
        <v>0</v>
      </c>
    </row>
    <row r="327" spans="1:18" x14ac:dyDescent="0.3">
      <c r="A327">
        <f t="shared" si="60"/>
        <v>324</v>
      </c>
      <c r="B327">
        <f t="shared" si="61"/>
        <v>27</v>
      </c>
      <c r="C327">
        <f t="shared" si="62"/>
        <v>329</v>
      </c>
      <c r="D327">
        <f t="shared" si="56"/>
        <v>28</v>
      </c>
      <c r="E327">
        <f>[1]model_point!$C$2+D327-1</f>
        <v>32</v>
      </c>
      <c r="F327">
        <f>VLOOKUP(E327,'[1]202512 BE mortality'!$A:$C,3,0)</f>
        <v>5.821706736288932E-3</v>
      </c>
      <c r="G327">
        <f>VLOOKUP(D327,'[1]202512 BE lapse'!$C:$D,2,0)</f>
        <v>5.6696149302971064E-4</v>
      </c>
      <c r="H327">
        <f>VLOOKUP($B327,'[1]202512 RFR'!$A:$B,2,0)</f>
        <v>1.4999999999999999E-2</v>
      </c>
      <c r="I327">
        <f t="shared" si="63"/>
        <v>1.5668864242718084</v>
      </c>
      <c r="J327">
        <f t="shared" si="64"/>
        <v>7.6256962170636678E-4</v>
      </c>
      <c r="K327">
        <f t="shared" si="65"/>
        <v>0</v>
      </c>
      <c r="L327">
        <f t="shared" si="57"/>
        <v>0.73479393019569983</v>
      </c>
      <c r="M327">
        <f>IF(AND(MOD(C327,12)=1,D327&lt;='[1]Product parameters'!$C$2),I326*[1]model_point!$G$2,0)</f>
        <v>0</v>
      </c>
      <c r="N327">
        <f t="shared" si="58"/>
        <v>0</v>
      </c>
      <c r="O327">
        <f>[2]results_sample_product_cf!G326</f>
        <v>0</v>
      </c>
      <c r="P327">
        <f>[2]results_sample_product_cf!H326</f>
        <v>0</v>
      </c>
      <c r="Q327">
        <f t="shared" si="59"/>
        <v>0</v>
      </c>
      <c r="R327">
        <f t="shared" si="55"/>
        <v>0</v>
      </c>
    </row>
    <row r="328" spans="1:18" x14ac:dyDescent="0.3">
      <c r="A328">
        <f t="shared" si="60"/>
        <v>325</v>
      </c>
      <c r="B328">
        <f t="shared" si="61"/>
        <v>28</v>
      </c>
      <c r="C328">
        <f t="shared" si="62"/>
        <v>330</v>
      </c>
      <c r="D328">
        <f t="shared" si="56"/>
        <v>28</v>
      </c>
      <c r="E328">
        <f>[1]model_point!$C$2+D328-1</f>
        <v>32</v>
      </c>
      <c r="F328">
        <f>VLOOKUP(E328,'[1]202512 BE mortality'!$A:$C,3,0)</f>
        <v>5.821706736288932E-3</v>
      </c>
      <c r="G328">
        <f>VLOOKUP(D328,'[1]202512 BE lapse'!$C:$D,2,0)</f>
        <v>5.6696149302971064E-4</v>
      </c>
      <c r="H328">
        <f>VLOOKUP($B328,'[1]202512 RFR'!$A:$B,2,0)</f>
        <v>1.4999999999999999E-2</v>
      </c>
      <c r="I328">
        <f t="shared" si="63"/>
        <v>1.5661242255956582</v>
      </c>
      <c r="J328">
        <f t="shared" si="64"/>
        <v>7.6219867615017747E-4</v>
      </c>
      <c r="K328">
        <f t="shared" si="65"/>
        <v>0</v>
      </c>
      <c r="L328">
        <f t="shared" si="57"/>
        <v>0.73388282368478208</v>
      </c>
      <c r="M328">
        <f>IF(AND(MOD(C328,12)=1,D328&lt;='[1]Product parameters'!$C$2),I327*[1]model_point!$G$2,0)</f>
        <v>0</v>
      </c>
      <c r="N328">
        <f t="shared" si="58"/>
        <v>0</v>
      </c>
      <c r="O328">
        <f>[2]results_sample_product_cf!G327</f>
        <v>0</v>
      </c>
      <c r="P328">
        <f>[2]results_sample_product_cf!H327</f>
        <v>0</v>
      </c>
      <c r="Q328">
        <f t="shared" si="59"/>
        <v>0</v>
      </c>
      <c r="R328">
        <f t="shared" si="55"/>
        <v>0</v>
      </c>
    </row>
    <row r="329" spans="1:18" x14ac:dyDescent="0.3">
      <c r="A329">
        <f t="shared" si="60"/>
        <v>326</v>
      </c>
      <c r="B329">
        <f t="shared" si="61"/>
        <v>28</v>
      </c>
      <c r="C329">
        <f t="shared" si="62"/>
        <v>331</v>
      </c>
      <c r="D329">
        <f t="shared" si="56"/>
        <v>28</v>
      </c>
      <c r="E329">
        <f>[1]model_point!$C$2+D329-1</f>
        <v>32</v>
      </c>
      <c r="F329">
        <f>VLOOKUP(E329,'[1]202512 BE mortality'!$A:$C,3,0)</f>
        <v>5.821706736288932E-3</v>
      </c>
      <c r="G329">
        <f>VLOOKUP(D329,'[1]202512 BE lapse'!$C:$D,2,0)</f>
        <v>5.6696149302971064E-4</v>
      </c>
      <c r="H329">
        <f>VLOOKUP($B329,'[1]202512 RFR'!$A:$B,2,0)</f>
        <v>1.4999999999999999E-2</v>
      </c>
      <c r="I329">
        <f t="shared" si="63"/>
        <v>1.5653623976846209</v>
      </c>
      <c r="J329">
        <f t="shared" si="64"/>
        <v>7.6182791103732313E-4</v>
      </c>
      <c r="K329">
        <f t="shared" si="65"/>
        <v>0</v>
      </c>
      <c r="L329">
        <f t="shared" si="57"/>
        <v>0.73297284689886633</v>
      </c>
      <c r="M329">
        <f>IF(AND(MOD(C329,12)=1,D329&lt;='[1]Product parameters'!$C$2),I328*[1]model_point!$G$2,0)</f>
        <v>0</v>
      </c>
      <c r="N329">
        <f t="shared" si="58"/>
        <v>0</v>
      </c>
      <c r="O329">
        <f>[2]results_sample_product_cf!G328</f>
        <v>0</v>
      </c>
      <c r="P329">
        <f>[2]results_sample_product_cf!H328</f>
        <v>0</v>
      </c>
      <c r="Q329">
        <f t="shared" si="59"/>
        <v>0</v>
      </c>
      <c r="R329">
        <f t="shared" si="55"/>
        <v>0</v>
      </c>
    </row>
    <row r="330" spans="1:18" x14ac:dyDescent="0.3">
      <c r="A330">
        <f t="shared" si="60"/>
        <v>327</v>
      </c>
      <c r="B330">
        <f t="shared" si="61"/>
        <v>28</v>
      </c>
      <c r="C330">
        <f t="shared" si="62"/>
        <v>332</v>
      </c>
      <c r="D330">
        <f t="shared" si="56"/>
        <v>28</v>
      </c>
      <c r="E330">
        <f>[1]model_point!$C$2+D330-1</f>
        <v>32</v>
      </c>
      <c r="F330">
        <f>VLOOKUP(E330,'[1]202512 BE mortality'!$A:$C,3,0)</f>
        <v>5.821706736288932E-3</v>
      </c>
      <c r="G330">
        <f>VLOOKUP(D330,'[1]202512 BE lapse'!$C:$D,2,0)</f>
        <v>5.6696149302971064E-4</v>
      </c>
      <c r="H330">
        <f>VLOOKUP($B330,'[1]202512 RFR'!$A:$B,2,0)</f>
        <v>1.4999999999999999E-2</v>
      </c>
      <c r="I330">
        <f t="shared" si="63"/>
        <v>1.564600940358341</v>
      </c>
      <c r="J330">
        <f t="shared" si="64"/>
        <v>7.614573262800286E-4</v>
      </c>
      <c r="K330">
        <f t="shared" si="65"/>
        <v>0</v>
      </c>
      <c r="L330">
        <f t="shared" si="57"/>
        <v>0.73206399843715186</v>
      </c>
      <c r="M330">
        <f>IF(AND(MOD(C330,12)=1,D330&lt;='[1]Product parameters'!$C$2),I329*[1]model_point!$G$2,0)</f>
        <v>0</v>
      </c>
      <c r="N330">
        <f t="shared" si="58"/>
        <v>0</v>
      </c>
      <c r="O330">
        <f>[2]results_sample_product_cf!G329</f>
        <v>0</v>
      </c>
      <c r="P330">
        <f>[2]results_sample_product_cf!H329</f>
        <v>0</v>
      </c>
      <c r="Q330">
        <f t="shared" si="59"/>
        <v>0</v>
      </c>
      <c r="R330">
        <f t="shared" si="55"/>
        <v>0</v>
      </c>
    </row>
    <row r="331" spans="1:18" x14ac:dyDescent="0.3">
      <c r="A331">
        <f t="shared" si="60"/>
        <v>328</v>
      </c>
      <c r="B331">
        <f t="shared" si="61"/>
        <v>28</v>
      </c>
      <c r="C331">
        <f t="shared" si="62"/>
        <v>333</v>
      </c>
      <c r="D331">
        <f t="shared" si="56"/>
        <v>28</v>
      </c>
      <c r="E331">
        <f>[1]model_point!$C$2+D331-1</f>
        <v>32</v>
      </c>
      <c r="F331">
        <f>VLOOKUP(E331,'[1]202512 BE mortality'!$A:$C,3,0)</f>
        <v>5.821706736288932E-3</v>
      </c>
      <c r="G331">
        <f>VLOOKUP(D331,'[1]202512 BE lapse'!$C:$D,2,0)</f>
        <v>5.6696149302971064E-4</v>
      </c>
      <c r="H331">
        <f>VLOOKUP($B331,'[1]202512 RFR'!$A:$B,2,0)</f>
        <v>1.4999999999999999E-2</v>
      </c>
      <c r="I331">
        <f t="shared" si="63"/>
        <v>1.5638398534365503</v>
      </c>
      <c r="J331">
        <f t="shared" si="64"/>
        <v>7.6108692179056143E-4</v>
      </c>
      <c r="K331">
        <f t="shared" si="65"/>
        <v>0</v>
      </c>
      <c r="L331">
        <f t="shared" si="57"/>
        <v>0.73115627690057505</v>
      </c>
      <c r="M331">
        <f>IF(AND(MOD(C331,12)=1,D331&lt;='[1]Product parameters'!$C$2),I330*[1]model_point!$G$2,0)</f>
        <v>0</v>
      </c>
      <c r="N331">
        <f t="shared" si="58"/>
        <v>0</v>
      </c>
      <c r="O331">
        <f>[2]results_sample_product_cf!G330</f>
        <v>0</v>
      </c>
      <c r="P331">
        <f>[2]results_sample_product_cf!H330</f>
        <v>0</v>
      </c>
      <c r="Q331">
        <f t="shared" si="59"/>
        <v>0</v>
      </c>
      <c r="R331">
        <f t="shared" si="55"/>
        <v>0</v>
      </c>
    </row>
    <row r="332" spans="1:18" x14ac:dyDescent="0.3">
      <c r="A332">
        <f t="shared" si="60"/>
        <v>329</v>
      </c>
      <c r="B332">
        <f t="shared" si="61"/>
        <v>28</v>
      </c>
      <c r="C332">
        <f t="shared" si="62"/>
        <v>334</v>
      </c>
      <c r="D332">
        <f t="shared" si="56"/>
        <v>28</v>
      </c>
      <c r="E332">
        <f>[1]model_point!$C$2+D332-1</f>
        <v>32</v>
      </c>
      <c r="F332">
        <f>VLOOKUP(E332,'[1]202512 BE mortality'!$A:$C,3,0)</f>
        <v>5.821706736288932E-3</v>
      </c>
      <c r="G332">
        <f>VLOOKUP(D332,'[1]202512 BE lapse'!$C:$D,2,0)</f>
        <v>5.6696149302971064E-4</v>
      </c>
      <c r="H332">
        <f>VLOOKUP($B332,'[1]202512 RFR'!$A:$B,2,0)</f>
        <v>1.4999999999999999E-2</v>
      </c>
      <c r="I332">
        <f t="shared" si="63"/>
        <v>1.5630791367390691</v>
      </c>
      <c r="J332">
        <f t="shared" si="64"/>
        <v>7.6071669748123177E-4</v>
      </c>
      <c r="K332">
        <f t="shared" si="65"/>
        <v>0</v>
      </c>
      <c r="L332">
        <f t="shared" si="57"/>
        <v>0.73024968089180686</v>
      </c>
      <c r="M332">
        <f>IF(AND(MOD(C332,12)=1,D332&lt;='[1]Product parameters'!$C$2),I331*[1]model_point!$G$2,0)</f>
        <v>0</v>
      </c>
      <c r="N332">
        <f t="shared" si="58"/>
        <v>0</v>
      </c>
      <c r="O332">
        <f>[2]results_sample_product_cf!G331</f>
        <v>0</v>
      </c>
      <c r="P332">
        <f>[2]results_sample_product_cf!H331</f>
        <v>0</v>
      </c>
      <c r="Q332">
        <f t="shared" si="59"/>
        <v>0</v>
      </c>
      <c r="R332">
        <f t="shared" si="55"/>
        <v>0</v>
      </c>
    </row>
    <row r="333" spans="1:18" x14ac:dyDescent="0.3">
      <c r="A333">
        <f t="shared" si="60"/>
        <v>330</v>
      </c>
      <c r="B333">
        <f t="shared" si="61"/>
        <v>28</v>
      </c>
      <c r="C333">
        <f t="shared" si="62"/>
        <v>335</v>
      </c>
      <c r="D333">
        <f t="shared" si="56"/>
        <v>28</v>
      </c>
      <c r="E333">
        <f>[1]model_point!$C$2+D333-1</f>
        <v>32</v>
      </c>
      <c r="F333">
        <f>VLOOKUP(E333,'[1]202512 BE mortality'!$A:$C,3,0)</f>
        <v>5.821706736288932E-3</v>
      </c>
      <c r="G333">
        <f>VLOOKUP(D333,'[1]202512 BE lapse'!$C:$D,2,0)</f>
        <v>5.6696149302971064E-4</v>
      </c>
      <c r="H333">
        <f>VLOOKUP($B333,'[1]202512 RFR'!$A:$B,2,0)</f>
        <v>1.4999999999999999E-2</v>
      </c>
      <c r="I333">
        <f t="shared" si="63"/>
        <v>1.5623187900858047</v>
      </c>
      <c r="J333">
        <f t="shared" si="64"/>
        <v>7.6034665326439263E-4</v>
      </c>
      <c r="K333">
        <f t="shared" si="65"/>
        <v>0</v>
      </c>
      <c r="L333">
        <f t="shared" si="57"/>
        <v>0.72934420901525099</v>
      </c>
      <c r="M333">
        <f>IF(AND(MOD(C333,12)=1,D333&lt;='[1]Product parameters'!$C$2),I332*[1]model_point!$G$2,0)</f>
        <v>0</v>
      </c>
      <c r="N333">
        <f t="shared" si="58"/>
        <v>0</v>
      </c>
      <c r="O333">
        <f>[2]results_sample_product_cf!G332</f>
        <v>0</v>
      </c>
      <c r="P333">
        <f>[2]results_sample_product_cf!H332</f>
        <v>0</v>
      </c>
      <c r="Q333">
        <f t="shared" si="59"/>
        <v>0</v>
      </c>
      <c r="R333">
        <f t="shared" si="55"/>
        <v>0</v>
      </c>
    </row>
    <row r="334" spans="1:18" x14ac:dyDescent="0.3">
      <c r="A334">
        <f t="shared" si="60"/>
        <v>331</v>
      </c>
      <c r="B334">
        <f t="shared" si="61"/>
        <v>28</v>
      </c>
      <c r="C334">
        <f t="shared" si="62"/>
        <v>336</v>
      </c>
      <c r="D334">
        <f t="shared" si="56"/>
        <v>28</v>
      </c>
      <c r="E334">
        <f>[1]model_point!$C$2+D334-1</f>
        <v>32</v>
      </c>
      <c r="F334">
        <f>VLOOKUP(E334,'[1]202512 BE mortality'!$A:$C,3,0)</f>
        <v>5.821706736288932E-3</v>
      </c>
      <c r="G334">
        <f>VLOOKUP(D334,'[1]202512 BE lapse'!$C:$D,2,0)</f>
        <v>5.6696149302971064E-4</v>
      </c>
      <c r="H334">
        <f>VLOOKUP($B334,'[1]202512 RFR'!$A:$B,2,0)</f>
        <v>1.4999999999999999E-2</v>
      </c>
      <c r="I334">
        <f t="shared" si="63"/>
        <v>1.5606734695805118</v>
      </c>
      <c r="J334">
        <f t="shared" si="64"/>
        <v>7.5997678905243948E-4</v>
      </c>
      <c r="K334">
        <f t="shared" si="65"/>
        <v>8.8534371624042973E-4</v>
      </c>
      <c r="L334">
        <f t="shared" si="57"/>
        <v>0.72843985987704163</v>
      </c>
      <c r="M334">
        <f>IF(AND(MOD(C334,12)=1,D334&lt;='[1]Product parameters'!$C$2),I333*[1]model_point!$G$2,0)</f>
        <v>0</v>
      </c>
      <c r="N334">
        <f t="shared" si="58"/>
        <v>0</v>
      </c>
      <c r="O334">
        <f>[2]results_sample_product_cf!G333</f>
        <v>0</v>
      </c>
      <c r="P334">
        <f>[2]results_sample_product_cf!H333</f>
        <v>0</v>
      </c>
      <c r="Q334">
        <f t="shared" si="59"/>
        <v>0</v>
      </c>
      <c r="R334">
        <f t="shared" si="55"/>
        <v>0</v>
      </c>
    </row>
    <row r="335" spans="1:18" x14ac:dyDescent="0.3">
      <c r="A335">
        <f t="shared" si="60"/>
        <v>332</v>
      </c>
      <c r="B335">
        <f t="shared" si="61"/>
        <v>28</v>
      </c>
      <c r="C335">
        <f t="shared" si="62"/>
        <v>337</v>
      </c>
      <c r="D335">
        <f t="shared" si="56"/>
        <v>29</v>
      </c>
      <c r="E335">
        <f>[1]model_point!$C$2+D335-1</f>
        <v>33</v>
      </c>
      <c r="F335">
        <f>VLOOKUP(E335,'[1]202512 BE mortality'!$A:$C,3,0)</f>
        <v>8.5983593557415489E-3</v>
      </c>
      <c r="G335">
        <f>VLOOKUP(D335,'[1]202512 BE lapse'!$C:$D,2,0)</f>
        <v>4.4602451638933397E-3</v>
      </c>
      <c r="H335">
        <f>VLOOKUP($B335,'[1]202512 RFR'!$A:$B,2,0)</f>
        <v>1.4999999999999999E-2</v>
      </c>
      <c r="I335">
        <f t="shared" si="63"/>
        <v>1.5595507689370718</v>
      </c>
      <c r="J335">
        <f t="shared" si="64"/>
        <v>1.1227006434400735E-3</v>
      </c>
      <c r="K335">
        <f t="shared" si="65"/>
        <v>0</v>
      </c>
      <c r="L335">
        <f t="shared" si="57"/>
        <v>0.72753663208504116</v>
      </c>
      <c r="M335">
        <f>IF(AND(MOD(C335,12)=1,D335&lt;='[1]Product parameters'!$C$2),I334*[1]model_point!$G$2,0)</f>
        <v>0</v>
      </c>
      <c r="N335">
        <f t="shared" si="58"/>
        <v>0</v>
      </c>
      <c r="O335">
        <f>[2]results_sample_product_cf!G334</f>
        <v>0</v>
      </c>
      <c r="P335">
        <f>[2]results_sample_product_cf!H334</f>
        <v>0</v>
      </c>
      <c r="Q335">
        <f t="shared" si="59"/>
        <v>0</v>
      </c>
      <c r="R335">
        <f t="shared" si="55"/>
        <v>0</v>
      </c>
    </row>
    <row r="336" spans="1:18" x14ac:dyDescent="0.3">
      <c r="A336">
        <f t="shared" si="60"/>
        <v>333</v>
      </c>
      <c r="B336">
        <f t="shared" si="61"/>
        <v>28</v>
      </c>
      <c r="C336">
        <f t="shared" si="62"/>
        <v>338</v>
      </c>
      <c r="D336">
        <f t="shared" si="56"/>
        <v>29</v>
      </c>
      <c r="E336">
        <f>[1]model_point!$C$2+D336-1</f>
        <v>33</v>
      </c>
      <c r="F336">
        <f>VLOOKUP(E336,'[1]202512 BE mortality'!$A:$C,3,0)</f>
        <v>8.5983593557415489E-3</v>
      </c>
      <c r="G336">
        <f>VLOOKUP(D336,'[1]202512 BE lapse'!$C:$D,2,0)</f>
        <v>4.4602451638933397E-3</v>
      </c>
      <c r="H336">
        <f>VLOOKUP($B336,'[1]202512 RFR'!$A:$B,2,0)</f>
        <v>1.4999999999999999E-2</v>
      </c>
      <c r="I336">
        <f t="shared" si="63"/>
        <v>1.5584288759300524</v>
      </c>
      <c r="J336">
        <f t="shared" si="64"/>
        <v>1.1218930070194201E-3</v>
      </c>
      <c r="K336">
        <f t="shared" si="65"/>
        <v>0</v>
      </c>
      <c r="L336">
        <f t="shared" si="57"/>
        <v>0.72663452424883823</v>
      </c>
      <c r="M336">
        <f>IF(AND(MOD(C336,12)=1,D336&lt;='[1]Product parameters'!$C$2),I335*[1]model_point!$G$2,0)</f>
        <v>0</v>
      </c>
      <c r="N336">
        <f t="shared" si="58"/>
        <v>0</v>
      </c>
      <c r="O336">
        <f>[2]results_sample_product_cf!G335</f>
        <v>0</v>
      </c>
      <c r="P336">
        <f>[2]results_sample_product_cf!H335</f>
        <v>0</v>
      </c>
      <c r="Q336">
        <f t="shared" si="59"/>
        <v>0</v>
      </c>
      <c r="R336">
        <f t="shared" si="55"/>
        <v>0</v>
      </c>
    </row>
    <row r="337" spans="1:18" x14ac:dyDescent="0.3">
      <c r="A337">
        <f t="shared" si="60"/>
        <v>334</v>
      </c>
      <c r="B337">
        <f t="shared" si="61"/>
        <v>28</v>
      </c>
      <c r="C337">
        <f t="shared" si="62"/>
        <v>339</v>
      </c>
      <c r="D337">
        <f t="shared" si="56"/>
        <v>29</v>
      </c>
      <c r="E337">
        <f>[1]model_point!$C$2+D337-1</f>
        <v>33</v>
      </c>
      <c r="F337">
        <f>VLOOKUP(E337,'[1]202512 BE mortality'!$A:$C,3,0)</f>
        <v>8.5983593557415489E-3</v>
      </c>
      <c r="G337">
        <f>VLOOKUP(D337,'[1]202512 BE lapse'!$C:$D,2,0)</f>
        <v>4.4602451638933397E-3</v>
      </c>
      <c r="H337">
        <f>VLOOKUP($B337,'[1]202512 RFR'!$A:$B,2,0)</f>
        <v>1.4999999999999999E-2</v>
      </c>
      <c r="I337">
        <f t="shared" si="63"/>
        <v>1.5573077899784649</v>
      </c>
      <c r="J337">
        <f t="shared" si="64"/>
        <v>1.1210859515876455E-3</v>
      </c>
      <c r="K337">
        <f t="shared" si="65"/>
        <v>0</v>
      </c>
      <c r="L337">
        <f t="shared" si="57"/>
        <v>0.72573353497974558</v>
      </c>
      <c r="M337">
        <f>IF(AND(MOD(C337,12)=1,D337&lt;='[1]Product parameters'!$C$2),I336*[1]model_point!$G$2,0)</f>
        <v>0</v>
      </c>
      <c r="N337">
        <f t="shared" si="58"/>
        <v>0</v>
      </c>
      <c r="O337">
        <f>[2]results_sample_product_cf!G336</f>
        <v>0</v>
      </c>
      <c r="P337">
        <f>[2]results_sample_product_cf!H336</f>
        <v>0</v>
      </c>
      <c r="Q337">
        <f t="shared" si="59"/>
        <v>0</v>
      </c>
      <c r="R337">
        <f t="shared" si="55"/>
        <v>0</v>
      </c>
    </row>
    <row r="338" spans="1:18" x14ac:dyDescent="0.3">
      <c r="A338">
        <f t="shared" si="60"/>
        <v>335</v>
      </c>
      <c r="B338">
        <f t="shared" si="61"/>
        <v>28</v>
      </c>
      <c r="C338">
        <f t="shared" si="62"/>
        <v>340</v>
      </c>
      <c r="D338">
        <f t="shared" si="56"/>
        <v>29</v>
      </c>
      <c r="E338">
        <f>[1]model_point!$C$2+D338-1</f>
        <v>33</v>
      </c>
      <c r="F338">
        <f>VLOOKUP(E338,'[1]202512 BE mortality'!$A:$C,3,0)</f>
        <v>8.5983593557415489E-3</v>
      </c>
      <c r="G338">
        <f>VLOOKUP(D338,'[1]202512 BE lapse'!$C:$D,2,0)</f>
        <v>4.4602451638933397E-3</v>
      </c>
      <c r="H338">
        <f>VLOOKUP($B338,'[1]202512 RFR'!$A:$B,2,0)</f>
        <v>1.4999999999999999E-2</v>
      </c>
      <c r="I338">
        <f t="shared" si="63"/>
        <v>1.556187510501738</v>
      </c>
      <c r="J338">
        <f t="shared" si="64"/>
        <v>1.1202794767268039E-3</v>
      </c>
      <c r="K338">
        <f t="shared" si="65"/>
        <v>0</v>
      </c>
      <c r="L338">
        <f t="shared" si="57"/>
        <v>0.72483366289079776</v>
      </c>
      <c r="M338">
        <f>IF(AND(MOD(C338,12)=1,D338&lt;='[1]Product parameters'!$C$2),I337*[1]model_point!$G$2,0)</f>
        <v>0</v>
      </c>
      <c r="N338">
        <f t="shared" si="58"/>
        <v>0</v>
      </c>
      <c r="O338">
        <f>[2]results_sample_product_cf!G337</f>
        <v>0</v>
      </c>
      <c r="P338">
        <f>[2]results_sample_product_cf!H337</f>
        <v>0</v>
      </c>
      <c r="Q338">
        <f t="shared" si="59"/>
        <v>0</v>
      </c>
      <c r="R338">
        <f t="shared" si="55"/>
        <v>0</v>
      </c>
    </row>
    <row r="339" spans="1:18" x14ac:dyDescent="0.3">
      <c r="A339">
        <f t="shared" si="60"/>
        <v>336</v>
      </c>
      <c r="B339">
        <f t="shared" si="61"/>
        <v>28</v>
      </c>
      <c r="C339">
        <f t="shared" si="62"/>
        <v>341</v>
      </c>
      <c r="D339">
        <f t="shared" si="56"/>
        <v>29</v>
      </c>
      <c r="E339">
        <f>[1]model_point!$C$2+D339-1</f>
        <v>33</v>
      </c>
      <c r="F339">
        <f>VLOOKUP(E339,'[1]202512 BE mortality'!$A:$C,3,0)</f>
        <v>8.5983593557415489E-3</v>
      </c>
      <c r="G339">
        <f>VLOOKUP(D339,'[1]202512 BE lapse'!$C:$D,2,0)</f>
        <v>4.4602451638933397E-3</v>
      </c>
      <c r="H339">
        <f>VLOOKUP($B339,'[1]202512 RFR'!$A:$B,2,0)</f>
        <v>1.4999999999999999E-2</v>
      </c>
      <c r="I339">
        <f t="shared" si="63"/>
        <v>1.5550680369197187</v>
      </c>
      <c r="J339">
        <f t="shared" si="64"/>
        <v>1.1194735820192505E-3</v>
      </c>
      <c r="K339">
        <f t="shared" si="65"/>
        <v>0</v>
      </c>
      <c r="L339">
        <f t="shared" si="57"/>
        <v>0.72393490659674908</v>
      </c>
      <c r="M339">
        <f>IF(AND(MOD(C339,12)=1,D339&lt;='[1]Product parameters'!$C$2),I338*[1]model_point!$G$2,0)</f>
        <v>0</v>
      </c>
      <c r="N339">
        <f t="shared" si="58"/>
        <v>0</v>
      </c>
      <c r="O339">
        <f>[2]results_sample_product_cf!G338</f>
        <v>0</v>
      </c>
      <c r="P339">
        <f>[2]results_sample_product_cf!H338</f>
        <v>0</v>
      </c>
      <c r="Q339">
        <f t="shared" si="59"/>
        <v>0</v>
      </c>
      <c r="R339">
        <f t="shared" si="55"/>
        <v>0</v>
      </c>
    </row>
    <row r="340" spans="1:18" x14ac:dyDescent="0.3">
      <c r="A340">
        <f t="shared" si="60"/>
        <v>337</v>
      </c>
      <c r="B340">
        <f t="shared" si="61"/>
        <v>29</v>
      </c>
      <c r="C340">
        <f t="shared" si="62"/>
        <v>342</v>
      </c>
      <c r="D340">
        <f t="shared" si="56"/>
        <v>29</v>
      </c>
      <c r="E340">
        <f>[1]model_point!$C$2+D340-1</f>
        <v>33</v>
      </c>
      <c r="F340">
        <f>VLOOKUP(E340,'[1]202512 BE mortality'!$A:$C,3,0)</f>
        <v>8.5983593557415489E-3</v>
      </c>
      <c r="G340">
        <f>VLOOKUP(D340,'[1]202512 BE lapse'!$C:$D,2,0)</f>
        <v>4.4602451638933397E-3</v>
      </c>
      <c r="H340">
        <f>VLOOKUP($B340,'[1]202512 RFR'!$A:$B,2,0)</f>
        <v>1.4999999999999999E-2</v>
      </c>
      <c r="I340">
        <f t="shared" si="63"/>
        <v>1.5539493686526711</v>
      </c>
      <c r="J340">
        <f t="shared" si="64"/>
        <v>1.1186682670476407E-3</v>
      </c>
      <c r="K340">
        <f t="shared" si="65"/>
        <v>0</v>
      </c>
      <c r="L340">
        <f t="shared" si="57"/>
        <v>0.72303726471407148</v>
      </c>
      <c r="M340">
        <f>IF(AND(MOD(C340,12)=1,D340&lt;='[1]Product parameters'!$C$2),I339*[1]model_point!$G$2,0)</f>
        <v>0</v>
      </c>
      <c r="N340">
        <f t="shared" si="58"/>
        <v>0</v>
      </c>
      <c r="O340">
        <f>[2]results_sample_product_cf!G339</f>
        <v>0</v>
      </c>
      <c r="P340">
        <f>[2]results_sample_product_cf!H339</f>
        <v>0</v>
      </c>
      <c r="Q340">
        <f t="shared" si="59"/>
        <v>0</v>
      </c>
      <c r="R340">
        <f t="shared" si="55"/>
        <v>0</v>
      </c>
    </row>
    <row r="341" spans="1:18" x14ac:dyDescent="0.3">
      <c r="A341">
        <f t="shared" si="60"/>
        <v>338</v>
      </c>
      <c r="B341">
        <f t="shared" si="61"/>
        <v>29</v>
      </c>
      <c r="C341">
        <f t="shared" si="62"/>
        <v>343</v>
      </c>
      <c r="D341">
        <f t="shared" si="56"/>
        <v>29</v>
      </c>
      <c r="E341">
        <f>[1]model_point!$C$2+D341-1</f>
        <v>33</v>
      </c>
      <c r="F341">
        <f>VLOOKUP(E341,'[1]202512 BE mortality'!$A:$C,3,0)</f>
        <v>8.5983593557415489E-3</v>
      </c>
      <c r="G341">
        <f>VLOOKUP(D341,'[1]202512 BE lapse'!$C:$D,2,0)</f>
        <v>4.4602451638933397E-3</v>
      </c>
      <c r="H341">
        <f>VLOOKUP($B341,'[1]202512 RFR'!$A:$B,2,0)</f>
        <v>1.4999999999999999E-2</v>
      </c>
      <c r="I341">
        <f t="shared" si="63"/>
        <v>1.5528315051212762</v>
      </c>
      <c r="J341">
        <f t="shared" si="64"/>
        <v>1.1178635313949306E-3</v>
      </c>
      <c r="K341">
        <f t="shared" si="65"/>
        <v>0</v>
      </c>
      <c r="L341">
        <f t="shared" si="57"/>
        <v>0.72214073586095251</v>
      </c>
      <c r="M341">
        <f>IF(AND(MOD(C341,12)=1,D341&lt;='[1]Product parameters'!$C$2),I340*[1]model_point!$G$2,0)</f>
        <v>0</v>
      </c>
      <c r="N341">
        <f t="shared" si="58"/>
        <v>0</v>
      </c>
      <c r="O341">
        <f>[2]results_sample_product_cf!G340</f>
        <v>0</v>
      </c>
      <c r="P341">
        <f>[2]results_sample_product_cf!H340</f>
        <v>0</v>
      </c>
      <c r="Q341">
        <f t="shared" si="59"/>
        <v>0</v>
      </c>
      <c r="R341">
        <f t="shared" si="55"/>
        <v>0</v>
      </c>
    </row>
    <row r="342" spans="1:18" x14ac:dyDescent="0.3">
      <c r="A342">
        <f t="shared" si="60"/>
        <v>339</v>
      </c>
      <c r="B342">
        <f t="shared" si="61"/>
        <v>29</v>
      </c>
      <c r="C342">
        <f t="shared" si="62"/>
        <v>344</v>
      </c>
      <c r="D342">
        <f t="shared" si="56"/>
        <v>29</v>
      </c>
      <c r="E342">
        <f>[1]model_point!$C$2+D342-1</f>
        <v>33</v>
      </c>
      <c r="F342">
        <f>VLOOKUP(E342,'[1]202512 BE mortality'!$A:$C,3,0)</f>
        <v>8.5983593557415489E-3</v>
      </c>
      <c r="G342">
        <f>VLOOKUP(D342,'[1]202512 BE lapse'!$C:$D,2,0)</f>
        <v>4.4602451638933397E-3</v>
      </c>
      <c r="H342">
        <f>VLOOKUP($B342,'[1]202512 RFR'!$A:$B,2,0)</f>
        <v>1.4999999999999999E-2</v>
      </c>
      <c r="I342">
        <f t="shared" si="63"/>
        <v>1.5517144457466319</v>
      </c>
      <c r="J342">
        <f t="shared" si="64"/>
        <v>1.1170593746443755E-3</v>
      </c>
      <c r="K342">
        <f t="shared" si="65"/>
        <v>0</v>
      </c>
      <c r="L342">
        <f t="shared" si="57"/>
        <v>0.72124531865729291</v>
      </c>
      <c r="M342">
        <f>IF(AND(MOD(C342,12)=1,D342&lt;='[1]Product parameters'!$C$2),I341*[1]model_point!$G$2,0)</f>
        <v>0</v>
      </c>
      <c r="N342">
        <f t="shared" si="58"/>
        <v>0</v>
      </c>
      <c r="O342">
        <f>[2]results_sample_product_cf!G341</f>
        <v>0</v>
      </c>
      <c r="P342">
        <f>[2]results_sample_product_cf!H341</f>
        <v>0</v>
      </c>
      <c r="Q342">
        <f t="shared" si="59"/>
        <v>0</v>
      </c>
      <c r="R342">
        <f t="shared" si="55"/>
        <v>0</v>
      </c>
    </row>
    <row r="343" spans="1:18" x14ac:dyDescent="0.3">
      <c r="A343">
        <f t="shared" si="60"/>
        <v>340</v>
      </c>
      <c r="B343">
        <f t="shared" si="61"/>
        <v>29</v>
      </c>
      <c r="C343">
        <f t="shared" si="62"/>
        <v>345</v>
      </c>
      <c r="D343">
        <f t="shared" si="56"/>
        <v>29</v>
      </c>
      <c r="E343">
        <f>[1]model_point!$C$2+D343-1</f>
        <v>33</v>
      </c>
      <c r="F343">
        <f>VLOOKUP(E343,'[1]202512 BE mortality'!$A:$C,3,0)</f>
        <v>8.5983593557415489E-3</v>
      </c>
      <c r="G343">
        <f>VLOOKUP(D343,'[1]202512 BE lapse'!$C:$D,2,0)</f>
        <v>4.4602451638933397E-3</v>
      </c>
      <c r="H343">
        <f>VLOOKUP($B343,'[1]202512 RFR'!$A:$B,2,0)</f>
        <v>1.4999999999999999E-2</v>
      </c>
      <c r="I343">
        <f t="shared" si="63"/>
        <v>1.5505981899502523</v>
      </c>
      <c r="J343">
        <f t="shared" si="64"/>
        <v>1.1162557963795314E-3</v>
      </c>
      <c r="K343">
        <f t="shared" si="65"/>
        <v>0</v>
      </c>
      <c r="L343">
        <f t="shared" si="57"/>
        <v>0.72035101172470484</v>
      </c>
      <c r="M343">
        <f>IF(AND(MOD(C343,12)=1,D343&lt;='[1]Product parameters'!$C$2),I342*[1]model_point!$G$2,0)</f>
        <v>0</v>
      </c>
      <c r="N343">
        <f t="shared" si="58"/>
        <v>0</v>
      </c>
      <c r="O343">
        <f>[2]results_sample_product_cf!G342</f>
        <v>0</v>
      </c>
      <c r="P343">
        <f>[2]results_sample_product_cf!H342</f>
        <v>0</v>
      </c>
      <c r="Q343">
        <f t="shared" si="59"/>
        <v>0</v>
      </c>
      <c r="R343">
        <f t="shared" si="55"/>
        <v>0</v>
      </c>
    </row>
    <row r="344" spans="1:18" x14ac:dyDescent="0.3">
      <c r="A344">
        <f t="shared" si="60"/>
        <v>341</v>
      </c>
      <c r="B344">
        <f t="shared" si="61"/>
        <v>29</v>
      </c>
      <c r="C344">
        <f t="shared" si="62"/>
        <v>346</v>
      </c>
      <c r="D344">
        <f t="shared" si="56"/>
        <v>29</v>
      </c>
      <c r="E344">
        <f>[1]model_point!$C$2+D344-1</f>
        <v>33</v>
      </c>
      <c r="F344">
        <f>VLOOKUP(E344,'[1]202512 BE mortality'!$A:$C,3,0)</f>
        <v>8.5983593557415489E-3</v>
      </c>
      <c r="G344">
        <f>VLOOKUP(D344,'[1]202512 BE lapse'!$C:$D,2,0)</f>
        <v>4.4602451638933397E-3</v>
      </c>
      <c r="H344">
        <f>VLOOKUP($B344,'[1]202512 RFR'!$A:$B,2,0)</f>
        <v>1.4999999999999999E-2</v>
      </c>
      <c r="I344">
        <f t="shared" si="63"/>
        <v>1.549482737154068</v>
      </c>
      <c r="J344">
        <f t="shared" si="64"/>
        <v>1.1154527961842529E-3</v>
      </c>
      <c r="K344">
        <f t="shared" si="65"/>
        <v>0</v>
      </c>
      <c r="L344">
        <f t="shared" si="57"/>
        <v>0.71945781368650963</v>
      </c>
      <c r="M344">
        <f>IF(AND(MOD(C344,12)=1,D344&lt;='[1]Product parameters'!$C$2),I343*[1]model_point!$G$2,0)</f>
        <v>0</v>
      </c>
      <c r="N344">
        <f t="shared" si="58"/>
        <v>0</v>
      </c>
      <c r="O344">
        <f>[2]results_sample_product_cf!G343</f>
        <v>0</v>
      </c>
      <c r="P344">
        <f>[2]results_sample_product_cf!H343</f>
        <v>0</v>
      </c>
      <c r="Q344">
        <f t="shared" si="59"/>
        <v>0</v>
      </c>
      <c r="R344">
        <f t="shared" si="55"/>
        <v>0</v>
      </c>
    </row>
    <row r="345" spans="1:18" x14ac:dyDescent="0.3">
      <c r="A345">
        <f t="shared" si="60"/>
        <v>342</v>
      </c>
      <c r="B345">
        <f t="shared" si="61"/>
        <v>29</v>
      </c>
      <c r="C345">
        <f t="shared" si="62"/>
        <v>347</v>
      </c>
      <c r="D345">
        <f t="shared" si="56"/>
        <v>29</v>
      </c>
      <c r="E345">
        <f>[1]model_point!$C$2+D345-1</f>
        <v>33</v>
      </c>
      <c r="F345">
        <f>VLOOKUP(E345,'[1]202512 BE mortality'!$A:$C,3,0)</f>
        <v>8.5983593557415489E-3</v>
      </c>
      <c r="G345">
        <f>VLOOKUP(D345,'[1]202512 BE lapse'!$C:$D,2,0)</f>
        <v>4.4602451638933397E-3</v>
      </c>
      <c r="H345">
        <f>VLOOKUP($B345,'[1]202512 RFR'!$A:$B,2,0)</f>
        <v>1.4999999999999999E-2</v>
      </c>
      <c r="I345">
        <f t="shared" si="63"/>
        <v>1.5483680867804253</v>
      </c>
      <c r="J345">
        <f t="shared" si="64"/>
        <v>1.1146503736426947E-3</v>
      </c>
      <c r="K345">
        <f t="shared" si="65"/>
        <v>0</v>
      </c>
      <c r="L345">
        <f t="shared" si="57"/>
        <v>0.71856572316773537</v>
      </c>
      <c r="M345">
        <f>IF(AND(MOD(C345,12)=1,D345&lt;='[1]Product parameters'!$C$2),I344*[1]model_point!$G$2,0)</f>
        <v>0</v>
      </c>
      <c r="N345">
        <f t="shared" si="58"/>
        <v>0</v>
      </c>
      <c r="O345">
        <f>[2]results_sample_product_cf!G344</f>
        <v>0</v>
      </c>
      <c r="P345">
        <f>[2]results_sample_product_cf!H344</f>
        <v>0</v>
      </c>
      <c r="Q345">
        <f t="shared" si="59"/>
        <v>0</v>
      </c>
      <c r="R345">
        <f t="shared" si="55"/>
        <v>0</v>
      </c>
    </row>
    <row r="346" spans="1:18" x14ac:dyDescent="0.3">
      <c r="A346">
        <f t="shared" si="60"/>
        <v>343</v>
      </c>
      <c r="B346">
        <f t="shared" si="61"/>
        <v>29</v>
      </c>
      <c r="C346">
        <f t="shared" si="62"/>
        <v>348</v>
      </c>
      <c r="D346">
        <f t="shared" si="56"/>
        <v>29</v>
      </c>
      <c r="E346">
        <f>[1]model_point!$C$2+D346-1</f>
        <v>33</v>
      </c>
      <c r="F346">
        <f>VLOOKUP(E346,'[1]202512 BE mortality'!$A:$C,3,0)</f>
        <v>8.5983593557415489E-3</v>
      </c>
      <c r="G346">
        <f>VLOOKUP(D346,'[1]202512 BE lapse'!$C:$D,2,0)</f>
        <v>4.4602451638933397E-3</v>
      </c>
      <c r="H346">
        <f>VLOOKUP($B346,'[1]202512 RFR'!$A:$B,2,0)</f>
        <v>1.4999999999999999E-2</v>
      </c>
      <c r="I346">
        <f t="shared" si="63"/>
        <v>1.5403531050186086</v>
      </c>
      <c r="J346">
        <f t="shared" si="64"/>
        <v>1.1138485283393106E-3</v>
      </c>
      <c r="K346">
        <f t="shared" si="65"/>
        <v>6.9011332334773393E-3</v>
      </c>
      <c r="L346">
        <f t="shared" si="57"/>
        <v>0.71767473879511534</v>
      </c>
      <c r="M346">
        <f>IF(AND(MOD(C346,12)=1,D346&lt;='[1]Product parameters'!$C$2),I345*[1]model_point!$G$2,0)</f>
        <v>0</v>
      </c>
      <c r="N346">
        <f t="shared" si="58"/>
        <v>0</v>
      </c>
      <c r="O346">
        <f>[2]results_sample_product_cf!G345</f>
        <v>0</v>
      </c>
      <c r="P346">
        <f>[2]results_sample_product_cf!H345</f>
        <v>0</v>
      </c>
      <c r="Q346">
        <f t="shared" si="59"/>
        <v>0</v>
      </c>
      <c r="R346">
        <f t="shared" si="55"/>
        <v>0</v>
      </c>
    </row>
    <row r="347" spans="1:18" x14ac:dyDescent="0.3">
      <c r="A347">
        <f t="shared" si="60"/>
        <v>344</v>
      </c>
      <c r="B347">
        <f t="shared" si="61"/>
        <v>29</v>
      </c>
      <c r="C347">
        <f t="shared" si="62"/>
        <v>349</v>
      </c>
      <c r="D347">
        <f t="shared" si="56"/>
        <v>30</v>
      </c>
      <c r="E347">
        <f>[1]model_point!$C$2+D347-1</f>
        <v>34</v>
      </c>
      <c r="F347">
        <f>VLOOKUP(E347,'[1]202512 BE mortality'!$A:$C,3,0)</f>
        <v>5.1478096954566989E-3</v>
      </c>
      <c r="G347">
        <f>VLOOKUP(D347,'[1]202512 BE lapse'!$C:$D,2,0)</f>
        <v>9.6122506145409972E-3</v>
      </c>
      <c r="H347">
        <f>VLOOKUP($B347,'[1]202512 RFR'!$A:$B,2,0)</f>
        <v>1.4999999999999999E-2</v>
      </c>
      <c r="I347">
        <f t="shared" si="63"/>
        <v>1.5396907537482387</v>
      </c>
      <c r="J347">
        <f t="shared" si="64"/>
        <v>6.6235127036974692E-4</v>
      </c>
      <c r="K347">
        <f t="shared" si="65"/>
        <v>0</v>
      </c>
      <c r="L347">
        <f t="shared" si="57"/>
        <v>0.71678485919708534</v>
      </c>
      <c r="M347">
        <f>IF(AND(MOD(C347,12)=1,D347&lt;='[1]Product parameters'!$C$2),I346*[1]model_point!$G$2,0)</f>
        <v>0</v>
      </c>
      <c r="N347">
        <f t="shared" si="58"/>
        <v>0</v>
      </c>
      <c r="O347">
        <f>[2]results_sample_product_cf!G346</f>
        <v>0</v>
      </c>
      <c r="P347">
        <f>[2]results_sample_product_cf!H346</f>
        <v>0</v>
      </c>
      <c r="Q347">
        <f t="shared" si="59"/>
        <v>0</v>
      </c>
      <c r="R347">
        <f t="shared" si="55"/>
        <v>0</v>
      </c>
    </row>
    <row r="348" spans="1:18" x14ac:dyDescent="0.3">
      <c r="A348">
        <f t="shared" si="60"/>
        <v>345</v>
      </c>
      <c r="B348">
        <f t="shared" si="61"/>
        <v>29</v>
      </c>
      <c r="C348">
        <f t="shared" si="62"/>
        <v>350</v>
      </c>
      <c r="D348">
        <f t="shared" si="56"/>
        <v>30</v>
      </c>
      <c r="E348">
        <f>[1]model_point!$C$2+D348-1</f>
        <v>34</v>
      </c>
      <c r="F348">
        <f>VLOOKUP(E348,'[1]202512 BE mortality'!$A:$C,3,0)</f>
        <v>5.1478096954566989E-3</v>
      </c>
      <c r="G348">
        <f>VLOOKUP(D348,'[1]202512 BE lapse'!$C:$D,2,0)</f>
        <v>9.6122506145409972E-3</v>
      </c>
      <c r="H348">
        <f>VLOOKUP($B348,'[1]202512 RFR'!$A:$B,2,0)</f>
        <v>1.4999999999999999E-2</v>
      </c>
      <c r="I348">
        <f t="shared" si="63"/>
        <v>1.5390286872886723</v>
      </c>
      <c r="J348">
        <f t="shared" si="64"/>
        <v>6.6206645956634667E-4</v>
      </c>
      <c r="K348">
        <f t="shared" si="65"/>
        <v>0</v>
      </c>
      <c r="L348">
        <f t="shared" si="57"/>
        <v>0.71589608300378205</v>
      </c>
      <c r="M348">
        <f>IF(AND(MOD(C348,12)=1,D348&lt;='[1]Product parameters'!$C$2),I347*[1]model_point!$G$2,0)</f>
        <v>0</v>
      </c>
      <c r="N348">
        <f t="shared" si="58"/>
        <v>0</v>
      </c>
      <c r="O348">
        <f>[2]results_sample_product_cf!G347</f>
        <v>0</v>
      </c>
      <c r="P348">
        <f>[2]results_sample_product_cf!H347</f>
        <v>0</v>
      </c>
      <c r="Q348">
        <f t="shared" si="59"/>
        <v>0</v>
      </c>
      <c r="R348">
        <f t="shared" si="55"/>
        <v>0</v>
      </c>
    </row>
    <row r="349" spans="1:18" x14ac:dyDescent="0.3">
      <c r="A349">
        <f t="shared" si="60"/>
        <v>346</v>
      </c>
      <c r="B349">
        <f t="shared" si="61"/>
        <v>29</v>
      </c>
      <c r="C349">
        <f t="shared" si="62"/>
        <v>351</v>
      </c>
      <c r="D349">
        <f t="shared" si="56"/>
        <v>30</v>
      </c>
      <c r="E349">
        <f>[1]model_point!$C$2+D349-1</f>
        <v>34</v>
      </c>
      <c r="F349">
        <f>VLOOKUP(E349,'[1]202512 BE mortality'!$A:$C,3,0)</f>
        <v>5.1478096954566989E-3</v>
      </c>
      <c r="G349">
        <f>VLOOKUP(D349,'[1]202512 BE lapse'!$C:$D,2,0)</f>
        <v>9.6122506145409972E-3</v>
      </c>
      <c r="H349">
        <f>VLOOKUP($B349,'[1]202512 RFR'!$A:$B,2,0)</f>
        <v>1.4999999999999999E-2</v>
      </c>
      <c r="I349">
        <f t="shared" si="63"/>
        <v>1.5383669055174407</v>
      </c>
      <c r="J349">
        <f t="shared" si="64"/>
        <v>6.6178177123148738E-4</v>
      </c>
      <c r="K349">
        <f t="shared" si="65"/>
        <v>0</v>
      </c>
      <c r="L349">
        <f t="shared" si="57"/>
        <v>0.71500840884704053</v>
      </c>
      <c r="M349">
        <f>IF(AND(MOD(C349,12)=1,D349&lt;='[1]Product parameters'!$C$2),I348*[1]model_point!$G$2,0)</f>
        <v>0</v>
      </c>
      <c r="N349">
        <f t="shared" si="58"/>
        <v>0</v>
      </c>
      <c r="O349">
        <f>[2]results_sample_product_cf!G348</f>
        <v>0</v>
      </c>
      <c r="P349">
        <f>[2]results_sample_product_cf!H348</f>
        <v>0</v>
      </c>
      <c r="Q349">
        <f t="shared" si="59"/>
        <v>0</v>
      </c>
      <c r="R349">
        <f t="shared" si="55"/>
        <v>0</v>
      </c>
    </row>
    <row r="350" spans="1:18" x14ac:dyDescent="0.3">
      <c r="A350">
        <f t="shared" si="60"/>
        <v>347</v>
      </c>
      <c r="B350">
        <f t="shared" si="61"/>
        <v>29</v>
      </c>
      <c r="C350">
        <f t="shared" si="62"/>
        <v>352</v>
      </c>
      <c r="D350">
        <f t="shared" si="56"/>
        <v>30</v>
      </c>
      <c r="E350">
        <f>[1]model_point!$C$2+D350-1</f>
        <v>34</v>
      </c>
      <c r="F350">
        <f>VLOOKUP(E350,'[1]202512 BE mortality'!$A:$C,3,0)</f>
        <v>5.1478096954566989E-3</v>
      </c>
      <c r="G350">
        <f>VLOOKUP(D350,'[1]202512 BE lapse'!$C:$D,2,0)</f>
        <v>9.6122506145409972E-3</v>
      </c>
      <c r="H350">
        <f>VLOOKUP($B350,'[1]202512 RFR'!$A:$B,2,0)</f>
        <v>1.4999999999999999E-2</v>
      </c>
      <c r="I350">
        <f t="shared" si="63"/>
        <v>1.5377054083121282</v>
      </c>
      <c r="J350">
        <f t="shared" si="64"/>
        <v>6.614972053125077E-4</v>
      </c>
      <c r="K350">
        <f t="shared" si="65"/>
        <v>0</v>
      </c>
      <c r="L350">
        <f t="shared" si="57"/>
        <v>0.71412183536039242</v>
      </c>
      <c r="M350">
        <f>IF(AND(MOD(C350,12)=1,D350&lt;='[1]Product parameters'!$C$2),I349*[1]model_point!$G$2,0)</f>
        <v>0</v>
      </c>
      <c r="N350">
        <f t="shared" si="58"/>
        <v>0</v>
      </c>
      <c r="O350">
        <f>[2]results_sample_product_cf!G349</f>
        <v>0</v>
      </c>
      <c r="P350">
        <f>[2]results_sample_product_cf!H349</f>
        <v>0</v>
      </c>
      <c r="Q350">
        <f t="shared" si="59"/>
        <v>0</v>
      </c>
      <c r="R350">
        <f t="shared" si="55"/>
        <v>0</v>
      </c>
    </row>
    <row r="351" spans="1:18" x14ac:dyDescent="0.3">
      <c r="A351">
        <f t="shared" si="60"/>
        <v>348</v>
      </c>
      <c r="B351">
        <f t="shared" si="61"/>
        <v>29</v>
      </c>
      <c r="C351">
        <f t="shared" si="62"/>
        <v>353</v>
      </c>
      <c r="D351">
        <f t="shared" si="56"/>
        <v>30</v>
      </c>
      <c r="E351">
        <f>[1]model_point!$C$2+D351-1</f>
        <v>34</v>
      </c>
      <c r="F351">
        <f>VLOOKUP(E351,'[1]202512 BE mortality'!$A:$C,3,0)</f>
        <v>5.1478096954566989E-3</v>
      </c>
      <c r="G351">
        <f>VLOOKUP(D351,'[1]202512 BE lapse'!$C:$D,2,0)</f>
        <v>9.6122506145409972E-3</v>
      </c>
      <c r="H351">
        <f>VLOOKUP($B351,'[1]202512 RFR'!$A:$B,2,0)</f>
        <v>1.4999999999999999E-2</v>
      </c>
      <c r="I351">
        <f t="shared" si="63"/>
        <v>1.5370441955503715</v>
      </c>
      <c r="J351">
        <f t="shared" si="64"/>
        <v>6.6121276175676899E-4</v>
      </c>
      <c r="K351">
        <f t="shared" si="65"/>
        <v>0</v>
      </c>
      <c r="L351">
        <f t="shared" si="57"/>
        <v>0.71323636117906364</v>
      </c>
      <c r="M351">
        <f>IF(AND(MOD(C351,12)=1,D351&lt;='[1]Product parameters'!$C$2),I350*[1]model_point!$G$2,0)</f>
        <v>0</v>
      </c>
      <c r="N351">
        <f t="shared" si="58"/>
        <v>0</v>
      </c>
      <c r="O351">
        <f>[2]results_sample_product_cf!G350</f>
        <v>0</v>
      </c>
      <c r="P351">
        <f>[2]results_sample_product_cf!H350</f>
        <v>0</v>
      </c>
      <c r="Q351">
        <f t="shared" si="59"/>
        <v>0</v>
      </c>
      <c r="R351">
        <f t="shared" si="55"/>
        <v>0</v>
      </c>
    </row>
    <row r="352" spans="1:18" x14ac:dyDescent="0.3">
      <c r="A352">
        <f t="shared" si="60"/>
        <v>349</v>
      </c>
      <c r="B352">
        <f t="shared" si="61"/>
        <v>30</v>
      </c>
      <c r="C352">
        <f t="shared" si="62"/>
        <v>354</v>
      </c>
      <c r="D352">
        <f t="shared" si="56"/>
        <v>30</v>
      </c>
      <c r="E352">
        <f>[1]model_point!$C$2+D352-1</f>
        <v>34</v>
      </c>
      <c r="F352">
        <f>VLOOKUP(E352,'[1]202512 BE mortality'!$A:$C,3,0)</f>
        <v>5.1478096954566989E-3</v>
      </c>
      <c r="G352">
        <f>VLOOKUP(D352,'[1]202512 BE lapse'!$C:$D,2,0)</f>
        <v>9.6122506145409972E-3</v>
      </c>
      <c r="H352">
        <f>VLOOKUP($B352,'[1]202512 RFR'!$A:$B,2,0)</f>
        <v>1.4999999999999999E-2</v>
      </c>
      <c r="I352">
        <f t="shared" si="63"/>
        <v>1.5363832671098598</v>
      </c>
      <c r="J352">
        <f t="shared" si="64"/>
        <v>6.609284405116549E-4</v>
      </c>
      <c r="K352">
        <f t="shared" si="65"/>
        <v>0</v>
      </c>
      <c r="L352">
        <f t="shared" si="57"/>
        <v>0.71235198493997243</v>
      </c>
      <c r="M352">
        <f>IF(AND(MOD(C352,12)=1,D352&lt;='[1]Product parameters'!$C$2),I351*[1]model_point!$G$2,0)</f>
        <v>0</v>
      </c>
      <c r="N352">
        <f t="shared" si="58"/>
        <v>0</v>
      </c>
      <c r="O352">
        <f>[2]results_sample_product_cf!G351</f>
        <v>0</v>
      </c>
      <c r="P352">
        <f>[2]results_sample_product_cf!H351</f>
        <v>0</v>
      </c>
      <c r="Q352">
        <f t="shared" si="59"/>
        <v>0</v>
      </c>
      <c r="R352">
        <f t="shared" si="55"/>
        <v>0</v>
      </c>
    </row>
    <row r="353" spans="1:18" x14ac:dyDescent="0.3">
      <c r="A353">
        <f t="shared" si="60"/>
        <v>350</v>
      </c>
      <c r="B353">
        <f t="shared" si="61"/>
        <v>30</v>
      </c>
      <c r="C353">
        <f t="shared" si="62"/>
        <v>355</v>
      </c>
      <c r="D353">
        <f t="shared" si="56"/>
        <v>30</v>
      </c>
      <c r="E353">
        <f>[1]model_point!$C$2+D353-1</f>
        <v>34</v>
      </c>
      <c r="F353">
        <f>VLOOKUP(E353,'[1]202512 BE mortality'!$A:$C,3,0)</f>
        <v>5.1478096954566989E-3</v>
      </c>
      <c r="G353">
        <f>VLOOKUP(D353,'[1]202512 BE lapse'!$C:$D,2,0)</f>
        <v>9.6122506145409972E-3</v>
      </c>
      <c r="H353">
        <f>VLOOKUP($B353,'[1]202512 RFR'!$A:$B,2,0)</f>
        <v>1.4999999999999999E-2</v>
      </c>
      <c r="I353">
        <f t="shared" si="63"/>
        <v>1.5357226228683352</v>
      </c>
      <c r="J353">
        <f t="shared" si="64"/>
        <v>6.6064424152457188E-4</v>
      </c>
      <c r="K353">
        <f t="shared" si="65"/>
        <v>0</v>
      </c>
      <c r="L353">
        <f t="shared" si="57"/>
        <v>0.71146870528172712</v>
      </c>
      <c r="M353">
        <f>IF(AND(MOD(C353,12)=1,D353&lt;='[1]Product parameters'!$C$2),I352*[1]model_point!$G$2,0)</f>
        <v>0</v>
      </c>
      <c r="N353">
        <f t="shared" si="58"/>
        <v>0</v>
      </c>
      <c r="O353">
        <f>[2]results_sample_product_cf!G352</f>
        <v>0</v>
      </c>
      <c r="P353">
        <f>[2]results_sample_product_cf!H352</f>
        <v>0</v>
      </c>
      <c r="Q353">
        <f t="shared" si="59"/>
        <v>0</v>
      </c>
      <c r="R353">
        <f t="shared" si="55"/>
        <v>0</v>
      </c>
    </row>
    <row r="354" spans="1:18" x14ac:dyDescent="0.3">
      <c r="A354">
        <f t="shared" si="60"/>
        <v>351</v>
      </c>
      <c r="B354">
        <f t="shared" si="61"/>
        <v>30</v>
      </c>
      <c r="C354">
        <f t="shared" si="62"/>
        <v>356</v>
      </c>
      <c r="D354">
        <f t="shared" si="56"/>
        <v>30</v>
      </c>
      <c r="E354">
        <f>[1]model_point!$C$2+D354-1</f>
        <v>34</v>
      </c>
      <c r="F354">
        <f>VLOOKUP(E354,'[1]202512 BE mortality'!$A:$C,3,0)</f>
        <v>5.1478096954566989E-3</v>
      </c>
      <c r="G354">
        <f>VLOOKUP(D354,'[1]202512 BE lapse'!$C:$D,2,0)</f>
        <v>9.6122506145409972E-3</v>
      </c>
      <c r="H354">
        <f>VLOOKUP($B354,'[1]202512 RFR'!$A:$B,2,0)</f>
        <v>1.4999999999999999E-2</v>
      </c>
      <c r="I354">
        <f t="shared" si="63"/>
        <v>1.5350622627035921</v>
      </c>
      <c r="J354">
        <f t="shared" si="64"/>
        <v>6.6036016474294913E-4</v>
      </c>
      <c r="K354">
        <f t="shared" si="65"/>
        <v>0</v>
      </c>
      <c r="L354">
        <f t="shared" si="57"/>
        <v>0.71058652084462415</v>
      </c>
      <c r="M354">
        <f>IF(AND(MOD(C354,12)=1,D354&lt;='[1]Product parameters'!$C$2),I353*[1]model_point!$G$2,0)</f>
        <v>0</v>
      </c>
      <c r="N354">
        <f t="shared" si="58"/>
        <v>0</v>
      </c>
      <c r="O354">
        <f>[2]results_sample_product_cf!G353</f>
        <v>0</v>
      </c>
      <c r="P354">
        <f>[2]results_sample_product_cf!H353</f>
        <v>0</v>
      </c>
      <c r="Q354">
        <f t="shared" si="59"/>
        <v>0</v>
      </c>
      <c r="R354">
        <f t="shared" si="55"/>
        <v>0</v>
      </c>
    </row>
    <row r="355" spans="1:18" x14ac:dyDescent="0.3">
      <c r="A355">
        <f t="shared" si="60"/>
        <v>352</v>
      </c>
      <c r="B355">
        <f t="shared" si="61"/>
        <v>30</v>
      </c>
      <c r="C355">
        <f t="shared" si="62"/>
        <v>357</v>
      </c>
      <c r="D355">
        <f t="shared" si="56"/>
        <v>30</v>
      </c>
      <c r="E355">
        <f>[1]model_point!$C$2+D355-1</f>
        <v>34</v>
      </c>
      <c r="F355">
        <f>VLOOKUP(E355,'[1]202512 BE mortality'!$A:$C,3,0)</f>
        <v>5.1478096954566989E-3</v>
      </c>
      <c r="G355">
        <f>VLOOKUP(D355,'[1]202512 BE lapse'!$C:$D,2,0)</f>
        <v>9.6122506145409972E-3</v>
      </c>
      <c r="H355">
        <f>VLOOKUP($B355,'[1]202512 RFR'!$A:$B,2,0)</f>
        <v>1.4999999999999999E-2</v>
      </c>
      <c r="I355">
        <f t="shared" si="63"/>
        <v>1.5344021864934778</v>
      </c>
      <c r="J355">
        <f t="shared" si="64"/>
        <v>6.6007621011423829E-4</v>
      </c>
      <c r="K355">
        <f t="shared" si="65"/>
        <v>0</v>
      </c>
      <c r="L355">
        <f t="shared" si="57"/>
        <v>0.70970543027064581</v>
      </c>
      <c r="M355">
        <f>IF(AND(MOD(C355,12)=1,D355&lt;='[1]Product parameters'!$C$2),I354*[1]model_point!$G$2,0)</f>
        <v>0</v>
      </c>
      <c r="N355">
        <f t="shared" si="58"/>
        <v>0</v>
      </c>
      <c r="O355">
        <f>[2]results_sample_product_cf!G354</f>
        <v>0</v>
      </c>
      <c r="P355">
        <f>[2]results_sample_product_cf!H354</f>
        <v>0</v>
      </c>
      <c r="Q355">
        <f t="shared" si="59"/>
        <v>0</v>
      </c>
      <c r="R355">
        <f t="shared" si="55"/>
        <v>0</v>
      </c>
    </row>
    <row r="356" spans="1:18" x14ac:dyDescent="0.3">
      <c r="A356">
        <f t="shared" si="60"/>
        <v>353</v>
      </c>
      <c r="B356">
        <f t="shared" si="61"/>
        <v>30</v>
      </c>
      <c r="C356">
        <f t="shared" si="62"/>
        <v>358</v>
      </c>
      <c r="D356">
        <f t="shared" si="56"/>
        <v>30</v>
      </c>
      <c r="E356">
        <f>[1]model_point!$C$2+D356-1</f>
        <v>34</v>
      </c>
      <c r="F356">
        <f>VLOOKUP(E356,'[1]202512 BE mortality'!$A:$C,3,0)</f>
        <v>5.1478096954566989E-3</v>
      </c>
      <c r="G356">
        <f>VLOOKUP(D356,'[1]202512 BE lapse'!$C:$D,2,0)</f>
        <v>9.6122506145409972E-3</v>
      </c>
      <c r="H356">
        <f>VLOOKUP($B356,'[1]202512 RFR'!$A:$B,2,0)</f>
        <v>1.4999999999999999E-2</v>
      </c>
      <c r="I356">
        <f t="shared" si="63"/>
        <v>1.5337423941158919</v>
      </c>
      <c r="J356">
        <f t="shared" si="64"/>
        <v>6.5979237758591368E-4</v>
      </c>
      <c r="K356">
        <f t="shared" si="65"/>
        <v>0</v>
      </c>
      <c r="L356">
        <f t="shared" si="57"/>
        <v>0.70882543220345839</v>
      </c>
      <c r="M356">
        <f>IF(AND(MOD(C356,12)=1,D356&lt;='[1]Product parameters'!$C$2),I355*[1]model_point!$G$2,0)</f>
        <v>0</v>
      </c>
      <c r="N356">
        <f t="shared" si="58"/>
        <v>0</v>
      </c>
      <c r="O356">
        <f>[2]results_sample_product_cf!G355</f>
        <v>0</v>
      </c>
      <c r="P356">
        <f>[2]results_sample_product_cf!H355</f>
        <v>0</v>
      </c>
      <c r="Q356">
        <f t="shared" si="59"/>
        <v>0</v>
      </c>
      <c r="R356">
        <f t="shared" si="55"/>
        <v>0</v>
      </c>
    </row>
    <row r="357" spans="1:18" x14ac:dyDescent="0.3">
      <c r="A357">
        <f t="shared" si="60"/>
        <v>354</v>
      </c>
      <c r="B357">
        <f t="shared" si="61"/>
        <v>30</v>
      </c>
      <c r="C357">
        <f t="shared" si="62"/>
        <v>359</v>
      </c>
      <c r="D357">
        <f t="shared" si="56"/>
        <v>30</v>
      </c>
      <c r="E357">
        <f>[1]model_point!$C$2+D357-1</f>
        <v>34</v>
      </c>
      <c r="F357">
        <f>VLOOKUP(E357,'[1]202512 BE mortality'!$A:$C,3,0)</f>
        <v>5.1478096954566989E-3</v>
      </c>
      <c r="G357">
        <f>VLOOKUP(D357,'[1]202512 BE lapse'!$C:$D,2,0)</f>
        <v>9.6122506145409972E-3</v>
      </c>
      <c r="H357">
        <f>VLOOKUP($B357,'[1]202512 RFR'!$A:$B,2,0)</f>
        <v>1.4999999999999999E-2</v>
      </c>
      <c r="I357">
        <f t="shared" si="63"/>
        <v>1.5330828854487863</v>
      </c>
      <c r="J357">
        <f t="shared" si="64"/>
        <v>6.5950866710547226E-4</v>
      </c>
      <c r="K357">
        <f t="shared" si="65"/>
        <v>0</v>
      </c>
      <c r="L357">
        <f t="shared" si="57"/>
        <v>0.70794652528840984</v>
      </c>
      <c r="M357">
        <f>IF(AND(MOD(C357,12)=1,D357&lt;='[1]Product parameters'!$C$2),I356*[1]model_point!$G$2,0)</f>
        <v>0</v>
      </c>
      <c r="N357">
        <f t="shared" si="58"/>
        <v>0</v>
      </c>
      <c r="O357">
        <f>[2]results_sample_product_cf!G356</f>
        <v>0</v>
      </c>
      <c r="P357">
        <f>[2]results_sample_product_cf!H356</f>
        <v>0</v>
      </c>
      <c r="Q357">
        <f t="shared" si="59"/>
        <v>0</v>
      </c>
      <c r="R357">
        <f t="shared" si="55"/>
        <v>0</v>
      </c>
    </row>
    <row r="358" spans="1:18" x14ac:dyDescent="0.3">
      <c r="A358">
        <f t="shared" si="60"/>
        <v>355</v>
      </c>
      <c r="B358">
        <f t="shared" si="61"/>
        <v>30</v>
      </c>
      <c r="C358">
        <f t="shared" si="62"/>
        <v>360</v>
      </c>
      <c r="D358">
        <f t="shared" si="56"/>
        <v>30</v>
      </c>
      <c r="E358">
        <f>[1]model_point!$C$2+D358-1</f>
        <v>34</v>
      </c>
      <c r="F358">
        <f>VLOOKUP(E358,'[1]202512 BE mortality'!$A:$C,3,0)</f>
        <v>5.1478096954566989E-3</v>
      </c>
      <c r="G358">
        <f>VLOOKUP(D358,'[1]202512 BE lapse'!$C:$D,2,0)</f>
        <v>9.6122506145409972E-3</v>
      </c>
      <c r="H358">
        <f>VLOOKUP($B358,'[1]202512 RFR'!$A:$B,2,0)</f>
        <v>1.4999999999999999E-2</v>
      </c>
      <c r="I358">
        <f t="shared" si="63"/>
        <v>1.5176936200990356</v>
      </c>
      <c r="J358">
        <f t="shared" si="64"/>
        <v>6.5922507862043334E-4</v>
      </c>
      <c r="K358">
        <f t="shared" si="65"/>
        <v>1.4730040271130292E-2</v>
      </c>
      <c r="L358">
        <f t="shared" si="57"/>
        <v>0.70706870817252798</v>
      </c>
      <c r="M358">
        <f>IF(AND(MOD(C358,12)=1,D358&lt;='[1]Product parameters'!$C$2),I357*[1]model_point!$G$2,0)</f>
        <v>0</v>
      </c>
      <c r="N358">
        <f t="shared" si="58"/>
        <v>0</v>
      </c>
      <c r="O358">
        <f>[2]results_sample_product_cf!G357</f>
        <v>0</v>
      </c>
      <c r="P358">
        <f>[2]results_sample_product_cf!H357</f>
        <v>0</v>
      </c>
      <c r="Q358">
        <f t="shared" si="59"/>
        <v>0</v>
      </c>
      <c r="R358">
        <f t="shared" si="55"/>
        <v>0</v>
      </c>
    </row>
    <row r="359" spans="1:18" x14ac:dyDescent="0.3">
      <c r="A359">
        <f t="shared" si="60"/>
        <v>356</v>
      </c>
      <c r="B359">
        <f t="shared" si="61"/>
        <v>30</v>
      </c>
      <c r="C359">
        <f t="shared" si="62"/>
        <v>361</v>
      </c>
      <c r="D359">
        <f t="shared" si="56"/>
        <v>31</v>
      </c>
      <c r="E359">
        <f>[1]model_point!$C$2+D359-1</f>
        <v>35</v>
      </c>
      <c r="F359">
        <f>VLOOKUP(E359,'[1]202512 BE mortality'!$A:$C,3,0)</f>
        <v>8.82484234276536E-4</v>
      </c>
      <c r="G359">
        <f>VLOOKUP(D359,'[1]202512 BE lapse'!$C:$D,2,0)</f>
        <v>5.3724542457682378E-3</v>
      </c>
      <c r="H359">
        <f>VLOOKUP($B359,'[1]202512 RFR'!$A:$B,2,0)</f>
        <v>1.4999999999999999E-2</v>
      </c>
      <c r="I359">
        <f t="shared" si="63"/>
        <v>1.5175819632054059</v>
      </c>
      <c r="J359">
        <f t="shared" si="64"/>
        <v>1.1165689362959401E-4</v>
      </c>
      <c r="K359">
        <f t="shared" si="65"/>
        <v>0</v>
      </c>
      <c r="L359">
        <f t="shared" si="57"/>
        <v>0.70619197950451817</v>
      </c>
      <c r="M359">
        <f>IF(AND(MOD(C359,12)=1,D359&lt;='[1]Product parameters'!$C$2),I358*[1]model_point!$G$2,0)</f>
        <v>0</v>
      </c>
      <c r="N359">
        <f t="shared" si="58"/>
        <v>0</v>
      </c>
      <c r="O359">
        <f>[2]results_sample_product_cf!G358</f>
        <v>0</v>
      </c>
      <c r="P359">
        <f>[2]results_sample_product_cf!H358</f>
        <v>0</v>
      </c>
      <c r="Q359">
        <f t="shared" si="59"/>
        <v>0</v>
      </c>
      <c r="R359">
        <f t="shared" si="55"/>
        <v>0</v>
      </c>
    </row>
    <row r="360" spans="1:18" x14ac:dyDescent="0.3">
      <c r="A360">
        <f t="shared" si="60"/>
        <v>357</v>
      </c>
      <c r="B360">
        <f t="shared" si="61"/>
        <v>30</v>
      </c>
      <c r="C360">
        <f t="shared" si="62"/>
        <v>362</v>
      </c>
      <c r="D360">
        <f t="shared" si="56"/>
        <v>31</v>
      </c>
      <c r="E360">
        <f>[1]model_point!$C$2+D360-1</f>
        <v>35</v>
      </c>
      <c r="F360">
        <f>VLOOKUP(E360,'[1]202512 BE mortality'!$A:$C,3,0)</f>
        <v>8.82484234276536E-4</v>
      </c>
      <c r="G360">
        <f>VLOOKUP(D360,'[1]202512 BE lapse'!$C:$D,2,0)</f>
        <v>5.3724542457682378E-3</v>
      </c>
      <c r="H360">
        <f>VLOOKUP($B360,'[1]202512 RFR'!$A:$B,2,0)</f>
        <v>1.4999999999999999E-2</v>
      </c>
      <c r="I360">
        <f t="shared" si="63"/>
        <v>1.5174703145263868</v>
      </c>
      <c r="J360">
        <f t="shared" si="64"/>
        <v>1.1164867901912855E-4</v>
      </c>
      <c r="K360">
        <f t="shared" si="65"/>
        <v>0</v>
      </c>
      <c r="L360">
        <f t="shared" si="57"/>
        <v>0.70531633793476123</v>
      </c>
      <c r="M360">
        <f>IF(AND(MOD(C360,12)=1,D360&lt;='[1]Product parameters'!$C$2),I359*[1]model_point!$G$2,0)</f>
        <v>0</v>
      </c>
      <c r="N360">
        <f t="shared" si="58"/>
        <v>0</v>
      </c>
      <c r="O360">
        <f>[2]results_sample_product_cf!G359</f>
        <v>0</v>
      </c>
      <c r="P360">
        <f>[2]results_sample_product_cf!H359</f>
        <v>0</v>
      </c>
      <c r="Q360">
        <f t="shared" si="59"/>
        <v>0</v>
      </c>
      <c r="R360">
        <f t="shared" si="55"/>
        <v>0</v>
      </c>
    </row>
    <row r="361" spans="1:18" x14ac:dyDescent="0.3">
      <c r="A361">
        <f t="shared" si="60"/>
        <v>358</v>
      </c>
      <c r="B361">
        <f t="shared" si="61"/>
        <v>30</v>
      </c>
      <c r="C361">
        <f t="shared" si="62"/>
        <v>363</v>
      </c>
      <c r="D361">
        <f t="shared" si="56"/>
        <v>31</v>
      </c>
      <c r="E361">
        <f>[1]model_point!$C$2+D361-1</f>
        <v>35</v>
      </c>
      <c r="F361">
        <f>VLOOKUP(E361,'[1]202512 BE mortality'!$A:$C,3,0)</f>
        <v>8.82484234276536E-4</v>
      </c>
      <c r="G361">
        <f>VLOOKUP(D361,'[1]202512 BE lapse'!$C:$D,2,0)</f>
        <v>5.3724542457682378E-3</v>
      </c>
      <c r="H361">
        <f>VLOOKUP($B361,'[1]202512 RFR'!$A:$B,2,0)</f>
        <v>1.4999999999999999E-2</v>
      </c>
      <c r="I361">
        <f t="shared" si="63"/>
        <v>1.5173586740613738</v>
      </c>
      <c r="J361">
        <f t="shared" si="64"/>
        <v>1.1164046501301293E-4</v>
      </c>
      <c r="K361">
        <f t="shared" si="65"/>
        <v>0</v>
      </c>
      <c r="L361">
        <f t="shared" si="57"/>
        <v>0.70444178211531139</v>
      </c>
      <c r="M361">
        <f>IF(AND(MOD(C361,12)=1,D361&lt;='[1]Product parameters'!$C$2),I360*[1]model_point!$G$2,0)</f>
        <v>0</v>
      </c>
      <c r="N361">
        <f t="shared" si="58"/>
        <v>0</v>
      </c>
      <c r="O361">
        <f>[2]results_sample_product_cf!G360</f>
        <v>0</v>
      </c>
      <c r="P361">
        <f>[2]results_sample_product_cf!H360</f>
        <v>0</v>
      </c>
      <c r="Q361">
        <f t="shared" si="59"/>
        <v>0</v>
      </c>
      <c r="R361">
        <f t="shared" si="55"/>
        <v>0</v>
      </c>
    </row>
    <row r="362" spans="1:18" x14ac:dyDescent="0.3">
      <c r="A362">
        <f t="shared" si="60"/>
        <v>359</v>
      </c>
      <c r="B362">
        <f t="shared" si="61"/>
        <v>30</v>
      </c>
      <c r="C362">
        <f t="shared" si="62"/>
        <v>364</v>
      </c>
      <c r="D362">
        <f t="shared" si="56"/>
        <v>31</v>
      </c>
      <c r="E362">
        <f>[1]model_point!$C$2+D362-1</f>
        <v>35</v>
      </c>
      <c r="F362">
        <f>VLOOKUP(E362,'[1]202512 BE mortality'!$A:$C,3,0)</f>
        <v>8.82484234276536E-4</v>
      </c>
      <c r="G362">
        <f>VLOOKUP(D362,'[1]202512 BE lapse'!$C:$D,2,0)</f>
        <v>5.3724542457682378E-3</v>
      </c>
      <c r="H362">
        <f>VLOOKUP($B362,'[1]202512 RFR'!$A:$B,2,0)</f>
        <v>1.4999999999999999E-2</v>
      </c>
      <c r="I362">
        <f t="shared" si="63"/>
        <v>1.5172470418097626</v>
      </c>
      <c r="J362">
        <f t="shared" si="64"/>
        <v>1.1163225161120269E-4</v>
      </c>
      <c r="K362">
        <f t="shared" si="65"/>
        <v>0</v>
      </c>
      <c r="L362">
        <f t="shared" si="57"/>
        <v>0.70356831069989445</v>
      </c>
      <c r="M362">
        <f>IF(AND(MOD(C362,12)=1,D362&lt;='[1]Product parameters'!$C$2),I361*[1]model_point!$G$2,0)</f>
        <v>0</v>
      </c>
      <c r="N362">
        <f t="shared" si="58"/>
        <v>0</v>
      </c>
      <c r="O362">
        <f>[2]results_sample_product_cf!G361</f>
        <v>0</v>
      </c>
      <c r="P362">
        <f>[2]results_sample_product_cf!H361</f>
        <v>0</v>
      </c>
      <c r="Q362">
        <f t="shared" si="59"/>
        <v>0</v>
      </c>
      <c r="R362">
        <f t="shared" si="55"/>
        <v>0</v>
      </c>
    </row>
    <row r="363" spans="1:18" x14ac:dyDescent="0.3">
      <c r="A363">
        <f t="shared" si="60"/>
        <v>360</v>
      </c>
      <c r="B363">
        <f t="shared" si="61"/>
        <v>30</v>
      </c>
      <c r="C363">
        <f t="shared" si="62"/>
        <v>365</v>
      </c>
      <c r="D363">
        <f t="shared" si="56"/>
        <v>31</v>
      </c>
      <c r="E363">
        <f>[1]model_point!$C$2+D363-1</f>
        <v>35</v>
      </c>
      <c r="F363">
        <f>VLOOKUP(E363,'[1]202512 BE mortality'!$A:$C,3,0)</f>
        <v>8.82484234276536E-4</v>
      </c>
      <c r="G363">
        <f>VLOOKUP(D363,'[1]202512 BE lapse'!$C:$D,2,0)</f>
        <v>5.3724542457682378E-3</v>
      </c>
      <c r="H363">
        <f>VLOOKUP($B363,'[1]202512 RFR'!$A:$B,2,0)</f>
        <v>1.4999999999999999E-2</v>
      </c>
      <c r="I363">
        <f t="shared" si="63"/>
        <v>1.5171354177709488</v>
      </c>
      <c r="J363">
        <f t="shared" si="64"/>
        <v>1.1162403881365336E-4</v>
      </c>
      <c r="K363">
        <f t="shared" si="65"/>
        <v>0</v>
      </c>
      <c r="L363">
        <f t="shared" si="57"/>
        <v>0.70269592234390554</v>
      </c>
      <c r="M363">
        <f>IF(AND(MOD(C363,12)=1,D363&lt;='[1]Product parameters'!$C$2),I362*[1]model_point!$G$2,0)</f>
        <v>0</v>
      </c>
      <c r="N363">
        <f t="shared" si="58"/>
        <v>0</v>
      </c>
      <c r="O363">
        <f>[2]results_sample_product_cf!G362</f>
        <v>0</v>
      </c>
      <c r="P363">
        <f>[2]results_sample_product_cf!H362</f>
        <v>0</v>
      </c>
      <c r="Q363">
        <f t="shared" si="59"/>
        <v>0</v>
      </c>
      <c r="R363">
        <f t="shared" si="55"/>
        <v>0</v>
      </c>
    </row>
    <row r="364" spans="1:18" x14ac:dyDescent="0.3">
      <c r="A364">
        <f t="shared" si="60"/>
        <v>361</v>
      </c>
      <c r="B364">
        <f t="shared" si="61"/>
        <v>31</v>
      </c>
      <c r="C364">
        <f t="shared" si="62"/>
        <v>366</v>
      </c>
      <c r="D364">
        <f t="shared" si="56"/>
        <v>31</v>
      </c>
      <c r="E364">
        <f>[1]model_point!$C$2+D364-1</f>
        <v>35</v>
      </c>
      <c r="F364">
        <f>VLOOKUP(E364,'[1]202512 BE mortality'!$A:$C,3,0)</f>
        <v>8.82484234276536E-4</v>
      </c>
      <c r="G364">
        <f>VLOOKUP(D364,'[1]202512 BE lapse'!$C:$D,2,0)</f>
        <v>5.3724542457682378E-3</v>
      </c>
      <c r="H364">
        <f>VLOOKUP($B364,'[1]202512 RFR'!$A:$B,2,0)</f>
        <v>1.4999999999999999E-2</v>
      </c>
      <c r="I364">
        <f t="shared" si="63"/>
        <v>1.5170238019443285</v>
      </c>
      <c r="J364">
        <f t="shared" si="64"/>
        <v>1.1161582662032047E-4</v>
      </c>
      <c r="K364">
        <f t="shared" si="65"/>
        <v>0</v>
      </c>
      <c r="L364">
        <f t="shared" si="57"/>
        <v>0.7018246157044068</v>
      </c>
      <c r="M364">
        <f>IF(AND(MOD(C364,12)=1,D364&lt;='[1]Product parameters'!$C$2),I363*[1]model_point!$G$2,0)</f>
        <v>0</v>
      </c>
      <c r="N364">
        <f t="shared" si="58"/>
        <v>0</v>
      </c>
      <c r="O364">
        <f>[2]results_sample_product_cf!G363</f>
        <v>0</v>
      </c>
      <c r="P364">
        <f>[2]results_sample_product_cf!H363</f>
        <v>0</v>
      </c>
      <c r="Q364">
        <f t="shared" si="59"/>
        <v>0</v>
      </c>
      <c r="R364">
        <f t="shared" si="55"/>
        <v>0</v>
      </c>
    </row>
    <row r="365" spans="1:18" x14ac:dyDescent="0.3">
      <c r="A365">
        <f t="shared" si="60"/>
        <v>362</v>
      </c>
      <c r="B365">
        <f t="shared" si="61"/>
        <v>31</v>
      </c>
      <c r="C365">
        <f t="shared" si="62"/>
        <v>367</v>
      </c>
      <c r="D365">
        <f t="shared" si="56"/>
        <v>31</v>
      </c>
      <c r="E365">
        <f>[1]model_point!$C$2+D365-1</f>
        <v>35</v>
      </c>
      <c r="F365">
        <f>VLOOKUP(E365,'[1]202512 BE mortality'!$A:$C,3,0)</f>
        <v>8.82484234276536E-4</v>
      </c>
      <c r="G365">
        <f>VLOOKUP(D365,'[1]202512 BE lapse'!$C:$D,2,0)</f>
        <v>5.3724542457682378E-3</v>
      </c>
      <c r="H365">
        <f>VLOOKUP($B365,'[1]202512 RFR'!$A:$B,2,0)</f>
        <v>1.4999999999999999E-2</v>
      </c>
      <c r="I365">
        <f t="shared" si="63"/>
        <v>1.5169121943292974</v>
      </c>
      <c r="J365">
        <f t="shared" si="64"/>
        <v>1.116076150311596E-4</v>
      </c>
      <c r="K365">
        <f t="shared" si="65"/>
        <v>0</v>
      </c>
      <c r="L365">
        <f t="shared" si="57"/>
        <v>0.70095438944012567</v>
      </c>
      <c r="M365">
        <f>IF(AND(MOD(C365,12)=1,D365&lt;='[1]Product parameters'!$C$2),I364*[1]model_point!$G$2,0)</f>
        <v>0</v>
      </c>
      <c r="N365">
        <f t="shared" si="58"/>
        <v>0</v>
      </c>
      <c r="O365">
        <f>[2]results_sample_product_cf!G364</f>
        <v>0</v>
      </c>
      <c r="P365">
        <f>[2]results_sample_product_cf!H364</f>
        <v>0</v>
      </c>
      <c r="Q365">
        <f t="shared" si="59"/>
        <v>0</v>
      </c>
      <c r="R365">
        <f t="shared" si="55"/>
        <v>0</v>
      </c>
    </row>
    <row r="366" spans="1:18" x14ac:dyDescent="0.3">
      <c r="A366">
        <f t="shared" si="60"/>
        <v>363</v>
      </c>
      <c r="B366">
        <f t="shared" si="61"/>
        <v>31</v>
      </c>
      <c r="C366">
        <f t="shared" si="62"/>
        <v>368</v>
      </c>
      <c r="D366">
        <f t="shared" si="56"/>
        <v>31</v>
      </c>
      <c r="E366">
        <f>[1]model_point!$C$2+D366-1</f>
        <v>35</v>
      </c>
      <c r="F366">
        <f>VLOOKUP(E366,'[1]202512 BE mortality'!$A:$C,3,0)</f>
        <v>8.82484234276536E-4</v>
      </c>
      <c r="G366">
        <f>VLOOKUP(D366,'[1]202512 BE lapse'!$C:$D,2,0)</f>
        <v>5.3724542457682378E-3</v>
      </c>
      <c r="H366">
        <f>VLOOKUP($B366,'[1]202512 RFR'!$A:$B,2,0)</f>
        <v>1.4999999999999999E-2</v>
      </c>
      <c r="I366">
        <f t="shared" si="63"/>
        <v>1.5168005949252512</v>
      </c>
      <c r="J366">
        <f t="shared" si="64"/>
        <v>1.115994040461263E-4</v>
      </c>
      <c r="K366">
        <f t="shared" si="65"/>
        <v>0</v>
      </c>
      <c r="L366">
        <f t="shared" si="57"/>
        <v>0.70008524221145274</v>
      </c>
      <c r="M366">
        <f>IF(AND(MOD(C366,12)=1,D366&lt;='[1]Product parameters'!$C$2),I365*[1]model_point!$G$2,0)</f>
        <v>0</v>
      </c>
      <c r="N366">
        <f t="shared" si="58"/>
        <v>0</v>
      </c>
      <c r="O366">
        <f>[2]results_sample_product_cf!G365</f>
        <v>0</v>
      </c>
      <c r="P366">
        <f>[2]results_sample_product_cf!H365</f>
        <v>0</v>
      </c>
      <c r="Q366">
        <f t="shared" si="59"/>
        <v>0</v>
      </c>
      <c r="R366">
        <f t="shared" si="55"/>
        <v>0</v>
      </c>
    </row>
    <row r="367" spans="1:18" x14ac:dyDescent="0.3">
      <c r="A367">
        <f t="shared" si="60"/>
        <v>364</v>
      </c>
      <c r="B367">
        <f t="shared" si="61"/>
        <v>31</v>
      </c>
      <c r="C367">
        <f t="shared" si="62"/>
        <v>369</v>
      </c>
      <c r="D367">
        <f t="shared" si="56"/>
        <v>31</v>
      </c>
      <c r="E367">
        <f>[1]model_point!$C$2+D367-1</f>
        <v>35</v>
      </c>
      <c r="F367">
        <f>VLOOKUP(E367,'[1]202512 BE mortality'!$A:$C,3,0)</f>
        <v>8.82484234276536E-4</v>
      </c>
      <c r="G367">
        <f>VLOOKUP(D367,'[1]202512 BE lapse'!$C:$D,2,0)</f>
        <v>5.3724542457682378E-3</v>
      </c>
      <c r="H367">
        <f>VLOOKUP($B367,'[1]202512 RFR'!$A:$B,2,0)</f>
        <v>1.4999999999999999E-2</v>
      </c>
      <c r="I367">
        <f t="shared" si="63"/>
        <v>1.5166890037315861</v>
      </c>
      <c r="J367">
        <f t="shared" si="64"/>
        <v>1.115911936651761E-4</v>
      </c>
      <c r="K367">
        <f t="shared" si="65"/>
        <v>0</v>
      </c>
      <c r="L367">
        <f t="shared" si="57"/>
        <v>0.69921717268043959</v>
      </c>
      <c r="M367">
        <f>IF(AND(MOD(C367,12)=1,D367&lt;='[1]Product parameters'!$C$2),I366*[1]model_point!$G$2,0)</f>
        <v>0</v>
      </c>
      <c r="N367">
        <f t="shared" si="58"/>
        <v>0</v>
      </c>
      <c r="O367">
        <f>[2]results_sample_product_cf!G366</f>
        <v>0</v>
      </c>
      <c r="P367">
        <f>[2]results_sample_product_cf!H366</f>
        <v>0</v>
      </c>
      <c r="Q367">
        <f t="shared" si="59"/>
        <v>0</v>
      </c>
      <c r="R367">
        <f t="shared" si="55"/>
        <v>0</v>
      </c>
    </row>
    <row r="368" spans="1:18" x14ac:dyDescent="0.3">
      <c r="A368">
        <f t="shared" si="60"/>
        <v>365</v>
      </c>
      <c r="B368">
        <f t="shared" si="61"/>
        <v>31</v>
      </c>
      <c r="C368">
        <f t="shared" si="62"/>
        <v>370</v>
      </c>
      <c r="D368">
        <f t="shared" si="56"/>
        <v>31</v>
      </c>
      <c r="E368">
        <f>[1]model_point!$C$2+D368-1</f>
        <v>35</v>
      </c>
      <c r="F368">
        <f>VLOOKUP(E368,'[1]202512 BE mortality'!$A:$C,3,0)</f>
        <v>8.82484234276536E-4</v>
      </c>
      <c r="G368">
        <f>VLOOKUP(D368,'[1]202512 BE lapse'!$C:$D,2,0)</f>
        <v>5.3724542457682378E-3</v>
      </c>
      <c r="H368">
        <f>VLOOKUP($B368,'[1]202512 RFR'!$A:$B,2,0)</f>
        <v>1.4999999999999999E-2</v>
      </c>
      <c r="I368">
        <f t="shared" si="63"/>
        <v>1.5165774207476979</v>
      </c>
      <c r="J368">
        <f t="shared" si="64"/>
        <v>1.1158298388826457E-4</v>
      </c>
      <c r="K368">
        <f t="shared" si="65"/>
        <v>0</v>
      </c>
      <c r="L368">
        <f t="shared" si="57"/>
        <v>0.69835017951079681</v>
      </c>
      <c r="M368">
        <f>IF(AND(MOD(C368,12)=1,D368&lt;='[1]Product parameters'!$C$2),I367*[1]model_point!$G$2,0)</f>
        <v>0</v>
      </c>
      <c r="N368">
        <f t="shared" si="58"/>
        <v>0</v>
      </c>
      <c r="O368">
        <f>[2]results_sample_product_cf!G367</f>
        <v>0</v>
      </c>
      <c r="P368">
        <f>[2]results_sample_product_cf!H367</f>
        <v>0</v>
      </c>
      <c r="Q368">
        <f t="shared" si="59"/>
        <v>0</v>
      </c>
      <c r="R368">
        <f t="shared" si="55"/>
        <v>0</v>
      </c>
    </row>
    <row r="369" spans="1:18" x14ac:dyDescent="0.3">
      <c r="A369">
        <f t="shared" si="60"/>
        <v>366</v>
      </c>
      <c r="B369">
        <f t="shared" si="61"/>
        <v>31</v>
      </c>
      <c r="C369">
        <f t="shared" si="62"/>
        <v>371</v>
      </c>
      <c r="D369">
        <f t="shared" si="56"/>
        <v>31</v>
      </c>
      <c r="E369">
        <f>[1]model_point!$C$2+D369-1</f>
        <v>35</v>
      </c>
      <c r="F369">
        <f>VLOOKUP(E369,'[1]202512 BE mortality'!$A:$C,3,0)</f>
        <v>8.82484234276536E-4</v>
      </c>
      <c r="G369">
        <f>VLOOKUP(D369,'[1]202512 BE lapse'!$C:$D,2,0)</f>
        <v>5.3724542457682378E-3</v>
      </c>
      <c r="H369">
        <f>VLOOKUP($B369,'[1]202512 RFR'!$A:$B,2,0)</f>
        <v>1.4999999999999999E-2</v>
      </c>
      <c r="I369">
        <f t="shared" si="63"/>
        <v>1.5164658459729825</v>
      </c>
      <c r="J369">
        <f t="shared" si="64"/>
        <v>1.1157477471534725E-4</v>
      </c>
      <c r="K369">
        <f t="shared" si="65"/>
        <v>0</v>
      </c>
      <c r="L369">
        <f t="shared" si="57"/>
        <v>0.69748426136789188</v>
      </c>
      <c r="M369">
        <f>IF(AND(MOD(C369,12)=1,D369&lt;='[1]Product parameters'!$C$2),I368*[1]model_point!$G$2,0)</f>
        <v>0</v>
      </c>
      <c r="N369">
        <f t="shared" si="58"/>
        <v>0</v>
      </c>
      <c r="O369">
        <f>[2]results_sample_product_cf!G368</f>
        <v>0</v>
      </c>
      <c r="P369">
        <f>[2]results_sample_product_cf!H368</f>
        <v>0</v>
      </c>
      <c r="Q369">
        <f t="shared" si="59"/>
        <v>0</v>
      </c>
      <c r="R369">
        <f t="shared" si="55"/>
        <v>0</v>
      </c>
    </row>
    <row r="370" spans="1:18" x14ac:dyDescent="0.3">
      <c r="A370">
        <f t="shared" si="60"/>
        <v>367</v>
      </c>
      <c r="B370">
        <f t="shared" si="61"/>
        <v>31</v>
      </c>
      <c r="C370">
        <f t="shared" si="62"/>
        <v>372</v>
      </c>
      <c r="D370">
        <f t="shared" si="56"/>
        <v>31</v>
      </c>
      <c r="E370">
        <f>[1]model_point!$C$2+D370-1</f>
        <v>35</v>
      </c>
      <c r="F370">
        <f>VLOOKUP(E370,'[1]202512 BE mortality'!$A:$C,3,0)</f>
        <v>8.82484234276536E-4</v>
      </c>
      <c r="G370">
        <f>VLOOKUP(D370,'[1]202512 BE lapse'!$C:$D,2,0)</f>
        <v>5.3724542457682378E-3</v>
      </c>
      <c r="H370">
        <f>VLOOKUP($B370,'[1]202512 RFR'!$A:$B,2,0)</f>
        <v>1.4999999999999999E-2</v>
      </c>
      <c r="I370">
        <f t="shared" si="63"/>
        <v>1.508207735420348</v>
      </c>
      <c r="J370">
        <f t="shared" si="64"/>
        <v>1.1156656614637975E-4</v>
      </c>
      <c r="K370">
        <f t="shared" si="65"/>
        <v>8.1465439864880935E-3</v>
      </c>
      <c r="L370">
        <f t="shared" si="57"/>
        <v>0.69661941691874718</v>
      </c>
      <c r="M370">
        <f>IF(AND(MOD(C370,12)=1,D370&lt;='[1]Product parameters'!$C$2),I369*[1]model_point!$G$2,0)</f>
        <v>0</v>
      </c>
      <c r="N370">
        <f t="shared" si="58"/>
        <v>0</v>
      </c>
      <c r="O370">
        <f>[2]results_sample_product_cf!G369</f>
        <v>0</v>
      </c>
      <c r="P370">
        <f>[2]results_sample_product_cf!H369</f>
        <v>0</v>
      </c>
      <c r="Q370">
        <f t="shared" si="59"/>
        <v>0</v>
      </c>
      <c r="R370">
        <f t="shared" si="55"/>
        <v>0</v>
      </c>
    </row>
    <row r="371" spans="1:18" x14ac:dyDescent="0.3">
      <c r="A371">
        <f t="shared" si="60"/>
        <v>368</v>
      </c>
      <c r="B371">
        <f t="shared" si="61"/>
        <v>31</v>
      </c>
      <c r="C371">
        <f t="shared" si="62"/>
        <v>373</v>
      </c>
      <c r="D371">
        <f t="shared" si="56"/>
        <v>32</v>
      </c>
      <c r="E371">
        <f>[1]model_point!$C$2+D371-1</f>
        <v>36</v>
      </c>
      <c r="F371">
        <f>VLOOKUP(E371,'[1]202512 BE mortality'!$A:$C,3,0)</f>
        <v>8.4584643071768731E-3</v>
      </c>
      <c r="G371">
        <f>VLOOKUP(D371,'[1]202512 BE lapse'!$C:$D,2,0)</f>
        <v>6.3823706200260401E-3</v>
      </c>
      <c r="H371">
        <f>VLOOKUP($B371,'[1]202512 RFR'!$A:$B,2,0)</f>
        <v>1.4999999999999999E-2</v>
      </c>
      <c r="I371">
        <f t="shared" si="63"/>
        <v>1.507140498171921</v>
      </c>
      <c r="J371">
        <f t="shared" si="64"/>
        <v>1.0672372484270421E-3</v>
      </c>
      <c r="K371">
        <f t="shared" si="65"/>
        <v>0</v>
      </c>
      <c r="L371">
        <f t="shared" si="57"/>
        <v>0.695755644832038</v>
      </c>
      <c r="M371">
        <f>IF(AND(MOD(C371,12)=1,D371&lt;='[1]Product parameters'!$C$2),I370*[1]model_point!$G$2,0)</f>
        <v>0</v>
      </c>
      <c r="N371">
        <f t="shared" si="58"/>
        <v>0</v>
      </c>
      <c r="O371">
        <f>[2]results_sample_product_cf!G370</f>
        <v>0</v>
      </c>
      <c r="P371">
        <f>[2]results_sample_product_cf!H370</f>
        <v>0</v>
      </c>
      <c r="Q371">
        <f t="shared" si="59"/>
        <v>0</v>
      </c>
      <c r="R371">
        <f t="shared" si="55"/>
        <v>0</v>
      </c>
    </row>
    <row r="372" spans="1:18" x14ac:dyDescent="0.3">
      <c r="A372">
        <f t="shared" si="60"/>
        <v>369</v>
      </c>
      <c r="B372">
        <f t="shared" si="61"/>
        <v>31</v>
      </c>
      <c r="C372">
        <f t="shared" si="62"/>
        <v>374</v>
      </c>
      <c r="D372">
        <f t="shared" si="56"/>
        <v>32</v>
      </c>
      <c r="E372">
        <f>[1]model_point!$C$2+D372-1</f>
        <v>36</v>
      </c>
      <c r="F372">
        <f>VLOOKUP(E372,'[1]202512 BE mortality'!$A:$C,3,0)</f>
        <v>8.4584643071768731E-3</v>
      </c>
      <c r="G372">
        <f>VLOOKUP(D372,'[1]202512 BE lapse'!$C:$D,2,0)</f>
        <v>6.3823706200260401E-3</v>
      </c>
      <c r="H372">
        <f>VLOOKUP($B372,'[1]202512 RFR'!$A:$B,2,0)</f>
        <v>1.4999999999999999E-2</v>
      </c>
      <c r="I372">
        <f t="shared" si="63"/>
        <v>1.5060740161214137</v>
      </c>
      <c r="J372">
        <f t="shared" si="64"/>
        <v>1.0664820505072326E-3</v>
      </c>
      <c r="K372">
        <f t="shared" si="65"/>
        <v>0</v>
      </c>
      <c r="L372">
        <f t="shared" si="57"/>
        <v>0.69489294377809019</v>
      </c>
      <c r="M372">
        <f>IF(AND(MOD(C372,12)=1,D372&lt;='[1]Product parameters'!$C$2),I371*[1]model_point!$G$2,0)</f>
        <v>0</v>
      </c>
      <c r="N372">
        <f t="shared" si="58"/>
        <v>0</v>
      </c>
      <c r="O372">
        <f>[2]results_sample_product_cf!G371</f>
        <v>0</v>
      </c>
      <c r="P372">
        <f>[2]results_sample_product_cf!H371</f>
        <v>0</v>
      </c>
      <c r="Q372">
        <f t="shared" si="59"/>
        <v>0</v>
      </c>
      <c r="R372">
        <f t="shared" si="55"/>
        <v>0</v>
      </c>
    </row>
    <row r="373" spans="1:18" x14ac:dyDescent="0.3">
      <c r="A373">
        <f t="shared" si="60"/>
        <v>370</v>
      </c>
      <c r="B373">
        <f t="shared" si="61"/>
        <v>31</v>
      </c>
      <c r="C373">
        <f t="shared" si="62"/>
        <v>375</v>
      </c>
      <c r="D373">
        <f t="shared" si="56"/>
        <v>32</v>
      </c>
      <c r="E373">
        <f>[1]model_point!$C$2+D373-1</f>
        <v>36</v>
      </c>
      <c r="F373">
        <f>VLOOKUP(E373,'[1]202512 BE mortality'!$A:$C,3,0)</f>
        <v>8.4584643071768731E-3</v>
      </c>
      <c r="G373">
        <f>VLOOKUP(D373,'[1]202512 BE lapse'!$C:$D,2,0)</f>
        <v>6.3823706200260401E-3</v>
      </c>
      <c r="H373">
        <f>VLOOKUP($B373,'[1]202512 RFR'!$A:$B,2,0)</f>
        <v>1.4999999999999999E-2</v>
      </c>
      <c r="I373">
        <f t="shared" si="63"/>
        <v>1.5050082887344334</v>
      </c>
      <c r="J373">
        <f t="shared" si="64"/>
        <v>1.0657273869802198E-3</v>
      </c>
      <c r="K373">
        <f t="shared" si="65"/>
        <v>0</v>
      </c>
      <c r="L373">
        <f t="shared" si="57"/>
        <v>0.69403131242887861</v>
      </c>
      <c r="M373">
        <f>IF(AND(MOD(C373,12)=1,D373&lt;='[1]Product parameters'!$C$2),I372*[1]model_point!$G$2,0)</f>
        <v>0</v>
      </c>
      <c r="N373">
        <f t="shared" si="58"/>
        <v>0</v>
      </c>
      <c r="O373">
        <f>[2]results_sample_product_cf!G372</f>
        <v>0</v>
      </c>
      <c r="P373">
        <f>[2]results_sample_product_cf!H372</f>
        <v>0</v>
      </c>
      <c r="Q373">
        <f t="shared" si="59"/>
        <v>0</v>
      </c>
      <c r="R373">
        <f t="shared" si="55"/>
        <v>0</v>
      </c>
    </row>
    <row r="374" spans="1:18" x14ac:dyDescent="0.3">
      <c r="A374">
        <f t="shared" si="60"/>
        <v>371</v>
      </c>
      <c r="B374">
        <f t="shared" si="61"/>
        <v>31</v>
      </c>
      <c r="C374">
        <f t="shared" si="62"/>
        <v>376</v>
      </c>
      <c r="D374">
        <f t="shared" si="56"/>
        <v>32</v>
      </c>
      <c r="E374">
        <f>[1]model_point!$C$2+D374-1</f>
        <v>36</v>
      </c>
      <c r="F374">
        <f>VLOOKUP(E374,'[1]202512 BE mortality'!$A:$C,3,0)</f>
        <v>8.4584643071768731E-3</v>
      </c>
      <c r="G374">
        <f>VLOOKUP(D374,'[1]202512 BE lapse'!$C:$D,2,0)</f>
        <v>6.3823706200260401E-3</v>
      </c>
      <c r="H374">
        <f>VLOOKUP($B374,'[1]202512 RFR'!$A:$B,2,0)</f>
        <v>1.4999999999999999E-2</v>
      </c>
      <c r="I374">
        <f t="shared" si="63"/>
        <v>1.5039433154769655</v>
      </c>
      <c r="J374">
        <f t="shared" si="64"/>
        <v>1.0649732574678572E-3</v>
      </c>
      <c r="K374">
        <f t="shared" si="65"/>
        <v>0</v>
      </c>
      <c r="L374">
        <f t="shared" si="57"/>
        <v>0.69317074945802448</v>
      </c>
      <c r="M374">
        <f>IF(AND(MOD(C374,12)=1,D374&lt;='[1]Product parameters'!$C$2),I373*[1]model_point!$G$2,0)</f>
        <v>0</v>
      </c>
      <c r="N374">
        <f t="shared" si="58"/>
        <v>0</v>
      </c>
      <c r="O374">
        <f>[2]results_sample_product_cf!G373</f>
        <v>0</v>
      </c>
      <c r="P374">
        <f>[2]results_sample_product_cf!H373</f>
        <v>0</v>
      </c>
      <c r="Q374">
        <f t="shared" si="59"/>
        <v>0</v>
      </c>
      <c r="R374">
        <f t="shared" si="55"/>
        <v>0</v>
      </c>
    </row>
    <row r="375" spans="1:18" x14ac:dyDescent="0.3">
      <c r="A375">
        <f t="shared" si="60"/>
        <v>372</v>
      </c>
      <c r="B375">
        <f t="shared" si="61"/>
        <v>31</v>
      </c>
      <c r="C375">
        <f t="shared" si="62"/>
        <v>377</v>
      </c>
      <c r="D375">
        <f t="shared" si="56"/>
        <v>32</v>
      </c>
      <c r="E375">
        <f>[1]model_point!$C$2+D375-1</f>
        <v>36</v>
      </c>
      <c r="F375">
        <f>VLOOKUP(E375,'[1]202512 BE mortality'!$A:$C,3,0)</f>
        <v>8.4584643071768731E-3</v>
      </c>
      <c r="G375">
        <f>VLOOKUP(D375,'[1]202512 BE lapse'!$C:$D,2,0)</f>
        <v>6.3823706200260401E-3</v>
      </c>
      <c r="H375">
        <f>VLOOKUP($B375,'[1]202512 RFR'!$A:$B,2,0)</f>
        <v>1.4999999999999999E-2</v>
      </c>
      <c r="I375">
        <f t="shared" si="63"/>
        <v>1.5028790958153733</v>
      </c>
      <c r="J375">
        <f t="shared" si="64"/>
        <v>1.0642196615922653E-3</v>
      </c>
      <c r="K375">
        <f t="shared" si="65"/>
        <v>0</v>
      </c>
      <c r="L375">
        <f t="shared" si="57"/>
        <v>0.69231125354079404</v>
      </c>
      <c r="M375">
        <f>IF(AND(MOD(C375,12)=1,D375&lt;='[1]Product parameters'!$C$2),I374*[1]model_point!$G$2,0)</f>
        <v>0</v>
      </c>
      <c r="N375">
        <f t="shared" si="58"/>
        <v>0</v>
      </c>
      <c r="O375">
        <f>[2]results_sample_product_cf!G374</f>
        <v>0</v>
      </c>
      <c r="P375">
        <f>[2]results_sample_product_cf!H374</f>
        <v>0</v>
      </c>
      <c r="Q375">
        <f t="shared" si="59"/>
        <v>0</v>
      </c>
      <c r="R375">
        <f t="shared" si="55"/>
        <v>0</v>
      </c>
    </row>
    <row r="376" spans="1:18" x14ac:dyDescent="0.3">
      <c r="A376">
        <f t="shared" si="60"/>
        <v>373</v>
      </c>
      <c r="B376">
        <f t="shared" si="61"/>
        <v>32</v>
      </c>
      <c r="C376">
        <f t="shared" si="62"/>
        <v>378</v>
      </c>
      <c r="D376">
        <f t="shared" si="56"/>
        <v>32</v>
      </c>
      <c r="E376">
        <f>[1]model_point!$C$2+D376-1</f>
        <v>36</v>
      </c>
      <c r="F376">
        <f>VLOOKUP(E376,'[1]202512 BE mortality'!$A:$C,3,0)</f>
        <v>8.4584643071768731E-3</v>
      </c>
      <c r="G376">
        <f>VLOOKUP(D376,'[1]202512 BE lapse'!$C:$D,2,0)</f>
        <v>6.3823706200260401E-3</v>
      </c>
      <c r="H376">
        <f>VLOOKUP($B376,'[1]202512 RFR'!$A:$B,2,0)</f>
        <v>1.4999999999999999E-2</v>
      </c>
      <c r="I376">
        <f t="shared" si="63"/>
        <v>1.5018156292163973</v>
      </c>
      <c r="J376">
        <f t="shared" si="64"/>
        <v>1.0634665989758326E-3</v>
      </c>
      <c r="K376">
        <f t="shared" si="65"/>
        <v>0</v>
      </c>
      <c r="L376">
        <f t="shared" si="57"/>
        <v>0.69145282335409575</v>
      </c>
      <c r="M376">
        <f>IF(AND(MOD(C376,12)=1,D376&lt;='[1]Product parameters'!$C$2),I375*[1]model_point!$G$2,0)</f>
        <v>0</v>
      </c>
      <c r="N376">
        <f t="shared" si="58"/>
        <v>0</v>
      </c>
      <c r="O376">
        <f>[2]results_sample_product_cf!G375</f>
        <v>0</v>
      </c>
      <c r="P376">
        <f>[2]results_sample_product_cf!H375</f>
        <v>0</v>
      </c>
      <c r="Q376">
        <f t="shared" si="59"/>
        <v>0</v>
      </c>
      <c r="R376">
        <f t="shared" si="55"/>
        <v>0</v>
      </c>
    </row>
    <row r="377" spans="1:18" x14ac:dyDescent="0.3">
      <c r="A377">
        <f t="shared" si="60"/>
        <v>374</v>
      </c>
      <c r="B377">
        <f t="shared" si="61"/>
        <v>32</v>
      </c>
      <c r="C377">
        <f t="shared" si="62"/>
        <v>379</v>
      </c>
      <c r="D377">
        <f t="shared" si="56"/>
        <v>32</v>
      </c>
      <c r="E377">
        <f>[1]model_point!$C$2+D377-1</f>
        <v>36</v>
      </c>
      <c r="F377">
        <f>VLOOKUP(E377,'[1]202512 BE mortality'!$A:$C,3,0)</f>
        <v>8.4584643071768731E-3</v>
      </c>
      <c r="G377">
        <f>VLOOKUP(D377,'[1]202512 BE lapse'!$C:$D,2,0)</f>
        <v>6.3823706200260401E-3</v>
      </c>
      <c r="H377">
        <f>VLOOKUP($B377,'[1]202512 RFR'!$A:$B,2,0)</f>
        <v>1.4999999999999999E-2</v>
      </c>
      <c r="I377">
        <f t="shared" si="63"/>
        <v>1.5007529151471561</v>
      </c>
      <c r="J377">
        <f t="shared" si="64"/>
        <v>1.0627140692412143E-3</v>
      </c>
      <c r="K377">
        <f t="shared" si="65"/>
        <v>0</v>
      </c>
      <c r="L377">
        <f t="shared" si="57"/>
        <v>0.69059545757647889</v>
      </c>
      <c r="M377">
        <f>IF(AND(MOD(C377,12)=1,D377&lt;='[1]Product parameters'!$C$2),I376*[1]model_point!$G$2,0)</f>
        <v>0</v>
      </c>
      <c r="N377">
        <f t="shared" si="58"/>
        <v>0</v>
      </c>
      <c r="O377">
        <f>[2]results_sample_product_cf!G376</f>
        <v>0</v>
      </c>
      <c r="P377">
        <f>[2]results_sample_product_cf!H376</f>
        <v>0</v>
      </c>
      <c r="Q377">
        <f t="shared" si="59"/>
        <v>0</v>
      </c>
      <c r="R377">
        <f t="shared" si="55"/>
        <v>0</v>
      </c>
    </row>
    <row r="378" spans="1:18" x14ac:dyDescent="0.3">
      <c r="A378">
        <f t="shared" si="60"/>
        <v>375</v>
      </c>
      <c r="B378">
        <f t="shared" si="61"/>
        <v>32</v>
      </c>
      <c r="C378">
        <f t="shared" si="62"/>
        <v>380</v>
      </c>
      <c r="D378">
        <f t="shared" si="56"/>
        <v>32</v>
      </c>
      <c r="E378">
        <f>[1]model_point!$C$2+D378-1</f>
        <v>36</v>
      </c>
      <c r="F378">
        <f>VLOOKUP(E378,'[1]202512 BE mortality'!$A:$C,3,0)</f>
        <v>8.4584643071768731E-3</v>
      </c>
      <c r="G378">
        <f>VLOOKUP(D378,'[1]202512 BE lapse'!$C:$D,2,0)</f>
        <v>6.3823706200260401E-3</v>
      </c>
      <c r="H378">
        <f>VLOOKUP($B378,'[1]202512 RFR'!$A:$B,2,0)</f>
        <v>1.4999999999999999E-2</v>
      </c>
      <c r="I378">
        <f t="shared" si="63"/>
        <v>1.4996909530751448</v>
      </c>
      <c r="J378">
        <f t="shared" si="64"/>
        <v>1.0619620720113332E-3</v>
      </c>
      <c r="K378">
        <f t="shared" si="65"/>
        <v>0</v>
      </c>
      <c r="L378">
        <f t="shared" si="57"/>
        <v>0.6897391548881312</v>
      </c>
      <c r="M378">
        <f>IF(AND(MOD(C378,12)=1,D378&lt;='[1]Product parameters'!$C$2),I377*[1]model_point!$G$2,0)</f>
        <v>0</v>
      </c>
      <c r="N378">
        <f t="shared" si="58"/>
        <v>0</v>
      </c>
      <c r="O378">
        <f>[2]results_sample_product_cf!G377</f>
        <v>0</v>
      </c>
      <c r="P378">
        <f>[2]results_sample_product_cf!H377</f>
        <v>0</v>
      </c>
      <c r="Q378">
        <f t="shared" si="59"/>
        <v>0</v>
      </c>
      <c r="R378">
        <f t="shared" si="55"/>
        <v>0</v>
      </c>
    </row>
    <row r="379" spans="1:18" x14ac:dyDescent="0.3">
      <c r="A379">
        <f t="shared" si="60"/>
        <v>376</v>
      </c>
      <c r="B379">
        <f t="shared" si="61"/>
        <v>32</v>
      </c>
      <c r="C379">
        <f t="shared" si="62"/>
        <v>381</v>
      </c>
      <c r="D379">
        <f t="shared" si="56"/>
        <v>32</v>
      </c>
      <c r="E379">
        <f>[1]model_point!$C$2+D379-1</f>
        <v>36</v>
      </c>
      <c r="F379">
        <f>VLOOKUP(E379,'[1]202512 BE mortality'!$A:$C,3,0)</f>
        <v>8.4584643071768731E-3</v>
      </c>
      <c r="G379">
        <f>VLOOKUP(D379,'[1]202512 BE lapse'!$C:$D,2,0)</f>
        <v>6.3823706200260401E-3</v>
      </c>
      <c r="H379">
        <f>VLOOKUP($B379,'[1]202512 RFR'!$A:$B,2,0)</f>
        <v>1.4999999999999999E-2</v>
      </c>
      <c r="I379">
        <f t="shared" si="63"/>
        <v>1.4986297424682353</v>
      </c>
      <c r="J379">
        <f t="shared" si="64"/>
        <v>1.0612106069093779E-3</v>
      </c>
      <c r="K379">
        <f t="shared" si="65"/>
        <v>0</v>
      </c>
      <c r="L379">
        <f t="shared" si="57"/>
        <v>0.68888391397087689</v>
      </c>
      <c r="M379">
        <f>IF(AND(MOD(C379,12)=1,D379&lt;='[1]Product parameters'!$C$2),I378*[1]model_point!$G$2,0)</f>
        <v>0</v>
      </c>
      <c r="N379">
        <f t="shared" si="58"/>
        <v>0</v>
      </c>
      <c r="O379">
        <f>[2]results_sample_product_cf!G378</f>
        <v>0</v>
      </c>
      <c r="P379">
        <f>[2]results_sample_product_cf!H378</f>
        <v>0</v>
      </c>
      <c r="Q379">
        <f t="shared" si="59"/>
        <v>0</v>
      </c>
      <c r="R379">
        <f t="shared" si="55"/>
        <v>0</v>
      </c>
    </row>
    <row r="380" spans="1:18" x14ac:dyDescent="0.3">
      <c r="A380">
        <f t="shared" si="60"/>
        <v>377</v>
      </c>
      <c r="B380">
        <f t="shared" si="61"/>
        <v>32</v>
      </c>
      <c r="C380">
        <f t="shared" si="62"/>
        <v>382</v>
      </c>
      <c r="D380">
        <f t="shared" si="56"/>
        <v>32</v>
      </c>
      <c r="E380">
        <f>[1]model_point!$C$2+D380-1</f>
        <v>36</v>
      </c>
      <c r="F380">
        <f>VLOOKUP(E380,'[1]202512 BE mortality'!$A:$C,3,0)</f>
        <v>8.4584643071768731E-3</v>
      </c>
      <c r="G380">
        <f>VLOOKUP(D380,'[1]202512 BE lapse'!$C:$D,2,0)</f>
        <v>6.3823706200260401E-3</v>
      </c>
      <c r="H380">
        <f>VLOOKUP($B380,'[1]202512 RFR'!$A:$B,2,0)</f>
        <v>1.4999999999999999E-2</v>
      </c>
      <c r="I380">
        <f t="shared" si="63"/>
        <v>1.4975692827946765</v>
      </c>
      <c r="J380">
        <f t="shared" si="64"/>
        <v>1.0604596735588046E-3</v>
      </c>
      <c r="K380">
        <f t="shared" si="65"/>
        <v>0</v>
      </c>
      <c r="L380">
        <f t="shared" si="57"/>
        <v>0.68802973350817465</v>
      </c>
      <c r="M380">
        <f>IF(AND(MOD(C380,12)=1,D380&lt;='[1]Product parameters'!$C$2),I379*[1]model_point!$G$2,0)</f>
        <v>0</v>
      </c>
      <c r="N380">
        <f t="shared" si="58"/>
        <v>0</v>
      </c>
      <c r="O380">
        <f>[2]results_sample_product_cf!G379</f>
        <v>0</v>
      </c>
      <c r="P380">
        <f>[2]results_sample_product_cf!H379</f>
        <v>0</v>
      </c>
      <c r="Q380">
        <f t="shared" si="59"/>
        <v>0</v>
      </c>
      <c r="R380">
        <f t="shared" si="55"/>
        <v>0</v>
      </c>
    </row>
    <row r="381" spans="1:18" x14ac:dyDescent="0.3">
      <c r="A381">
        <f t="shared" si="60"/>
        <v>378</v>
      </c>
      <c r="B381">
        <f t="shared" si="61"/>
        <v>32</v>
      </c>
      <c r="C381">
        <f t="shared" si="62"/>
        <v>383</v>
      </c>
      <c r="D381">
        <f t="shared" si="56"/>
        <v>32</v>
      </c>
      <c r="E381">
        <f>[1]model_point!$C$2+D381-1</f>
        <v>36</v>
      </c>
      <c r="F381">
        <f>VLOOKUP(E381,'[1]202512 BE mortality'!$A:$C,3,0)</f>
        <v>8.4584643071768731E-3</v>
      </c>
      <c r="G381">
        <f>VLOOKUP(D381,'[1]202512 BE lapse'!$C:$D,2,0)</f>
        <v>6.3823706200260401E-3</v>
      </c>
      <c r="H381">
        <f>VLOOKUP($B381,'[1]202512 RFR'!$A:$B,2,0)</f>
        <v>1.4999999999999999E-2</v>
      </c>
      <c r="I381">
        <f t="shared" si="63"/>
        <v>1.4965095735230931</v>
      </c>
      <c r="J381">
        <f t="shared" si="64"/>
        <v>1.0597092715833357E-3</v>
      </c>
      <c r="K381">
        <f t="shared" si="65"/>
        <v>0</v>
      </c>
      <c r="L381">
        <f t="shared" si="57"/>
        <v>0.68717661218511561</v>
      </c>
      <c r="M381">
        <f>IF(AND(MOD(C381,12)=1,D381&lt;='[1]Product parameters'!$C$2),I380*[1]model_point!$G$2,0)</f>
        <v>0</v>
      </c>
      <c r="N381">
        <f t="shared" si="58"/>
        <v>0</v>
      </c>
      <c r="O381">
        <f>[2]results_sample_product_cf!G380</f>
        <v>0</v>
      </c>
      <c r="P381">
        <f>[2]results_sample_product_cf!H380</f>
        <v>0</v>
      </c>
      <c r="Q381">
        <f t="shared" si="59"/>
        <v>0</v>
      </c>
      <c r="R381">
        <f t="shared" si="55"/>
        <v>0</v>
      </c>
    </row>
    <row r="382" spans="1:18" x14ac:dyDescent="0.3">
      <c r="A382">
        <f t="shared" si="60"/>
        <v>379</v>
      </c>
      <c r="B382">
        <f t="shared" si="61"/>
        <v>32</v>
      </c>
      <c r="C382">
        <f t="shared" si="62"/>
        <v>384</v>
      </c>
      <c r="D382">
        <f t="shared" si="56"/>
        <v>32</v>
      </c>
      <c r="E382">
        <f>[1]model_point!$C$2+D382-1</f>
        <v>36</v>
      </c>
      <c r="F382">
        <f>VLOOKUP(E382,'[1]202512 BE mortality'!$A:$C,3,0)</f>
        <v>8.4584643071768731E-3</v>
      </c>
      <c r="G382">
        <f>VLOOKUP(D382,'[1]202512 BE lapse'!$C:$D,2,0)</f>
        <v>6.3823706200260401E-3</v>
      </c>
      <c r="H382">
        <f>VLOOKUP($B382,'[1]202512 RFR'!$A:$B,2,0)</f>
        <v>1.4999999999999999E-2</v>
      </c>
      <c r="I382">
        <f t="shared" si="63"/>
        <v>1.4859060940592108</v>
      </c>
      <c r="J382">
        <f t="shared" si="64"/>
        <v>1.0589594006069599E-3</v>
      </c>
      <c r="K382">
        <f t="shared" si="65"/>
        <v>9.5445200632752539E-3</v>
      </c>
      <c r="L382">
        <f t="shared" si="57"/>
        <v>0.6863245486884213</v>
      </c>
      <c r="M382">
        <f>IF(AND(MOD(C382,12)=1,D382&lt;='[1]Product parameters'!$C$2),I381*[1]model_point!$G$2,0)</f>
        <v>0</v>
      </c>
      <c r="N382">
        <f t="shared" si="58"/>
        <v>0</v>
      </c>
      <c r="O382">
        <f>[2]results_sample_product_cf!G381</f>
        <v>0</v>
      </c>
      <c r="P382">
        <f>[2]results_sample_product_cf!H381</f>
        <v>0</v>
      </c>
      <c r="Q382">
        <f t="shared" si="59"/>
        <v>0</v>
      </c>
      <c r="R382">
        <f t="shared" si="55"/>
        <v>0</v>
      </c>
    </row>
    <row r="383" spans="1:18" x14ac:dyDescent="0.3">
      <c r="A383">
        <f t="shared" si="60"/>
        <v>380</v>
      </c>
      <c r="B383">
        <f t="shared" si="61"/>
        <v>32</v>
      </c>
      <c r="C383">
        <f t="shared" si="62"/>
        <v>385</v>
      </c>
      <c r="D383">
        <f t="shared" si="56"/>
        <v>33</v>
      </c>
      <c r="E383">
        <f>[1]model_point!$C$2+D383-1</f>
        <v>37</v>
      </c>
      <c r="F383">
        <f>VLOOKUP(E383,'[1]202512 BE mortality'!$A:$C,3,0)</f>
        <v>8.9175996678306207E-3</v>
      </c>
      <c r="G383">
        <f>VLOOKUP(D383,'[1]202512 BE lapse'!$C:$D,2,0)</f>
        <v>1.2480150065299156E-3</v>
      </c>
      <c r="H383">
        <f>VLOOKUP($B383,'[1]202512 RFR'!$A:$B,2,0)</f>
        <v>1.4999999999999999E-2</v>
      </c>
      <c r="I383">
        <f t="shared" si="63"/>
        <v>1.4847973286393858</v>
      </c>
      <c r="J383">
        <f t="shared" si="64"/>
        <v>1.1087654198248893E-3</v>
      </c>
      <c r="K383">
        <f t="shared" si="65"/>
        <v>0</v>
      </c>
      <c r="L383">
        <f t="shared" si="57"/>
        <v>0.68547354170644181</v>
      </c>
      <c r="M383">
        <f>IF(AND(MOD(C383,12)=1,D383&lt;='[1]Product parameters'!$C$2),I382*[1]model_point!$G$2,0)</f>
        <v>0</v>
      </c>
      <c r="N383">
        <f t="shared" si="58"/>
        <v>0</v>
      </c>
      <c r="O383">
        <f>[2]results_sample_product_cf!G382</f>
        <v>0</v>
      </c>
      <c r="P383">
        <f>[2]results_sample_product_cf!H382</f>
        <v>0</v>
      </c>
      <c r="Q383">
        <f t="shared" si="59"/>
        <v>0</v>
      </c>
      <c r="R383">
        <f t="shared" si="55"/>
        <v>0</v>
      </c>
    </row>
    <row r="384" spans="1:18" x14ac:dyDescent="0.3">
      <c r="A384">
        <f t="shared" si="60"/>
        <v>381</v>
      </c>
      <c r="B384">
        <f t="shared" si="61"/>
        <v>32</v>
      </c>
      <c r="C384">
        <f t="shared" si="62"/>
        <v>386</v>
      </c>
      <c r="D384">
        <f t="shared" si="56"/>
        <v>33</v>
      </c>
      <c r="E384">
        <f>[1]model_point!$C$2+D384-1</f>
        <v>37</v>
      </c>
      <c r="F384">
        <f>VLOOKUP(E384,'[1]202512 BE mortality'!$A:$C,3,0)</f>
        <v>8.9175996678306207E-3</v>
      </c>
      <c r="G384">
        <f>VLOOKUP(D384,'[1]202512 BE lapse'!$C:$D,2,0)</f>
        <v>1.2480150065299156E-3</v>
      </c>
      <c r="H384">
        <f>VLOOKUP($B384,'[1]202512 RFR'!$A:$B,2,0)</f>
        <v>1.4999999999999999E-2</v>
      </c>
      <c r="I384">
        <f t="shared" si="63"/>
        <v>1.483689390567104</v>
      </c>
      <c r="J384">
        <f t="shared" si="64"/>
        <v>1.1079380722817877E-3</v>
      </c>
      <c r="K384">
        <f t="shared" si="65"/>
        <v>0</v>
      </c>
      <c r="L384">
        <f t="shared" si="57"/>
        <v>0.6846235899291534</v>
      </c>
      <c r="M384">
        <f>IF(AND(MOD(C384,12)=1,D384&lt;='[1]Product parameters'!$C$2),I383*[1]model_point!$G$2,0)</f>
        <v>0</v>
      </c>
      <c r="N384">
        <f t="shared" si="58"/>
        <v>0</v>
      </c>
      <c r="O384">
        <f>[2]results_sample_product_cf!G383</f>
        <v>0</v>
      </c>
      <c r="P384">
        <f>[2]results_sample_product_cf!H383</f>
        <v>0</v>
      </c>
      <c r="Q384">
        <f t="shared" si="59"/>
        <v>0</v>
      </c>
      <c r="R384">
        <f t="shared" si="55"/>
        <v>0</v>
      </c>
    </row>
    <row r="385" spans="1:18" x14ac:dyDescent="0.3">
      <c r="A385">
        <f t="shared" si="60"/>
        <v>382</v>
      </c>
      <c r="B385">
        <f t="shared" si="61"/>
        <v>32</v>
      </c>
      <c r="C385">
        <f t="shared" si="62"/>
        <v>387</v>
      </c>
      <c r="D385">
        <f t="shared" si="56"/>
        <v>33</v>
      </c>
      <c r="E385">
        <f>[1]model_point!$C$2+D385-1</f>
        <v>37</v>
      </c>
      <c r="F385">
        <f>VLOOKUP(E385,'[1]202512 BE mortality'!$A:$C,3,0)</f>
        <v>8.9175996678306207E-3</v>
      </c>
      <c r="G385">
        <f>VLOOKUP(D385,'[1]202512 BE lapse'!$C:$D,2,0)</f>
        <v>1.2480150065299156E-3</v>
      </c>
      <c r="H385">
        <f>VLOOKUP($B385,'[1]202512 RFR'!$A:$B,2,0)</f>
        <v>1.4999999999999999E-2</v>
      </c>
      <c r="I385">
        <f t="shared" si="63"/>
        <v>1.4825822792250085</v>
      </c>
      <c r="J385">
        <f t="shared" si="64"/>
        <v>1.1071113420955633E-3</v>
      </c>
      <c r="K385">
        <f t="shared" si="65"/>
        <v>0</v>
      </c>
      <c r="L385">
        <f t="shared" si="57"/>
        <v>0.68377469204815677</v>
      </c>
      <c r="M385">
        <f>IF(AND(MOD(C385,12)=1,D385&lt;='[1]Product parameters'!$C$2),I384*[1]model_point!$G$2,0)</f>
        <v>0</v>
      </c>
      <c r="N385">
        <f t="shared" si="58"/>
        <v>0</v>
      </c>
      <c r="O385">
        <f>[2]results_sample_product_cf!G384</f>
        <v>0</v>
      </c>
      <c r="P385">
        <f>[2]results_sample_product_cf!H384</f>
        <v>0</v>
      </c>
      <c r="Q385">
        <f t="shared" si="59"/>
        <v>0</v>
      </c>
      <c r="R385">
        <f t="shared" si="55"/>
        <v>0</v>
      </c>
    </row>
    <row r="386" spans="1:18" x14ac:dyDescent="0.3">
      <c r="A386">
        <f t="shared" si="60"/>
        <v>383</v>
      </c>
      <c r="B386">
        <f t="shared" si="61"/>
        <v>32</v>
      </c>
      <c r="C386">
        <f t="shared" si="62"/>
        <v>388</v>
      </c>
      <c r="D386">
        <f t="shared" si="56"/>
        <v>33</v>
      </c>
      <c r="E386">
        <f>[1]model_point!$C$2+D386-1</f>
        <v>37</v>
      </c>
      <c r="F386">
        <f>VLOOKUP(E386,'[1]202512 BE mortality'!$A:$C,3,0)</f>
        <v>8.9175996678306207E-3</v>
      </c>
      <c r="G386">
        <f>VLOOKUP(D386,'[1]202512 BE lapse'!$C:$D,2,0)</f>
        <v>1.2480150065299156E-3</v>
      </c>
      <c r="H386">
        <f>VLOOKUP($B386,'[1]202512 RFR'!$A:$B,2,0)</f>
        <v>1.4999999999999999E-2</v>
      </c>
      <c r="I386">
        <f t="shared" si="63"/>
        <v>1.481475993996203</v>
      </c>
      <c r="J386">
        <f t="shared" si="64"/>
        <v>1.1062852288055518E-3</v>
      </c>
      <c r="K386">
        <f t="shared" si="65"/>
        <v>0</v>
      </c>
      <c r="L386">
        <f t="shared" si="57"/>
        <v>0.68292684675667492</v>
      </c>
      <c r="M386">
        <f>IF(AND(MOD(C386,12)=1,D386&lt;='[1]Product parameters'!$C$2),I385*[1]model_point!$G$2,0)</f>
        <v>0</v>
      </c>
      <c r="N386">
        <f t="shared" si="58"/>
        <v>0</v>
      </c>
      <c r="O386">
        <f>[2]results_sample_product_cf!G385</f>
        <v>0</v>
      </c>
      <c r="P386">
        <f>[2]results_sample_product_cf!H385</f>
        <v>0</v>
      </c>
      <c r="Q386">
        <f t="shared" si="59"/>
        <v>0</v>
      </c>
      <c r="R386">
        <f t="shared" si="55"/>
        <v>0</v>
      </c>
    </row>
    <row r="387" spans="1:18" x14ac:dyDescent="0.3">
      <c r="A387">
        <f t="shared" si="60"/>
        <v>384</v>
      </c>
      <c r="B387">
        <f t="shared" si="61"/>
        <v>32</v>
      </c>
      <c r="C387">
        <f t="shared" si="62"/>
        <v>389</v>
      </c>
      <c r="D387">
        <f t="shared" si="56"/>
        <v>33</v>
      </c>
      <c r="E387">
        <f>[1]model_point!$C$2+D387-1</f>
        <v>37</v>
      </c>
      <c r="F387">
        <f>VLOOKUP(E387,'[1]202512 BE mortality'!$A:$C,3,0)</f>
        <v>8.9175996678306207E-3</v>
      </c>
      <c r="G387">
        <f>VLOOKUP(D387,'[1]202512 BE lapse'!$C:$D,2,0)</f>
        <v>1.2480150065299156E-3</v>
      </c>
      <c r="H387">
        <f>VLOOKUP($B387,'[1]202512 RFR'!$A:$B,2,0)</f>
        <v>1.4999999999999999E-2</v>
      </c>
      <c r="I387">
        <f t="shared" si="63"/>
        <v>1.4803705342642515</v>
      </c>
      <c r="J387">
        <f t="shared" si="64"/>
        <v>1.1054597319514324E-3</v>
      </c>
      <c r="K387">
        <f t="shared" si="65"/>
        <v>0</v>
      </c>
      <c r="L387">
        <f t="shared" si="57"/>
        <v>0.6820800527495513</v>
      </c>
      <c r="M387">
        <f>IF(AND(MOD(C387,12)=1,D387&lt;='[1]Product parameters'!$C$2),I386*[1]model_point!$G$2,0)</f>
        <v>0</v>
      </c>
      <c r="N387">
        <f t="shared" si="58"/>
        <v>0</v>
      </c>
      <c r="O387">
        <f>[2]results_sample_product_cf!G386</f>
        <v>0</v>
      </c>
      <c r="P387">
        <f>[2]results_sample_product_cf!H386</f>
        <v>0</v>
      </c>
      <c r="Q387">
        <f t="shared" si="59"/>
        <v>0</v>
      </c>
      <c r="R387">
        <f t="shared" ref="R387:R450" si="66">ROUND(N387-P387,6)</f>
        <v>0</v>
      </c>
    </row>
    <row r="388" spans="1:18" x14ac:dyDescent="0.3">
      <c r="A388">
        <f t="shared" si="60"/>
        <v>385</v>
      </c>
      <c r="B388">
        <f t="shared" si="61"/>
        <v>33</v>
      </c>
      <c r="C388">
        <f t="shared" si="62"/>
        <v>390</v>
      </c>
      <c r="D388">
        <f t="shared" ref="D388:D451" si="67">TRUNC((C388-1)/12,0)+1</f>
        <v>33</v>
      </c>
      <c r="E388">
        <f>[1]model_point!$C$2+D388-1</f>
        <v>37</v>
      </c>
      <c r="F388">
        <f>VLOOKUP(E388,'[1]202512 BE mortality'!$A:$C,3,0)</f>
        <v>8.9175996678306207E-3</v>
      </c>
      <c r="G388">
        <f>VLOOKUP(D388,'[1]202512 BE lapse'!$C:$D,2,0)</f>
        <v>1.2480150065299156E-3</v>
      </c>
      <c r="H388">
        <f>VLOOKUP($B388,'[1]202512 RFR'!$A:$B,2,0)</f>
        <v>1.4999999999999999E-2</v>
      </c>
      <c r="I388">
        <f t="shared" si="63"/>
        <v>1.4792658994131782</v>
      </c>
      <c r="J388">
        <f t="shared" si="64"/>
        <v>1.1046348510732281E-3</v>
      </c>
      <c r="K388">
        <f t="shared" si="65"/>
        <v>0</v>
      </c>
      <c r="L388">
        <f t="shared" ref="L388:L451" si="68">L387/(1+H388)^(1/12)</f>
        <v>0.68123430872324753</v>
      </c>
      <c r="M388">
        <f>IF(AND(MOD(C388,12)=1,D388&lt;='[1]Product parameters'!$C$2),I387*[1]model_point!$G$2,0)</f>
        <v>0</v>
      </c>
      <c r="N388">
        <f t="shared" ref="N388:N451" si="69">SUMPRODUCT(L388:L1587,M389:M1588)/L388</f>
        <v>0</v>
      </c>
      <c r="O388">
        <f>[2]results_sample_product_cf!G387</f>
        <v>0</v>
      </c>
      <c r="P388">
        <f>[2]results_sample_product_cf!H387</f>
        <v>0</v>
      </c>
      <c r="Q388">
        <f t="shared" ref="Q388:Q451" si="70">ROUND(M388-O388,6)</f>
        <v>0</v>
      </c>
      <c r="R388">
        <f t="shared" si="66"/>
        <v>0</v>
      </c>
    </row>
    <row r="389" spans="1:18" x14ac:dyDescent="0.3">
      <c r="A389">
        <f t="shared" ref="A389:A452" si="71">A388+1</f>
        <v>386</v>
      </c>
      <c r="B389">
        <f t="shared" ref="B389:B452" si="72">INT((A389-1)/12)+1</f>
        <v>33</v>
      </c>
      <c r="C389">
        <f t="shared" ref="C389:C452" si="73">C388+1</f>
        <v>391</v>
      </c>
      <c r="D389">
        <f t="shared" si="67"/>
        <v>33</v>
      </c>
      <c r="E389">
        <f>[1]model_point!$C$2+D389-1</f>
        <v>37</v>
      </c>
      <c r="F389">
        <f>VLOOKUP(E389,'[1]202512 BE mortality'!$A:$C,3,0)</f>
        <v>8.9175996678306207E-3</v>
      </c>
      <c r="G389">
        <f>VLOOKUP(D389,'[1]202512 BE lapse'!$C:$D,2,0)</f>
        <v>1.2480150065299156E-3</v>
      </c>
      <c r="H389">
        <f>VLOOKUP($B389,'[1]202512 RFR'!$A:$B,2,0)</f>
        <v>1.4999999999999999E-2</v>
      </c>
      <c r="I389">
        <f t="shared" ref="I389:I452" si="74">I388-J389-K389</f>
        <v>1.4781620888274669</v>
      </c>
      <c r="J389">
        <f t="shared" ref="J389:J452" si="75">I388*(1-(1-F389)^(1/12))</f>
        <v>1.103810585711305E-3</v>
      </c>
      <c r="K389">
        <f t="shared" ref="K389:K452" si="76">(I388-J389)*IF(MOD(C389,12)=0,G389,0)</f>
        <v>0</v>
      </c>
      <c r="L389">
        <f t="shared" si="68"/>
        <v>0.6803896133758417</v>
      </c>
      <c r="M389">
        <f>IF(AND(MOD(C389,12)=1,D389&lt;='[1]Product parameters'!$C$2),I388*[1]model_point!$G$2,0)</f>
        <v>0</v>
      </c>
      <c r="N389">
        <f t="shared" si="69"/>
        <v>0</v>
      </c>
      <c r="O389">
        <f>[2]results_sample_product_cf!G388</f>
        <v>0</v>
      </c>
      <c r="P389">
        <f>[2]results_sample_product_cf!H388</f>
        <v>0</v>
      </c>
      <c r="Q389">
        <f t="shared" si="70"/>
        <v>0</v>
      </c>
      <c r="R389">
        <f t="shared" si="66"/>
        <v>0</v>
      </c>
    </row>
    <row r="390" spans="1:18" x14ac:dyDescent="0.3">
      <c r="A390">
        <f t="shared" si="71"/>
        <v>387</v>
      </c>
      <c r="B390">
        <f t="shared" si="72"/>
        <v>33</v>
      </c>
      <c r="C390">
        <f t="shared" si="73"/>
        <v>392</v>
      </c>
      <c r="D390">
        <f t="shared" si="67"/>
        <v>33</v>
      </c>
      <c r="E390">
        <f>[1]model_point!$C$2+D390-1</f>
        <v>37</v>
      </c>
      <c r="F390">
        <f>VLOOKUP(E390,'[1]202512 BE mortality'!$A:$C,3,0)</f>
        <v>8.9175996678306207E-3</v>
      </c>
      <c r="G390">
        <f>VLOOKUP(D390,'[1]202512 BE lapse'!$C:$D,2,0)</f>
        <v>1.2480150065299156E-3</v>
      </c>
      <c r="H390">
        <f>VLOOKUP($B390,'[1]202512 RFR'!$A:$B,2,0)</f>
        <v>1.4999999999999999E-2</v>
      </c>
      <c r="I390">
        <f t="shared" si="74"/>
        <v>1.4770591018920605</v>
      </c>
      <c r="J390">
        <f t="shared" si="75"/>
        <v>1.1029869354063722E-3</v>
      </c>
      <c r="K390">
        <f t="shared" si="76"/>
        <v>0</v>
      </c>
      <c r="L390">
        <f t="shared" si="68"/>
        <v>0.67954596540702616</v>
      </c>
      <c r="M390">
        <f>IF(AND(MOD(C390,12)=1,D390&lt;='[1]Product parameters'!$C$2),I389*[1]model_point!$G$2,0)</f>
        <v>0</v>
      </c>
      <c r="N390">
        <f t="shared" si="69"/>
        <v>0</v>
      </c>
      <c r="O390">
        <f>[2]results_sample_product_cf!G389</f>
        <v>0</v>
      </c>
      <c r="P390">
        <f>[2]results_sample_product_cf!H389</f>
        <v>0</v>
      </c>
      <c r="Q390">
        <f t="shared" si="70"/>
        <v>0</v>
      </c>
      <c r="R390">
        <f t="shared" si="66"/>
        <v>0</v>
      </c>
    </row>
    <row r="391" spans="1:18" x14ac:dyDescent="0.3">
      <c r="A391">
        <f t="shared" si="71"/>
        <v>388</v>
      </c>
      <c r="B391">
        <f t="shared" si="72"/>
        <v>33</v>
      </c>
      <c r="C391">
        <f t="shared" si="73"/>
        <v>393</v>
      </c>
      <c r="D391">
        <f t="shared" si="67"/>
        <v>33</v>
      </c>
      <c r="E391">
        <f>[1]model_point!$C$2+D391-1</f>
        <v>37</v>
      </c>
      <c r="F391">
        <f>VLOOKUP(E391,'[1]202512 BE mortality'!$A:$C,3,0)</f>
        <v>8.9175996678306207E-3</v>
      </c>
      <c r="G391">
        <f>VLOOKUP(D391,'[1]202512 BE lapse'!$C:$D,2,0)</f>
        <v>1.2480150065299156E-3</v>
      </c>
      <c r="H391">
        <f>VLOOKUP($B391,'[1]202512 RFR'!$A:$B,2,0)</f>
        <v>1.4999999999999999E-2</v>
      </c>
      <c r="I391">
        <f t="shared" si="74"/>
        <v>1.4759569379923609</v>
      </c>
      <c r="J391">
        <f t="shared" si="75"/>
        <v>1.1021638996994816E-3</v>
      </c>
      <c r="K391">
        <f t="shared" si="76"/>
        <v>0</v>
      </c>
      <c r="L391">
        <f t="shared" si="68"/>
        <v>0.67870336351810567</v>
      </c>
      <c r="M391">
        <f>IF(AND(MOD(C391,12)=1,D391&lt;='[1]Product parameters'!$C$2),I390*[1]model_point!$G$2,0)</f>
        <v>0</v>
      </c>
      <c r="N391">
        <f t="shared" si="69"/>
        <v>0</v>
      </c>
      <c r="O391">
        <f>[2]results_sample_product_cf!G390</f>
        <v>0</v>
      </c>
      <c r="P391">
        <f>[2]results_sample_product_cf!H390</f>
        <v>0</v>
      </c>
      <c r="Q391">
        <f t="shared" si="70"/>
        <v>0</v>
      </c>
      <c r="R391">
        <f t="shared" si="66"/>
        <v>0</v>
      </c>
    </row>
    <row r="392" spans="1:18" x14ac:dyDescent="0.3">
      <c r="A392">
        <f t="shared" si="71"/>
        <v>389</v>
      </c>
      <c r="B392">
        <f t="shared" si="72"/>
        <v>33</v>
      </c>
      <c r="C392">
        <f t="shared" si="73"/>
        <v>394</v>
      </c>
      <c r="D392">
        <f t="shared" si="67"/>
        <v>33</v>
      </c>
      <c r="E392">
        <f>[1]model_point!$C$2+D392-1</f>
        <v>37</v>
      </c>
      <c r="F392">
        <f>VLOOKUP(E392,'[1]202512 BE mortality'!$A:$C,3,0)</f>
        <v>8.9175996678306207E-3</v>
      </c>
      <c r="G392">
        <f>VLOOKUP(D392,'[1]202512 BE lapse'!$C:$D,2,0)</f>
        <v>1.2480150065299156E-3</v>
      </c>
      <c r="H392">
        <f>VLOOKUP($B392,'[1]202512 RFR'!$A:$B,2,0)</f>
        <v>1.4999999999999999E-2</v>
      </c>
      <c r="I392">
        <f t="shared" si="74"/>
        <v>1.4748555965142289</v>
      </c>
      <c r="J392">
        <f t="shared" si="75"/>
        <v>1.1013414781320271E-3</v>
      </c>
      <c r="K392">
        <f t="shared" si="76"/>
        <v>0</v>
      </c>
      <c r="L392">
        <f t="shared" si="68"/>
        <v>0.67786180641199512</v>
      </c>
      <c r="M392">
        <f>IF(AND(MOD(C392,12)=1,D392&lt;='[1]Product parameters'!$C$2),I391*[1]model_point!$G$2,0)</f>
        <v>0</v>
      </c>
      <c r="N392">
        <f t="shared" si="69"/>
        <v>0</v>
      </c>
      <c r="O392">
        <f>[2]results_sample_product_cf!G391</f>
        <v>0</v>
      </c>
      <c r="P392">
        <f>[2]results_sample_product_cf!H391</f>
        <v>0</v>
      </c>
      <c r="Q392">
        <f t="shared" si="70"/>
        <v>0</v>
      </c>
      <c r="R392">
        <f t="shared" si="66"/>
        <v>0</v>
      </c>
    </row>
    <row r="393" spans="1:18" x14ac:dyDescent="0.3">
      <c r="A393">
        <f t="shared" si="71"/>
        <v>390</v>
      </c>
      <c r="B393">
        <f t="shared" si="72"/>
        <v>33</v>
      </c>
      <c r="C393">
        <f t="shared" si="73"/>
        <v>395</v>
      </c>
      <c r="D393">
        <f t="shared" si="67"/>
        <v>33</v>
      </c>
      <c r="E393">
        <f>[1]model_point!$C$2+D393-1</f>
        <v>37</v>
      </c>
      <c r="F393">
        <f>VLOOKUP(E393,'[1]202512 BE mortality'!$A:$C,3,0)</f>
        <v>8.9175996678306207E-3</v>
      </c>
      <c r="G393">
        <f>VLOOKUP(D393,'[1]202512 BE lapse'!$C:$D,2,0)</f>
        <v>1.2480150065299156E-3</v>
      </c>
      <c r="H393">
        <f>VLOOKUP($B393,'[1]202512 RFR'!$A:$B,2,0)</f>
        <v>1.4999999999999999E-2</v>
      </c>
      <c r="I393">
        <f t="shared" si="74"/>
        <v>1.4737550768439831</v>
      </c>
      <c r="J393">
        <f t="shared" si="75"/>
        <v>1.1005196702457455E-3</v>
      </c>
      <c r="K393">
        <f t="shared" si="76"/>
        <v>0</v>
      </c>
      <c r="L393">
        <f t="shared" si="68"/>
        <v>0.67702129279321777</v>
      </c>
      <c r="M393">
        <f>IF(AND(MOD(C393,12)=1,D393&lt;='[1]Product parameters'!$C$2),I392*[1]model_point!$G$2,0)</f>
        <v>0</v>
      </c>
      <c r="N393">
        <f t="shared" si="69"/>
        <v>0</v>
      </c>
      <c r="O393">
        <f>[2]results_sample_product_cf!G392</f>
        <v>0</v>
      </c>
      <c r="P393">
        <f>[2]results_sample_product_cf!H392</f>
        <v>0</v>
      </c>
      <c r="Q393">
        <f t="shared" si="70"/>
        <v>0</v>
      </c>
      <c r="R393">
        <f t="shared" si="66"/>
        <v>0</v>
      </c>
    </row>
    <row r="394" spans="1:18" x14ac:dyDescent="0.3">
      <c r="A394">
        <f t="shared" si="71"/>
        <v>391</v>
      </c>
      <c r="B394">
        <f t="shared" si="72"/>
        <v>33</v>
      </c>
      <c r="C394">
        <f t="shared" si="73"/>
        <v>396</v>
      </c>
      <c r="D394">
        <f t="shared" si="67"/>
        <v>33</v>
      </c>
      <c r="E394">
        <f>[1]model_point!$C$2+D394-1</f>
        <v>37</v>
      </c>
      <c r="F394">
        <f>VLOOKUP(E394,'[1]202512 BE mortality'!$A:$C,3,0)</f>
        <v>8.9175996678306207E-3</v>
      </c>
      <c r="G394">
        <f>VLOOKUP(D394,'[1]202512 BE lapse'!$C:$D,2,0)</f>
        <v>1.2480150065299156E-3</v>
      </c>
      <c r="H394">
        <f>VLOOKUP($B394,'[1]202512 RFR'!$A:$B,2,0)</f>
        <v>1.4999999999999999E-2</v>
      </c>
      <c r="I394">
        <f t="shared" si="74"/>
        <v>1.4708174823567497</v>
      </c>
      <c r="J394">
        <f t="shared" si="75"/>
        <v>1.0996984755827152E-3</v>
      </c>
      <c r="K394">
        <f t="shared" si="76"/>
        <v>1.8378960116507547E-3</v>
      </c>
      <c r="L394">
        <f t="shared" si="68"/>
        <v>0.67618182136790317</v>
      </c>
      <c r="M394">
        <f>IF(AND(MOD(C394,12)=1,D394&lt;='[1]Product parameters'!$C$2),I393*[1]model_point!$G$2,0)</f>
        <v>0</v>
      </c>
      <c r="N394">
        <f t="shared" si="69"/>
        <v>0</v>
      </c>
      <c r="O394">
        <f>[2]results_sample_product_cf!G393</f>
        <v>0</v>
      </c>
      <c r="P394">
        <f>[2]results_sample_product_cf!H393</f>
        <v>0</v>
      </c>
      <c r="Q394">
        <f t="shared" si="70"/>
        <v>0</v>
      </c>
      <c r="R394">
        <f t="shared" si="66"/>
        <v>0</v>
      </c>
    </row>
    <row r="395" spans="1:18" x14ac:dyDescent="0.3">
      <c r="A395">
        <f t="shared" si="71"/>
        <v>392</v>
      </c>
      <c r="B395">
        <f t="shared" si="72"/>
        <v>33</v>
      </c>
      <c r="C395">
        <f t="shared" si="73"/>
        <v>397</v>
      </c>
      <c r="D395">
        <f t="shared" si="67"/>
        <v>34</v>
      </c>
      <c r="E395">
        <f>[1]model_point!$C$2+D395-1</f>
        <v>38</v>
      </c>
      <c r="F395">
        <f>VLOOKUP(E395,'[1]202512 BE mortality'!$A:$C,3,0)</f>
        <v>5.3788249621590789E-3</v>
      </c>
      <c r="G395">
        <f>VLOOKUP(D395,'[1]202512 BE lapse'!$C:$D,2,0)</f>
        <v>5.7193832561238667E-3</v>
      </c>
      <c r="H395">
        <f>VLOOKUP($B395,'[1]202512 RFR'!$A:$B,2,0)</f>
        <v>1.4999999999999999E-2</v>
      </c>
      <c r="I395">
        <f t="shared" si="74"/>
        <v>1.470156578966038</v>
      </c>
      <c r="J395">
        <f t="shared" si="75"/>
        <v>6.6090339071163092E-4</v>
      </c>
      <c r="K395">
        <f t="shared" si="76"/>
        <v>0</v>
      </c>
      <c r="L395">
        <f t="shared" si="68"/>
        <v>0.67534339084378536</v>
      </c>
      <c r="M395">
        <f>IF(AND(MOD(C395,12)=1,D395&lt;='[1]Product parameters'!$C$2),I394*[1]model_point!$G$2,0)</f>
        <v>0</v>
      </c>
      <c r="N395">
        <f t="shared" si="69"/>
        <v>0</v>
      </c>
      <c r="O395">
        <f>[2]results_sample_product_cf!G394</f>
        <v>0</v>
      </c>
      <c r="P395">
        <f>[2]results_sample_product_cf!H394</f>
        <v>0</v>
      </c>
      <c r="Q395">
        <f t="shared" si="70"/>
        <v>0</v>
      </c>
      <c r="R395">
        <f t="shared" si="66"/>
        <v>0</v>
      </c>
    </row>
    <row r="396" spans="1:18" x14ac:dyDescent="0.3">
      <c r="A396">
        <f t="shared" si="71"/>
        <v>393</v>
      </c>
      <c r="B396">
        <f t="shared" si="72"/>
        <v>33</v>
      </c>
      <c r="C396">
        <f t="shared" si="73"/>
        <v>398</v>
      </c>
      <c r="D396">
        <f t="shared" si="67"/>
        <v>34</v>
      </c>
      <c r="E396">
        <f>[1]model_point!$C$2+D396-1</f>
        <v>38</v>
      </c>
      <c r="F396">
        <f>VLOOKUP(E396,'[1]202512 BE mortality'!$A:$C,3,0)</f>
        <v>5.3788249621590789E-3</v>
      </c>
      <c r="G396">
        <f>VLOOKUP(D396,'[1]202512 BE lapse'!$C:$D,2,0)</f>
        <v>5.7193832561238667E-3</v>
      </c>
      <c r="H396">
        <f>VLOOKUP($B396,'[1]202512 RFR'!$A:$B,2,0)</f>
        <v>1.4999999999999999E-2</v>
      </c>
      <c r="I396">
        <f t="shared" si="74"/>
        <v>1.4694959725484702</v>
      </c>
      <c r="J396">
        <f t="shared" si="75"/>
        <v>6.6060641756772031E-4</v>
      </c>
      <c r="K396">
        <f t="shared" si="76"/>
        <v>0</v>
      </c>
      <c r="L396">
        <f t="shared" si="68"/>
        <v>0.67450599993020066</v>
      </c>
      <c r="M396">
        <f>IF(AND(MOD(C396,12)=1,D396&lt;='[1]Product parameters'!$C$2),I395*[1]model_point!$G$2,0)</f>
        <v>0</v>
      </c>
      <c r="N396">
        <f t="shared" si="69"/>
        <v>0</v>
      </c>
      <c r="O396">
        <f>[2]results_sample_product_cf!G395</f>
        <v>0</v>
      </c>
      <c r="P396">
        <f>[2]results_sample_product_cf!H395</f>
        <v>0</v>
      </c>
      <c r="Q396">
        <f t="shared" si="70"/>
        <v>0</v>
      </c>
      <c r="R396">
        <f t="shared" si="66"/>
        <v>0</v>
      </c>
    </row>
    <row r="397" spans="1:18" x14ac:dyDescent="0.3">
      <c r="A397">
        <f t="shared" si="71"/>
        <v>394</v>
      </c>
      <c r="B397">
        <f t="shared" si="72"/>
        <v>33</v>
      </c>
      <c r="C397">
        <f t="shared" si="73"/>
        <v>399</v>
      </c>
      <c r="D397">
        <f t="shared" si="67"/>
        <v>34</v>
      </c>
      <c r="E397">
        <f>[1]model_point!$C$2+D397-1</f>
        <v>38</v>
      </c>
      <c r="F397">
        <f>VLOOKUP(E397,'[1]202512 BE mortality'!$A:$C,3,0)</f>
        <v>5.3788249621590789E-3</v>
      </c>
      <c r="G397">
        <f>VLOOKUP(D397,'[1]202512 BE lapse'!$C:$D,2,0)</f>
        <v>5.7193832561238667E-3</v>
      </c>
      <c r="H397">
        <f>VLOOKUP($B397,'[1]202512 RFR'!$A:$B,2,0)</f>
        <v>1.4999999999999999E-2</v>
      </c>
      <c r="I397">
        <f t="shared" si="74"/>
        <v>1.4688356629706032</v>
      </c>
      <c r="J397">
        <f t="shared" si="75"/>
        <v>6.6030957786698677E-4</v>
      </c>
      <c r="K397">
        <f t="shared" si="76"/>
        <v>0</v>
      </c>
      <c r="L397">
        <f t="shared" si="68"/>
        <v>0.67366964733808576</v>
      </c>
      <c r="M397">
        <f>IF(AND(MOD(C397,12)=1,D397&lt;='[1]Product parameters'!$C$2),I396*[1]model_point!$G$2,0)</f>
        <v>0</v>
      </c>
      <c r="N397">
        <f t="shared" si="69"/>
        <v>0</v>
      </c>
      <c r="O397">
        <f>[2]results_sample_product_cf!G396</f>
        <v>0</v>
      </c>
      <c r="P397">
        <f>[2]results_sample_product_cf!H396</f>
        <v>0</v>
      </c>
      <c r="Q397">
        <f t="shared" si="70"/>
        <v>0</v>
      </c>
      <c r="R397">
        <f t="shared" si="66"/>
        <v>0</v>
      </c>
    </row>
    <row r="398" spans="1:18" x14ac:dyDescent="0.3">
      <c r="A398">
        <f t="shared" si="71"/>
        <v>395</v>
      </c>
      <c r="B398">
        <f t="shared" si="72"/>
        <v>33</v>
      </c>
      <c r="C398">
        <f t="shared" si="73"/>
        <v>400</v>
      </c>
      <c r="D398">
        <f t="shared" si="67"/>
        <v>34</v>
      </c>
      <c r="E398">
        <f>[1]model_point!$C$2+D398-1</f>
        <v>38</v>
      </c>
      <c r="F398">
        <f>VLOOKUP(E398,'[1]202512 BE mortality'!$A:$C,3,0)</f>
        <v>5.3788249621590789E-3</v>
      </c>
      <c r="G398">
        <f>VLOOKUP(D398,'[1]202512 BE lapse'!$C:$D,2,0)</f>
        <v>5.7193832561238667E-3</v>
      </c>
      <c r="H398">
        <f>VLOOKUP($B398,'[1]202512 RFR'!$A:$B,2,0)</f>
        <v>1.4999999999999999E-2</v>
      </c>
      <c r="I398">
        <f t="shared" si="74"/>
        <v>1.4681756500990537</v>
      </c>
      <c r="J398">
        <f t="shared" si="75"/>
        <v>6.6001287154946841E-4</v>
      </c>
      <c r="K398">
        <f t="shared" si="76"/>
        <v>0</v>
      </c>
      <c r="L398">
        <f t="shared" si="68"/>
        <v>0.67283433177997554</v>
      </c>
      <c r="M398">
        <f>IF(AND(MOD(C398,12)=1,D398&lt;='[1]Product parameters'!$C$2),I397*[1]model_point!$G$2,0)</f>
        <v>0</v>
      </c>
      <c r="N398">
        <f t="shared" si="69"/>
        <v>0</v>
      </c>
      <c r="O398">
        <f>[2]results_sample_product_cf!G397</f>
        <v>0</v>
      </c>
      <c r="P398">
        <f>[2]results_sample_product_cf!H397</f>
        <v>0</v>
      </c>
      <c r="Q398">
        <f t="shared" si="70"/>
        <v>0</v>
      </c>
      <c r="R398">
        <f t="shared" si="66"/>
        <v>0</v>
      </c>
    </row>
    <row r="399" spans="1:18" x14ac:dyDescent="0.3">
      <c r="A399">
        <f t="shared" si="71"/>
        <v>396</v>
      </c>
      <c r="B399">
        <f t="shared" si="72"/>
        <v>33</v>
      </c>
      <c r="C399">
        <f t="shared" si="73"/>
        <v>401</v>
      </c>
      <c r="D399">
        <f t="shared" si="67"/>
        <v>34</v>
      </c>
      <c r="E399">
        <f>[1]model_point!$C$2+D399-1</f>
        <v>38</v>
      </c>
      <c r="F399">
        <f>VLOOKUP(E399,'[1]202512 BE mortality'!$A:$C,3,0)</f>
        <v>5.3788249621590789E-3</v>
      </c>
      <c r="G399">
        <f>VLOOKUP(D399,'[1]202512 BE lapse'!$C:$D,2,0)</f>
        <v>5.7193832561238667E-3</v>
      </c>
      <c r="H399">
        <f>VLOOKUP($B399,'[1]202512 RFR'!$A:$B,2,0)</f>
        <v>1.4999999999999999E-2</v>
      </c>
      <c r="I399">
        <f t="shared" si="74"/>
        <v>1.4675159338004984</v>
      </c>
      <c r="J399">
        <f t="shared" si="75"/>
        <v>6.5971629855523031E-4</v>
      </c>
      <c r="K399">
        <f t="shared" si="76"/>
        <v>0</v>
      </c>
      <c r="L399">
        <f t="shared" si="68"/>
        <v>0.67200005197000146</v>
      </c>
      <c r="M399">
        <f>IF(AND(MOD(C399,12)=1,D399&lt;='[1]Product parameters'!$C$2),I398*[1]model_point!$G$2,0)</f>
        <v>0</v>
      </c>
      <c r="N399">
        <f t="shared" si="69"/>
        <v>0</v>
      </c>
      <c r="O399">
        <f>[2]results_sample_product_cf!G398</f>
        <v>0</v>
      </c>
      <c r="P399">
        <f>[2]results_sample_product_cf!H398</f>
        <v>0</v>
      </c>
      <c r="Q399">
        <f t="shared" si="70"/>
        <v>0</v>
      </c>
      <c r="R399">
        <f t="shared" si="66"/>
        <v>0</v>
      </c>
    </row>
    <row r="400" spans="1:18" x14ac:dyDescent="0.3">
      <c r="A400">
        <f t="shared" si="71"/>
        <v>397</v>
      </c>
      <c r="B400">
        <f t="shared" si="72"/>
        <v>34</v>
      </c>
      <c r="C400">
        <f t="shared" si="73"/>
        <v>402</v>
      </c>
      <c r="D400">
        <f t="shared" si="67"/>
        <v>34</v>
      </c>
      <c r="E400">
        <f>[1]model_point!$C$2+D400-1</f>
        <v>38</v>
      </c>
      <c r="F400">
        <f>VLOOKUP(E400,'[1]202512 BE mortality'!$A:$C,3,0)</f>
        <v>5.3788249621590789E-3</v>
      </c>
      <c r="G400">
        <f>VLOOKUP(D400,'[1]202512 BE lapse'!$C:$D,2,0)</f>
        <v>5.7193832561238667E-3</v>
      </c>
      <c r="H400">
        <f>VLOOKUP($B400,'[1]202512 RFR'!$A:$B,2,0)</f>
        <v>1.4999999999999999E-2</v>
      </c>
      <c r="I400">
        <f t="shared" si="74"/>
        <v>1.466856513941674</v>
      </c>
      <c r="J400">
        <f t="shared" si="75"/>
        <v>6.5941985882436423E-4</v>
      </c>
      <c r="K400">
        <f t="shared" si="76"/>
        <v>0</v>
      </c>
      <c r="L400">
        <f t="shared" si="68"/>
        <v>0.67116680662388939</v>
      </c>
      <c r="M400">
        <f>IF(AND(MOD(C400,12)=1,D400&lt;='[1]Product parameters'!$C$2),I399*[1]model_point!$G$2,0)</f>
        <v>0</v>
      </c>
      <c r="N400">
        <f t="shared" si="69"/>
        <v>0</v>
      </c>
      <c r="O400">
        <f>[2]results_sample_product_cf!G399</f>
        <v>0</v>
      </c>
      <c r="P400">
        <f>[2]results_sample_product_cf!H399</f>
        <v>0</v>
      </c>
      <c r="Q400">
        <f t="shared" si="70"/>
        <v>0</v>
      </c>
      <c r="R400">
        <f t="shared" si="66"/>
        <v>0</v>
      </c>
    </row>
    <row r="401" spans="1:18" x14ac:dyDescent="0.3">
      <c r="A401">
        <f t="shared" si="71"/>
        <v>398</v>
      </c>
      <c r="B401">
        <f t="shared" si="72"/>
        <v>34</v>
      </c>
      <c r="C401">
        <f t="shared" si="73"/>
        <v>403</v>
      </c>
      <c r="D401">
        <f t="shared" si="67"/>
        <v>34</v>
      </c>
      <c r="E401">
        <f>[1]model_point!$C$2+D401-1</f>
        <v>38</v>
      </c>
      <c r="F401">
        <f>VLOOKUP(E401,'[1]202512 BE mortality'!$A:$C,3,0)</f>
        <v>5.3788249621590789E-3</v>
      </c>
      <c r="G401">
        <f>VLOOKUP(D401,'[1]202512 BE lapse'!$C:$D,2,0)</f>
        <v>5.7193832561238667E-3</v>
      </c>
      <c r="H401">
        <f>VLOOKUP($B401,'[1]202512 RFR'!$A:$B,2,0)</f>
        <v>1.4999999999999999E-2</v>
      </c>
      <c r="I401">
        <f t="shared" si="74"/>
        <v>1.466197390389377</v>
      </c>
      <c r="J401">
        <f t="shared" si="75"/>
        <v>6.5912355229698924E-4</v>
      </c>
      <c r="K401">
        <f t="shared" si="76"/>
        <v>0</v>
      </c>
      <c r="L401">
        <f t="shared" si="68"/>
        <v>0.6703345944589576</v>
      </c>
      <c r="M401">
        <f>IF(AND(MOD(C401,12)=1,D401&lt;='[1]Product parameters'!$C$2),I400*[1]model_point!$G$2,0)</f>
        <v>0</v>
      </c>
      <c r="N401">
        <f t="shared" si="69"/>
        <v>0</v>
      </c>
      <c r="O401">
        <f>[2]results_sample_product_cf!G400</f>
        <v>0</v>
      </c>
      <c r="P401">
        <f>[2]results_sample_product_cf!H400</f>
        <v>0</v>
      </c>
      <c r="Q401">
        <f t="shared" si="70"/>
        <v>0</v>
      </c>
      <c r="R401">
        <f t="shared" si="66"/>
        <v>0</v>
      </c>
    </row>
    <row r="402" spans="1:18" x14ac:dyDescent="0.3">
      <c r="A402">
        <f t="shared" si="71"/>
        <v>399</v>
      </c>
      <c r="B402">
        <f t="shared" si="72"/>
        <v>34</v>
      </c>
      <c r="C402">
        <f t="shared" si="73"/>
        <v>404</v>
      </c>
      <c r="D402">
        <f t="shared" si="67"/>
        <v>34</v>
      </c>
      <c r="E402">
        <f>[1]model_point!$C$2+D402-1</f>
        <v>38</v>
      </c>
      <c r="F402">
        <f>VLOOKUP(E402,'[1]202512 BE mortality'!$A:$C,3,0)</f>
        <v>5.3788249621590789E-3</v>
      </c>
      <c r="G402">
        <f>VLOOKUP(D402,'[1]202512 BE lapse'!$C:$D,2,0)</f>
        <v>5.7193832561238667E-3</v>
      </c>
      <c r="H402">
        <f>VLOOKUP($B402,'[1]202512 RFR'!$A:$B,2,0)</f>
        <v>1.4999999999999999E-2</v>
      </c>
      <c r="I402">
        <f t="shared" si="74"/>
        <v>1.4655385630104638</v>
      </c>
      <c r="J402">
        <f t="shared" si="75"/>
        <v>6.5882737891325099E-4</v>
      </c>
      <c r="K402">
        <f t="shared" si="76"/>
        <v>0</v>
      </c>
      <c r="L402">
        <f t="shared" si="68"/>
        <v>0.66950341419411474</v>
      </c>
      <c r="M402">
        <f>IF(AND(MOD(C402,12)=1,D402&lt;='[1]Product parameters'!$C$2),I401*[1]model_point!$G$2,0)</f>
        <v>0</v>
      </c>
      <c r="N402">
        <f t="shared" si="69"/>
        <v>0</v>
      </c>
      <c r="O402">
        <f>[2]results_sample_product_cf!G401</f>
        <v>0</v>
      </c>
      <c r="P402">
        <f>[2]results_sample_product_cf!H401</f>
        <v>0</v>
      </c>
      <c r="Q402">
        <f t="shared" si="70"/>
        <v>0</v>
      </c>
      <c r="R402">
        <f t="shared" si="66"/>
        <v>0</v>
      </c>
    </row>
    <row r="403" spans="1:18" x14ac:dyDescent="0.3">
      <c r="A403">
        <f t="shared" si="71"/>
        <v>400</v>
      </c>
      <c r="B403">
        <f t="shared" si="72"/>
        <v>34</v>
      </c>
      <c r="C403">
        <f t="shared" si="73"/>
        <v>405</v>
      </c>
      <c r="D403">
        <f t="shared" si="67"/>
        <v>34</v>
      </c>
      <c r="E403">
        <f>[1]model_point!$C$2+D403-1</f>
        <v>38</v>
      </c>
      <c r="F403">
        <f>VLOOKUP(E403,'[1]202512 BE mortality'!$A:$C,3,0)</f>
        <v>5.3788249621590789E-3</v>
      </c>
      <c r="G403">
        <f>VLOOKUP(D403,'[1]202512 BE lapse'!$C:$D,2,0)</f>
        <v>5.7193832561238667E-3</v>
      </c>
      <c r="H403">
        <f>VLOOKUP($B403,'[1]202512 RFR'!$A:$B,2,0)</f>
        <v>1.4999999999999999E-2</v>
      </c>
      <c r="I403">
        <f t="shared" si="74"/>
        <v>1.4648800316718504</v>
      </c>
      <c r="J403">
        <f t="shared" si="75"/>
        <v>6.5853133861332213E-4</v>
      </c>
      <c r="K403">
        <f t="shared" si="76"/>
        <v>0</v>
      </c>
      <c r="L403">
        <f t="shared" si="68"/>
        <v>0.66867326454985809</v>
      </c>
      <c r="M403">
        <f>IF(AND(MOD(C403,12)=1,D403&lt;='[1]Product parameters'!$C$2),I402*[1]model_point!$G$2,0)</f>
        <v>0</v>
      </c>
      <c r="N403">
        <f t="shared" si="69"/>
        <v>0</v>
      </c>
      <c r="O403">
        <f>[2]results_sample_product_cf!G402</f>
        <v>0</v>
      </c>
      <c r="P403">
        <f>[2]results_sample_product_cf!H402</f>
        <v>0</v>
      </c>
      <c r="Q403">
        <f t="shared" si="70"/>
        <v>0</v>
      </c>
      <c r="R403">
        <f t="shared" si="66"/>
        <v>0</v>
      </c>
    </row>
    <row r="404" spans="1:18" x14ac:dyDescent="0.3">
      <c r="A404">
        <f t="shared" si="71"/>
        <v>401</v>
      </c>
      <c r="B404">
        <f t="shared" si="72"/>
        <v>34</v>
      </c>
      <c r="C404">
        <f t="shared" si="73"/>
        <v>406</v>
      </c>
      <c r="D404">
        <f t="shared" si="67"/>
        <v>34</v>
      </c>
      <c r="E404">
        <f>[1]model_point!$C$2+D404-1</f>
        <v>38</v>
      </c>
      <c r="F404">
        <f>VLOOKUP(E404,'[1]202512 BE mortality'!$A:$C,3,0)</f>
        <v>5.3788249621590789E-3</v>
      </c>
      <c r="G404">
        <f>VLOOKUP(D404,'[1]202512 BE lapse'!$C:$D,2,0)</f>
        <v>5.7193832561238667E-3</v>
      </c>
      <c r="H404">
        <f>VLOOKUP($B404,'[1]202512 RFR'!$A:$B,2,0)</f>
        <v>1.4999999999999999E-2</v>
      </c>
      <c r="I404">
        <f t="shared" si="74"/>
        <v>1.4642217962405131</v>
      </c>
      <c r="J404">
        <f t="shared" si="75"/>
        <v>6.5823543133740228E-4</v>
      </c>
      <c r="K404">
        <f t="shared" si="76"/>
        <v>0</v>
      </c>
      <c r="L404">
        <f t="shared" si="68"/>
        <v>0.66784414424827132</v>
      </c>
      <c r="M404">
        <f>IF(AND(MOD(C404,12)=1,D404&lt;='[1]Product parameters'!$C$2),I403*[1]model_point!$G$2,0)</f>
        <v>0</v>
      </c>
      <c r="N404">
        <f t="shared" si="69"/>
        <v>0</v>
      </c>
      <c r="O404">
        <f>[2]results_sample_product_cf!G403</f>
        <v>0</v>
      </c>
      <c r="P404">
        <f>[2]results_sample_product_cf!H403</f>
        <v>0</v>
      </c>
      <c r="Q404">
        <f t="shared" si="70"/>
        <v>0</v>
      </c>
      <c r="R404">
        <f t="shared" si="66"/>
        <v>0</v>
      </c>
    </row>
    <row r="405" spans="1:18" x14ac:dyDescent="0.3">
      <c r="A405">
        <f t="shared" si="71"/>
        <v>402</v>
      </c>
      <c r="B405">
        <f t="shared" si="72"/>
        <v>34</v>
      </c>
      <c r="C405">
        <f t="shared" si="73"/>
        <v>407</v>
      </c>
      <c r="D405">
        <f t="shared" si="67"/>
        <v>34</v>
      </c>
      <c r="E405">
        <f>[1]model_point!$C$2+D405-1</f>
        <v>38</v>
      </c>
      <c r="F405">
        <f>VLOOKUP(E405,'[1]202512 BE mortality'!$A:$C,3,0)</f>
        <v>5.3788249621590789E-3</v>
      </c>
      <c r="G405">
        <f>VLOOKUP(D405,'[1]202512 BE lapse'!$C:$D,2,0)</f>
        <v>5.7193832561238667E-3</v>
      </c>
      <c r="H405">
        <f>VLOOKUP($B405,'[1]202512 RFR'!$A:$B,2,0)</f>
        <v>1.4999999999999999E-2</v>
      </c>
      <c r="I405">
        <f t="shared" si="74"/>
        <v>1.4635638565834874</v>
      </c>
      <c r="J405">
        <f t="shared" si="75"/>
        <v>6.5793965702571797E-4</v>
      </c>
      <c r="K405">
        <f t="shared" si="76"/>
        <v>0</v>
      </c>
      <c r="L405">
        <f t="shared" si="68"/>
        <v>0.66701605201302261</v>
      </c>
      <c r="M405">
        <f>IF(AND(MOD(C405,12)=1,D405&lt;='[1]Product parameters'!$C$2),I404*[1]model_point!$G$2,0)</f>
        <v>0</v>
      </c>
      <c r="N405">
        <f t="shared" si="69"/>
        <v>0</v>
      </c>
      <c r="O405">
        <f>[2]results_sample_product_cf!G404</f>
        <v>0</v>
      </c>
      <c r="P405">
        <f>[2]results_sample_product_cf!H404</f>
        <v>0</v>
      </c>
      <c r="Q405">
        <f t="shared" si="70"/>
        <v>0</v>
      </c>
      <c r="R405">
        <f t="shared" si="66"/>
        <v>0</v>
      </c>
    </row>
    <row r="406" spans="1:18" x14ac:dyDescent="0.3">
      <c r="A406">
        <f t="shared" si="71"/>
        <v>403</v>
      </c>
      <c r="B406">
        <f t="shared" si="72"/>
        <v>34</v>
      </c>
      <c r="C406">
        <f t="shared" si="73"/>
        <v>408</v>
      </c>
      <c r="D406">
        <f t="shared" si="67"/>
        <v>34</v>
      </c>
      <c r="E406">
        <f>[1]model_point!$C$2+D406-1</f>
        <v>38</v>
      </c>
      <c r="F406">
        <f>VLOOKUP(E406,'[1]202512 BE mortality'!$A:$C,3,0)</f>
        <v>5.3788249621590789E-3</v>
      </c>
      <c r="G406">
        <f>VLOOKUP(D406,'[1]202512 BE lapse'!$C:$D,2,0)</f>
        <v>5.7193832561238667E-3</v>
      </c>
      <c r="H406">
        <f>VLOOKUP($B406,'[1]202512 RFR'!$A:$B,2,0)</f>
        <v>1.4999999999999999E-2</v>
      </c>
      <c r="I406">
        <f t="shared" si="74"/>
        <v>1.4545392912704287</v>
      </c>
      <c r="J406">
        <f t="shared" si="75"/>
        <v>6.576440156185223E-4</v>
      </c>
      <c r="K406">
        <f t="shared" si="76"/>
        <v>8.3669212974402506E-3</v>
      </c>
      <c r="L406">
        <f t="shared" si="68"/>
        <v>0.66618898656936298</v>
      </c>
      <c r="M406">
        <f>IF(AND(MOD(C406,12)=1,D406&lt;='[1]Product parameters'!$C$2),I405*[1]model_point!$G$2,0)</f>
        <v>0</v>
      </c>
      <c r="N406">
        <f t="shared" si="69"/>
        <v>0</v>
      </c>
      <c r="O406">
        <f>[2]results_sample_product_cf!G405</f>
        <v>0</v>
      </c>
      <c r="P406">
        <f>[2]results_sample_product_cf!H405</f>
        <v>0</v>
      </c>
      <c r="Q406">
        <f t="shared" si="70"/>
        <v>0</v>
      </c>
      <c r="R406">
        <f t="shared" si="66"/>
        <v>0</v>
      </c>
    </row>
    <row r="407" spans="1:18" x14ac:dyDescent="0.3">
      <c r="A407">
        <f t="shared" si="71"/>
        <v>404</v>
      </c>
      <c r="B407">
        <f t="shared" si="72"/>
        <v>34</v>
      </c>
      <c r="C407">
        <f t="shared" si="73"/>
        <v>409</v>
      </c>
      <c r="D407">
        <f t="shared" si="67"/>
        <v>35</v>
      </c>
      <c r="E407">
        <f>[1]model_point!$C$2+D407-1</f>
        <v>39</v>
      </c>
      <c r="F407">
        <f>VLOOKUP(E407,'[1]202512 BE mortality'!$A:$C,3,0)</f>
        <v>9.6989730308586451E-3</v>
      </c>
      <c r="G407">
        <f>VLOOKUP(D407,'[1]202512 BE lapse'!$C:$D,2,0)</f>
        <v>7.4196760579951183E-3</v>
      </c>
      <c r="H407">
        <f>VLOOKUP($B407,'[1]202512 RFR'!$A:$B,2,0)</f>
        <v>1.4999999999999999E-2</v>
      </c>
      <c r="I407">
        <f t="shared" si="74"/>
        <v>1.45335840444933</v>
      </c>
      <c r="J407">
        <f t="shared" si="75"/>
        <v>1.1808868210987347E-3</v>
      </c>
      <c r="K407">
        <f t="shared" si="76"/>
        <v>0</v>
      </c>
      <c r="L407">
        <f t="shared" si="68"/>
        <v>0.66536294664412376</v>
      </c>
      <c r="M407">
        <f>IF(AND(MOD(C407,12)=1,D407&lt;='[1]Product parameters'!$C$2),I406*[1]model_point!$G$2,0)</f>
        <v>0</v>
      </c>
      <c r="N407">
        <f t="shared" si="69"/>
        <v>0</v>
      </c>
      <c r="O407">
        <f>[2]results_sample_product_cf!G406</f>
        <v>0</v>
      </c>
      <c r="P407">
        <f>[2]results_sample_product_cf!H406</f>
        <v>0</v>
      </c>
      <c r="Q407">
        <f t="shared" si="70"/>
        <v>0</v>
      </c>
      <c r="R407">
        <f t="shared" si="66"/>
        <v>0</v>
      </c>
    </row>
    <row r="408" spans="1:18" x14ac:dyDescent="0.3">
      <c r="A408">
        <f t="shared" si="71"/>
        <v>405</v>
      </c>
      <c r="B408">
        <f t="shared" si="72"/>
        <v>34</v>
      </c>
      <c r="C408">
        <f t="shared" si="73"/>
        <v>410</v>
      </c>
      <c r="D408">
        <f t="shared" si="67"/>
        <v>35</v>
      </c>
      <c r="E408">
        <f>[1]model_point!$C$2+D408-1</f>
        <v>39</v>
      </c>
      <c r="F408">
        <f>VLOOKUP(E408,'[1]202512 BE mortality'!$A:$C,3,0)</f>
        <v>9.6989730308586451E-3</v>
      </c>
      <c r="G408">
        <f>VLOOKUP(D408,'[1]202512 BE lapse'!$C:$D,2,0)</f>
        <v>7.4196760579951183E-3</v>
      </c>
      <c r="H408">
        <f>VLOOKUP($B408,'[1]202512 RFR'!$A:$B,2,0)</f>
        <v>1.4999999999999999E-2</v>
      </c>
      <c r="I408">
        <f t="shared" si="74"/>
        <v>1.4521784763467014</v>
      </c>
      <c r="J408">
        <f t="shared" si="75"/>
        <v>1.1799281026284851E-3</v>
      </c>
      <c r="K408">
        <f t="shared" si="76"/>
        <v>0</v>
      </c>
      <c r="L408">
        <f t="shared" si="68"/>
        <v>0.66453793096571523</v>
      </c>
      <c r="M408">
        <f>IF(AND(MOD(C408,12)=1,D408&lt;='[1]Product parameters'!$C$2),I407*[1]model_point!$G$2,0)</f>
        <v>0</v>
      </c>
      <c r="N408">
        <f t="shared" si="69"/>
        <v>0</v>
      </c>
      <c r="O408">
        <f>[2]results_sample_product_cf!G407</f>
        <v>0</v>
      </c>
      <c r="P408">
        <f>[2]results_sample_product_cf!H407</f>
        <v>0</v>
      </c>
      <c r="Q408">
        <f t="shared" si="70"/>
        <v>0</v>
      </c>
      <c r="R408">
        <f t="shared" si="66"/>
        <v>0</v>
      </c>
    </row>
    <row r="409" spans="1:18" x14ac:dyDescent="0.3">
      <c r="A409">
        <f t="shared" si="71"/>
        <v>406</v>
      </c>
      <c r="B409">
        <f t="shared" si="72"/>
        <v>34</v>
      </c>
      <c r="C409">
        <f t="shared" si="73"/>
        <v>411</v>
      </c>
      <c r="D409">
        <f t="shared" si="67"/>
        <v>35</v>
      </c>
      <c r="E409">
        <f>[1]model_point!$C$2+D409-1</f>
        <v>39</v>
      </c>
      <c r="F409">
        <f>VLOOKUP(E409,'[1]202512 BE mortality'!$A:$C,3,0)</f>
        <v>9.6989730308586451E-3</v>
      </c>
      <c r="G409">
        <f>VLOOKUP(D409,'[1]202512 BE lapse'!$C:$D,2,0)</f>
        <v>7.4196760579951183E-3</v>
      </c>
      <c r="H409">
        <f>VLOOKUP($B409,'[1]202512 RFR'!$A:$B,2,0)</f>
        <v>1.4999999999999999E-2</v>
      </c>
      <c r="I409">
        <f t="shared" si="74"/>
        <v>1.4509995061841949</v>
      </c>
      <c r="J409">
        <f t="shared" si="75"/>
        <v>1.1789701625064132E-3</v>
      </c>
      <c r="K409">
        <f t="shared" si="76"/>
        <v>0</v>
      </c>
      <c r="L409">
        <f t="shared" si="68"/>
        <v>0.66371393826412417</v>
      </c>
      <c r="M409">
        <f>IF(AND(MOD(C409,12)=1,D409&lt;='[1]Product parameters'!$C$2),I408*[1]model_point!$G$2,0)</f>
        <v>0</v>
      </c>
      <c r="N409">
        <f t="shared" si="69"/>
        <v>0</v>
      </c>
      <c r="O409">
        <f>[2]results_sample_product_cf!G408</f>
        <v>0</v>
      </c>
      <c r="P409">
        <f>[2]results_sample_product_cf!H408</f>
        <v>0</v>
      </c>
      <c r="Q409">
        <f t="shared" si="70"/>
        <v>0</v>
      </c>
      <c r="R409">
        <f t="shared" si="66"/>
        <v>0</v>
      </c>
    </row>
    <row r="410" spans="1:18" x14ac:dyDescent="0.3">
      <c r="A410">
        <f t="shared" si="71"/>
        <v>407</v>
      </c>
      <c r="B410">
        <f t="shared" si="72"/>
        <v>34</v>
      </c>
      <c r="C410">
        <f t="shared" si="73"/>
        <v>412</v>
      </c>
      <c r="D410">
        <f t="shared" si="67"/>
        <v>35</v>
      </c>
      <c r="E410">
        <f>[1]model_point!$C$2+D410-1</f>
        <v>39</v>
      </c>
      <c r="F410">
        <f>VLOOKUP(E410,'[1]202512 BE mortality'!$A:$C,3,0)</f>
        <v>9.6989730308586451E-3</v>
      </c>
      <c r="G410">
        <f>VLOOKUP(D410,'[1]202512 BE lapse'!$C:$D,2,0)</f>
        <v>7.4196760579951183E-3</v>
      </c>
      <c r="H410">
        <f>VLOOKUP($B410,'[1]202512 RFR'!$A:$B,2,0)</f>
        <v>1.4999999999999999E-2</v>
      </c>
      <c r="I410">
        <f t="shared" si="74"/>
        <v>1.4498214931840943</v>
      </c>
      <c r="J410">
        <f t="shared" si="75"/>
        <v>1.1780130001006067E-3</v>
      </c>
      <c r="K410">
        <f t="shared" si="76"/>
        <v>0</v>
      </c>
      <c r="L410">
        <f t="shared" si="68"/>
        <v>0.66289096727091212</v>
      </c>
      <c r="M410">
        <f>IF(AND(MOD(C410,12)=1,D410&lt;='[1]Product parameters'!$C$2),I409*[1]model_point!$G$2,0)</f>
        <v>0</v>
      </c>
      <c r="N410">
        <f t="shared" si="69"/>
        <v>0</v>
      </c>
      <c r="O410">
        <f>[2]results_sample_product_cf!G409</f>
        <v>0</v>
      </c>
      <c r="P410">
        <f>[2]results_sample_product_cf!H409</f>
        <v>0</v>
      </c>
      <c r="Q410">
        <f t="shared" si="70"/>
        <v>0</v>
      </c>
      <c r="R410">
        <f t="shared" si="66"/>
        <v>0</v>
      </c>
    </row>
    <row r="411" spans="1:18" x14ac:dyDescent="0.3">
      <c r="A411">
        <f t="shared" si="71"/>
        <v>408</v>
      </c>
      <c r="B411">
        <f t="shared" si="72"/>
        <v>34</v>
      </c>
      <c r="C411">
        <f t="shared" si="73"/>
        <v>413</v>
      </c>
      <c r="D411">
        <f t="shared" si="67"/>
        <v>35</v>
      </c>
      <c r="E411">
        <f>[1]model_point!$C$2+D411-1</f>
        <v>39</v>
      </c>
      <c r="F411">
        <f>VLOOKUP(E411,'[1]202512 BE mortality'!$A:$C,3,0)</f>
        <v>9.6989730308586451E-3</v>
      </c>
      <c r="G411">
        <f>VLOOKUP(D411,'[1]202512 BE lapse'!$C:$D,2,0)</f>
        <v>7.4196760579951183E-3</v>
      </c>
      <c r="H411">
        <f>VLOOKUP($B411,'[1]202512 RFR'!$A:$B,2,0)</f>
        <v>1.4999999999999999E-2</v>
      </c>
      <c r="I411">
        <f t="shared" si="74"/>
        <v>1.4486444365693145</v>
      </c>
      <c r="J411">
        <f t="shared" si="75"/>
        <v>1.1770566147796663E-3</v>
      </c>
      <c r="K411">
        <f t="shared" si="76"/>
        <v>0</v>
      </c>
      <c r="L411">
        <f t="shared" si="68"/>
        <v>0.66206901671921359</v>
      </c>
      <c r="M411">
        <f>IF(AND(MOD(C411,12)=1,D411&lt;='[1]Product parameters'!$C$2),I410*[1]model_point!$G$2,0)</f>
        <v>0</v>
      </c>
      <c r="N411">
        <f t="shared" si="69"/>
        <v>0</v>
      </c>
      <c r="O411">
        <f>[2]results_sample_product_cf!G410</f>
        <v>0</v>
      </c>
      <c r="P411">
        <f>[2]results_sample_product_cf!H410</f>
        <v>0</v>
      </c>
      <c r="Q411">
        <f t="shared" si="70"/>
        <v>0</v>
      </c>
      <c r="R411">
        <f t="shared" si="66"/>
        <v>0</v>
      </c>
    </row>
    <row r="412" spans="1:18" x14ac:dyDescent="0.3">
      <c r="A412">
        <f t="shared" si="71"/>
        <v>409</v>
      </c>
      <c r="B412">
        <f t="shared" si="72"/>
        <v>35</v>
      </c>
      <c r="C412">
        <f t="shared" si="73"/>
        <v>414</v>
      </c>
      <c r="D412">
        <f t="shared" si="67"/>
        <v>35</v>
      </c>
      <c r="E412">
        <f>[1]model_point!$C$2+D412-1</f>
        <v>39</v>
      </c>
      <c r="F412">
        <f>VLOOKUP(E412,'[1]202512 BE mortality'!$A:$C,3,0)</f>
        <v>9.6989730308586451E-3</v>
      </c>
      <c r="G412">
        <f>VLOOKUP(D412,'[1]202512 BE lapse'!$C:$D,2,0)</f>
        <v>7.4196760579951183E-3</v>
      </c>
      <c r="H412">
        <f>VLOOKUP($B412,'[1]202512 RFR'!$A:$B,2,0)</f>
        <v>1.4999999999999999E-2</v>
      </c>
      <c r="I412">
        <f t="shared" si="74"/>
        <v>1.4474683355634017</v>
      </c>
      <c r="J412">
        <f t="shared" si="75"/>
        <v>1.1761010059127058E-3</v>
      </c>
      <c r="K412">
        <f t="shared" si="76"/>
        <v>0</v>
      </c>
      <c r="L412">
        <f t="shared" si="68"/>
        <v>0.66124808534373369</v>
      </c>
      <c r="M412">
        <f>IF(AND(MOD(C412,12)=1,D412&lt;='[1]Product parameters'!$C$2),I411*[1]model_point!$G$2,0)</f>
        <v>0</v>
      </c>
      <c r="N412">
        <f t="shared" si="69"/>
        <v>0</v>
      </c>
      <c r="O412">
        <f>[2]results_sample_product_cf!G411</f>
        <v>0</v>
      </c>
      <c r="P412">
        <f>[2]results_sample_product_cf!H411</f>
        <v>0</v>
      </c>
      <c r="Q412">
        <f t="shared" si="70"/>
        <v>0</v>
      </c>
      <c r="R412">
        <f t="shared" si="66"/>
        <v>0</v>
      </c>
    </row>
    <row r="413" spans="1:18" x14ac:dyDescent="0.3">
      <c r="A413">
        <f t="shared" si="71"/>
        <v>410</v>
      </c>
      <c r="B413">
        <f t="shared" si="72"/>
        <v>35</v>
      </c>
      <c r="C413">
        <f t="shared" si="73"/>
        <v>415</v>
      </c>
      <c r="D413">
        <f t="shared" si="67"/>
        <v>35</v>
      </c>
      <c r="E413">
        <f>[1]model_point!$C$2+D413-1</f>
        <v>39</v>
      </c>
      <c r="F413">
        <f>VLOOKUP(E413,'[1]202512 BE mortality'!$A:$C,3,0)</f>
        <v>9.6989730308586451E-3</v>
      </c>
      <c r="G413">
        <f>VLOOKUP(D413,'[1]202512 BE lapse'!$C:$D,2,0)</f>
        <v>7.4196760579951183E-3</v>
      </c>
      <c r="H413">
        <f>VLOOKUP($B413,'[1]202512 RFR'!$A:$B,2,0)</f>
        <v>1.4999999999999999E-2</v>
      </c>
      <c r="I413">
        <f t="shared" si="74"/>
        <v>1.4462931893905324</v>
      </c>
      <c r="J413">
        <f t="shared" si="75"/>
        <v>1.1751461728693507E-3</v>
      </c>
      <c r="K413">
        <f t="shared" si="76"/>
        <v>0</v>
      </c>
      <c r="L413">
        <f t="shared" si="68"/>
        <v>0.66042817188074665</v>
      </c>
      <c r="M413">
        <f>IF(AND(MOD(C413,12)=1,D413&lt;='[1]Product parameters'!$C$2),I412*[1]model_point!$G$2,0)</f>
        <v>0</v>
      </c>
      <c r="N413">
        <f t="shared" si="69"/>
        <v>0</v>
      </c>
      <c r="O413">
        <f>[2]results_sample_product_cf!G412</f>
        <v>0</v>
      </c>
      <c r="P413">
        <f>[2]results_sample_product_cf!H412</f>
        <v>0</v>
      </c>
      <c r="Q413">
        <f t="shared" si="70"/>
        <v>0</v>
      </c>
      <c r="R413">
        <f t="shared" si="66"/>
        <v>0</v>
      </c>
    </row>
    <row r="414" spans="1:18" x14ac:dyDescent="0.3">
      <c r="A414">
        <f t="shared" si="71"/>
        <v>411</v>
      </c>
      <c r="B414">
        <f t="shared" si="72"/>
        <v>35</v>
      </c>
      <c r="C414">
        <f t="shared" si="73"/>
        <v>416</v>
      </c>
      <c r="D414">
        <f t="shared" si="67"/>
        <v>35</v>
      </c>
      <c r="E414">
        <f>[1]model_point!$C$2+D414-1</f>
        <v>39</v>
      </c>
      <c r="F414">
        <f>VLOOKUP(E414,'[1]202512 BE mortality'!$A:$C,3,0)</f>
        <v>9.6989730308586451E-3</v>
      </c>
      <c r="G414">
        <f>VLOOKUP(D414,'[1]202512 BE lapse'!$C:$D,2,0)</f>
        <v>7.4196760579951183E-3</v>
      </c>
      <c r="H414">
        <f>VLOOKUP($B414,'[1]202512 RFR'!$A:$B,2,0)</f>
        <v>1.4999999999999999E-2</v>
      </c>
      <c r="I414">
        <f t="shared" si="74"/>
        <v>1.4451189972755127</v>
      </c>
      <c r="J414">
        <f t="shared" si="75"/>
        <v>1.1741921150197384E-3</v>
      </c>
      <c r="K414">
        <f t="shared" si="76"/>
        <v>0</v>
      </c>
      <c r="L414">
        <f t="shared" si="68"/>
        <v>0.65960927506809364</v>
      </c>
      <c r="M414">
        <f>IF(AND(MOD(C414,12)=1,D414&lt;='[1]Product parameters'!$C$2),I413*[1]model_point!$G$2,0)</f>
        <v>0</v>
      </c>
      <c r="N414">
        <f t="shared" si="69"/>
        <v>0</v>
      </c>
      <c r="O414">
        <f>[2]results_sample_product_cf!G413</f>
        <v>0</v>
      </c>
      <c r="P414">
        <f>[2]results_sample_product_cf!H413</f>
        <v>0</v>
      </c>
      <c r="Q414">
        <f t="shared" si="70"/>
        <v>0</v>
      </c>
      <c r="R414">
        <f t="shared" si="66"/>
        <v>0</v>
      </c>
    </row>
    <row r="415" spans="1:18" x14ac:dyDescent="0.3">
      <c r="A415">
        <f t="shared" si="71"/>
        <v>412</v>
      </c>
      <c r="B415">
        <f t="shared" si="72"/>
        <v>35</v>
      </c>
      <c r="C415">
        <f t="shared" si="73"/>
        <v>417</v>
      </c>
      <c r="D415">
        <f t="shared" si="67"/>
        <v>35</v>
      </c>
      <c r="E415">
        <f>[1]model_point!$C$2+D415-1</f>
        <v>39</v>
      </c>
      <c r="F415">
        <f>VLOOKUP(E415,'[1]202512 BE mortality'!$A:$C,3,0)</f>
        <v>9.6989730308586451E-3</v>
      </c>
      <c r="G415">
        <f>VLOOKUP(D415,'[1]202512 BE lapse'!$C:$D,2,0)</f>
        <v>7.4196760579951183E-3</v>
      </c>
      <c r="H415">
        <f>VLOOKUP($B415,'[1]202512 RFR'!$A:$B,2,0)</f>
        <v>1.4999999999999999E-2</v>
      </c>
      <c r="I415">
        <f t="shared" si="74"/>
        <v>1.4439457584437783</v>
      </c>
      <c r="J415">
        <f t="shared" si="75"/>
        <v>1.1732388317345179E-3</v>
      </c>
      <c r="K415">
        <f t="shared" si="76"/>
        <v>0</v>
      </c>
      <c r="L415">
        <f t="shared" si="68"/>
        <v>0.65879139364518069</v>
      </c>
      <c r="M415">
        <f>IF(AND(MOD(C415,12)=1,D415&lt;='[1]Product parameters'!$C$2),I414*[1]model_point!$G$2,0)</f>
        <v>0</v>
      </c>
      <c r="N415">
        <f t="shared" si="69"/>
        <v>0</v>
      </c>
      <c r="O415">
        <f>[2]results_sample_product_cf!G414</f>
        <v>0</v>
      </c>
      <c r="P415">
        <f>[2]results_sample_product_cf!H414</f>
        <v>0</v>
      </c>
      <c r="Q415">
        <f t="shared" si="70"/>
        <v>0</v>
      </c>
      <c r="R415">
        <f t="shared" si="66"/>
        <v>0</v>
      </c>
    </row>
    <row r="416" spans="1:18" x14ac:dyDescent="0.3">
      <c r="A416">
        <f t="shared" si="71"/>
        <v>413</v>
      </c>
      <c r="B416">
        <f t="shared" si="72"/>
        <v>35</v>
      </c>
      <c r="C416">
        <f t="shared" si="73"/>
        <v>418</v>
      </c>
      <c r="D416">
        <f t="shared" si="67"/>
        <v>35</v>
      </c>
      <c r="E416">
        <f>[1]model_point!$C$2+D416-1</f>
        <v>39</v>
      </c>
      <c r="F416">
        <f>VLOOKUP(E416,'[1]202512 BE mortality'!$A:$C,3,0)</f>
        <v>9.6989730308586451E-3</v>
      </c>
      <c r="G416">
        <f>VLOOKUP(D416,'[1]202512 BE lapse'!$C:$D,2,0)</f>
        <v>7.4196760579951183E-3</v>
      </c>
      <c r="H416">
        <f>VLOOKUP($B416,'[1]202512 RFR'!$A:$B,2,0)</f>
        <v>1.4999999999999999E-2</v>
      </c>
      <c r="I416">
        <f t="shared" si="74"/>
        <v>1.4427734721213934</v>
      </c>
      <c r="J416">
        <f t="shared" si="75"/>
        <v>1.1722863223848484E-3</v>
      </c>
      <c r="K416">
        <f t="shared" si="76"/>
        <v>0</v>
      </c>
      <c r="L416">
        <f t="shared" si="68"/>
        <v>0.65797452635297693</v>
      </c>
      <c r="M416">
        <f>IF(AND(MOD(C416,12)=1,D416&lt;='[1]Product parameters'!$C$2),I415*[1]model_point!$G$2,0)</f>
        <v>0</v>
      </c>
      <c r="N416">
        <f t="shared" si="69"/>
        <v>0</v>
      </c>
      <c r="O416">
        <f>[2]results_sample_product_cf!G415</f>
        <v>0</v>
      </c>
      <c r="P416">
        <f>[2]results_sample_product_cf!H415</f>
        <v>0</v>
      </c>
      <c r="Q416">
        <f t="shared" si="70"/>
        <v>0</v>
      </c>
      <c r="R416">
        <f t="shared" si="66"/>
        <v>0</v>
      </c>
    </row>
    <row r="417" spans="1:18" x14ac:dyDescent="0.3">
      <c r="A417">
        <f t="shared" si="71"/>
        <v>414</v>
      </c>
      <c r="B417">
        <f t="shared" si="72"/>
        <v>35</v>
      </c>
      <c r="C417">
        <f t="shared" si="73"/>
        <v>419</v>
      </c>
      <c r="D417">
        <f t="shared" si="67"/>
        <v>35</v>
      </c>
      <c r="E417">
        <f>[1]model_point!$C$2+D417-1</f>
        <v>39</v>
      </c>
      <c r="F417">
        <f>VLOOKUP(E417,'[1]202512 BE mortality'!$A:$C,3,0)</f>
        <v>9.6989730308586451E-3</v>
      </c>
      <c r="G417">
        <f>VLOOKUP(D417,'[1]202512 BE lapse'!$C:$D,2,0)</f>
        <v>7.4196760579951183E-3</v>
      </c>
      <c r="H417">
        <f>VLOOKUP($B417,'[1]202512 RFR'!$A:$B,2,0)</f>
        <v>1.4999999999999999E-2</v>
      </c>
      <c r="I417">
        <f t="shared" si="74"/>
        <v>1.441602137535051</v>
      </c>
      <c r="J417">
        <f t="shared" si="75"/>
        <v>1.1713345863424006E-3</v>
      </c>
      <c r="K417">
        <f t="shared" si="76"/>
        <v>0</v>
      </c>
      <c r="L417">
        <f t="shared" si="68"/>
        <v>0.65715867193401278</v>
      </c>
      <c r="M417">
        <f>IF(AND(MOD(C417,12)=1,D417&lt;='[1]Product parameters'!$C$2),I416*[1]model_point!$G$2,0)</f>
        <v>0</v>
      </c>
      <c r="N417">
        <f t="shared" si="69"/>
        <v>0</v>
      </c>
      <c r="O417">
        <f>[2]results_sample_product_cf!G416</f>
        <v>0</v>
      </c>
      <c r="P417">
        <f>[2]results_sample_product_cf!H416</f>
        <v>0</v>
      </c>
      <c r="Q417">
        <f t="shared" si="70"/>
        <v>0</v>
      </c>
      <c r="R417">
        <f t="shared" si="66"/>
        <v>0</v>
      </c>
    </row>
    <row r="418" spans="1:18" x14ac:dyDescent="0.3">
      <c r="A418">
        <f t="shared" si="71"/>
        <v>415</v>
      </c>
      <c r="B418">
        <f t="shared" si="72"/>
        <v>35</v>
      </c>
      <c r="C418">
        <f t="shared" si="73"/>
        <v>420</v>
      </c>
      <c r="D418">
        <f t="shared" si="67"/>
        <v>35</v>
      </c>
      <c r="E418">
        <f>[1]model_point!$C$2+D418-1</f>
        <v>39</v>
      </c>
      <c r="F418">
        <f>VLOOKUP(E418,'[1]202512 BE mortality'!$A:$C,3,0)</f>
        <v>9.6989730308586451E-3</v>
      </c>
      <c r="G418">
        <f>VLOOKUP(D418,'[1]202512 BE lapse'!$C:$D,2,0)</f>
        <v>7.4196760579951183E-3</v>
      </c>
      <c r="H418">
        <f>VLOOKUP($B418,'[1]202512 RFR'!$A:$B,2,0)</f>
        <v>1.4999999999999999E-2</v>
      </c>
      <c r="I418">
        <f t="shared" si="74"/>
        <v>1.4297442169143944</v>
      </c>
      <c r="J418">
        <f t="shared" si="75"/>
        <v>1.1703836229793548E-3</v>
      </c>
      <c r="K418">
        <f t="shared" si="76"/>
        <v>1.0687536997677315E-2</v>
      </c>
      <c r="L418">
        <f t="shared" si="68"/>
        <v>0.65634382913237765</v>
      </c>
      <c r="M418">
        <f>IF(AND(MOD(C418,12)=1,D418&lt;='[1]Product parameters'!$C$2),I417*[1]model_point!$G$2,0)</f>
        <v>0</v>
      </c>
      <c r="N418">
        <f t="shared" si="69"/>
        <v>0</v>
      </c>
      <c r="O418">
        <f>[2]results_sample_product_cf!G417</f>
        <v>0</v>
      </c>
      <c r="P418">
        <f>[2]results_sample_product_cf!H417</f>
        <v>0</v>
      </c>
      <c r="Q418">
        <f t="shared" si="70"/>
        <v>0</v>
      </c>
      <c r="R418">
        <f t="shared" si="66"/>
        <v>0</v>
      </c>
    </row>
    <row r="419" spans="1:18" x14ac:dyDescent="0.3">
      <c r="A419">
        <f t="shared" si="71"/>
        <v>416</v>
      </c>
      <c r="B419">
        <f t="shared" si="72"/>
        <v>35</v>
      </c>
      <c r="C419">
        <f t="shared" si="73"/>
        <v>421</v>
      </c>
      <c r="D419">
        <f t="shared" si="67"/>
        <v>36</v>
      </c>
      <c r="E419">
        <f>[1]model_point!$C$2+D419-1</f>
        <v>40</v>
      </c>
      <c r="F419">
        <f>VLOOKUP(E419,'[1]202512 BE mortality'!$A:$C,3,0)</f>
        <v>2.428155634021024E-3</v>
      </c>
      <c r="G419">
        <f>VLOOKUP(D419,'[1]202512 BE lapse'!$C:$D,2,0)</f>
        <v>9.5145712364500448E-3</v>
      </c>
      <c r="H419">
        <f>VLOOKUP($B419,'[1]202512 RFR'!$A:$B,2,0)</f>
        <v>1.4999999999999999E-2</v>
      </c>
      <c r="I419">
        <f t="shared" si="74"/>
        <v>1.4294545909905749</v>
      </c>
      <c r="J419">
        <f t="shared" si="75"/>
        <v>2.8962592381945795E-4</v>
      </c>
      <c r="K419">
        <f t="shared" si="76"/>
        <v>0</v>
      </c>
      <c r="L419">
        <f t="shared" si="68"/>
        <v>0.65552999669371836</v>
      </c>
      <c r="M419">
        <f>IF(AND(MOD(C419,12)=1,D419&lt;='[1]Product parameters'!$C$2),I418*[1]model_point!$G$2,0)</f>
        <v>0</v>
      </c>
      <c r="N419">
        <f t="shared" si="69"/>
        <v>0</v>
      </c>
      <c r="O419">
        <f>[2]results_sample_product_cf!G418</f>
        <v>0</v>
      </c>
      <c r="P419">
        <f>[2]results_sample_product_cf!H418</f>
        <v>0</v>
      </c>
      <c r="Q419">
        <f t="shared" si="70"/>
        <v>0</v>
      </c>
      <c r="R419">
        <f t="shared" si="66"/>
        <v>0</v>
      </c>
    </row>
    <row r="420" spans="1:18" x14ac:dyDescent="0.3">
      <c r="A420">
        <f t="shared" si="71"/>
        <v>417</v>
      </c>
      <c r="B420">
        <f t="shared" si="72"/>
        <v>35</v>
      </c>
      <c r="C420">
        <f t="shared" si="73"/>
        <v>422</v>
      </c>
      <c r="D420">
        <f t="shared" si="67"/>
        <v>36</v>
      </c>
      <c r="E420">
        <f>[1]model_point!$C$2+D420-1</f>
        <v>40</v>
      </c>
      <c r="F420">
        <f>VLOOKUP(E420,'[1]202512 BE mortality'!$A:$C,3,0)</f>
        <v>2.428155634021024E-3</v>
      </c>
      <c r="G420">
        <f>VLOOKUP(D420,'[1]202512 BE lapse'!$C:$D,2,0)</f>
        <v>9.5145712364500448E-3</v>
      </c>
      <c r="H420">
        <f>VLOOKUP($B420,'[1]202512 RFR'!$A:$B,2,0)</f>
        <v>1.4999999999999999E-2</v>
      </c>
      <c r="I420">
        <f t="shared" si="74"/>
        <v>1.4291650237368132</v>
      </c>
      <c r="J420">
        <f t="shared" si="75"/>
        <v>2.89567253761726E-4</v>
      </c>
      <c r="K420">
        <f t="shared" si="76"/>
        <v>0</v>
      </c>
      <c r="L420">
        <f t="shared" si="68"/>
        <v>0.65471717336523705</v>
      </c>
      <c r="M420">
        <f>IF(AND(MOD(C420,12)=1,D420&lt;='[1]Product parameters'!$C$2),I419*[1]model_point!$G$2,0)</f>
        <v>0</v>
      </c>
      <c r="N420">
        <f t="shared" si="69"/>
        <v>0</v>
      </c>
      <c r="O420">
        <f>[2]results_sample_product_cf!G419</f>
        <v>0</v>
      </c>
      <c r="P420">
        <f>[2]results_sample_product_cf!H419</f>
        <v>0</v>
      </c>
      <c r="Q420">
        <f t="shared" si="70"/>
        <v>0</v>
      </c>
      <c r="R420">
        <f t="shared" si="66"/>
        <v>0</v>
      </c>
    </row>
    <row r="421" spans="1:18" x14ac:dyDescent="0.3">
      <c r="A421">
        <f t="shared" si="71"/>
        <v>418</v>
      </c>
      <c r="B421">
        <f t="shared" si="72"/>
        <v>35</v>
      </c>
      <c r="C421">
        <f t="shared" si="73"/>
        <v>423</v>
      </c>
      <c r="D421">
        <f t="shared" si="67"/>
        <v>36</v>
      </c>
      <c r="E421">
        <f>[1]model_point!$C$2+D421-1</f>
        <v>40</v>
      </c>
      <c r="F421">
        <f>VLOOKUP(E421,'[1]202512 BE mortality'!$A:$C,3,0)</f>
        <v>2.428155634021024E-3</v>
      </c>
      <c r="G421">
        <f>VLOOKUP(D421,'[1]202512 BE lapse'!$C:$D,2,0)</f>
        <v>9.5145712364500448E-3</v>
      </c>
      <c r="H421">
        <f>VLOOKUP($B421,'[1]202512 RFR'!$A:$B,2,0)</f>
        <v>1.4999999999999999E-2</v>
      </c>
      <c r="I421">
        <f t="shared" si="74"/>
        <v>1.4288755151412242</v>
      </c>
      <c r="J421">
        <f t="shared" si="75"/>
        <v>2.8950859558889592E-4</v>
      </c>
      <c r="K421">
        <f t="shared" si="76"/>
        <v>0</v>
      </c>
      <c r="L421">
        <f t="shared" si="68"/>
        <v>0.65390535789568915</v>
      </c>
      <c r="M421">
        <f>IF(AND(MOD(C421,12)=1,D421&lt;='[1]Product parameters'!$C$2),I420*[1]model_point!$G$2,0)</f>
        <v>0</v>
      </c>
      <c r="N421">
        <f t="shared" si="69"/>
        <v>0</v>
      </c>
      <c r="O421">
        <f>[2]results_sample_product_cf!G420</f>
        <v>0</v>
      </c>
      <c r="P421">
        <f>[2]results_sample_product_cf!H420</f>
        <v>0</v>
      </c>
      <c r="Q421">
        <f t="shared" si="70"/>
        <v>0</v>
      </c>
      <c r="R421">
        <f t="shared" si="66"/>
        <v>0</v>
      </c>
    </row>
    <row r="422" spans="1:18" x14ac:dyDescent="0.3">
      <c r="A422">
        <f t="shared" si="71"/>
        <v>419</v>
      </c>
      <c r="B422">
        <f t="shared" si="72"/>
        <v>35</v>
      </c>
      <c r="C422">
        <f t="shared" si="73"/>
        <v>424</v>
      </c>
      <c r="D422">
        <f t="shared" si="67"/>
        <v>36</v>
      </c>
      <c r="E422">
        <f>[1]model_point!$C$2+D422-1</f>
        <v>40</v>
      </c>
      <c r="F422">
        <f>VLOOKUP(E422,'[1]202512 BE mortality'!$A:$C,3,0)</f>
        <v>2.428155634021024E-3</v>
      </c>
      <c r="G422">
        <f>VLOOKUP(D422,'[1]202512 BE lapse'!$C:$D,2,0)</f>
        <v>9.5145712364500448E-3</v>
      </c>
      <c r="H422">
        <f>VLOOKUP($B422,'[1]202512 RFR'!$A:$B,2,0)</f>
        <v>1.4999999999999999E-2</v>
      </c>
      <c r="I422">
        <f t="shared" si="74"/>
        <v>1.4285860651919258</v>
      </c>
      <c r="J422">
        <f t="shared" si="75"/>
        <v>2.8944994929856006E-4</v>
      </c>
      <c r="K422">
        <f t="shared" si="76"/>
        <v>0</v>
      </c>
      <c r="L422">
        <f t="shared" si="68"/>
        <v>0.65309454903538178</v>
      </c>
      <c r="M422">
        <f>IF(AND(MOD(C422,12)=1,D422&lt;='[1]Product parameters'!$C$2),I421*[1]model_point!$G$2,0)</f>
        <v>0</v>
      </c>
      <c r="N422">
        <f t="shared" si="69"/>
        <v>0</v>
      </c>
      <c r="O422">
        <f>[2]results_sample_product_cf!G421</f>
        <v>0</v>
      </c>
      <c r="P422">
        <f>[2]results_sample_product_cf!H421</f>
        <v>0</v>
      </c>
      <c r="Q422">
        <f t="shared" si="70"/>
        <v>0</v>
      </c>
      <c r="R422">
        <f t="shared" si="66"/>
        <v>0</v>
      </c>
    </row>
    <row r="423" spans="1:18" x14ac:dyDescent="0.3">
      <c r="A423">
        <f t="shared" si="71"/>
        <v>420</v>
      </c>
      <c r="B423">
        <f t="shared" si="72"/>
        <v>35</v>
      </c>
      <c r="C423">
        <f t="shared" si="73"/>
        <v>425</v>
      </c>
      <c r="D423">
        <f t="shared" si="67"/>
        <v>36</v>
      </c>
      <c r="E423">
        <f>[1]model_point!$C$2+D423-1</f>
        <v>40</v>
      </c>
      <c r="F423">
        <f>VLOOKUP(E423,'[1]202512 BE mortality'!$A:$C,3,0)</f>
        <v>2.428155634021024E-3</v>
      </c>
      <c r="G423">
        <f>VLOOKUP(D423,'[1]202512 BE lapse'!$C:$D,2,0)</f>
        <v>9.5145712364500448E-3</v>
      </c>
      <c r="H423">
        <f>VLOOKUP($B423,'[1]202512 RFR'!$A:$B,2,0)</f>
        <v>1.4999999999999999E-2</v>
      </c>
      <c r="I423">
        <f t="shared" si="74"/>
        <v>1.4282966738770375</v>
      </c>
      <c r="J423">
        <f t="shared" si="75"/>
        <v>2.8939131488831151E-4</v>
      </c>
      <c r="K423">
        <f t="shared" si="76"/>
        <v>0</v>
      </c>
      <c r="L423">
        <f t="shared" si="68"/>
        <v>0.65228474553617133</v>
      </c>
      <c r="M423">
        <f>IF(AND(MOD(C423,12)=1,D423&lt;='[1]Product parameters'!$C$2),I422*[1]model_point!$G$2,0)</f>
        <v>0</v>
      </c>
      <c r="N423">
        <f t="shared" si="69"/>
        <v>0</v>
      </c>
      <c r="O423">
        <f>[2]results_sample_product_cf!G422</f>
        <v>0</v>
      </c>
      <c r="P423">
        <f>[2]results_sample_product_cf!H422</f>
        <v>0</v>
      </c>
      <c r="Q423">
        <f t="shared" si="70"/>
        <v>0</v>
      </c>
      <c r="R423">
        <f t="shared" si="66"/>
        <v>0</v>
      </c>
    </row>
    <row r="424" spans="1:18" x14ac:dyDescent="0.3">
      <c r="A424">
        <f t="shared" si="71"/>
        <v>421</v>
      </c>
      <c r="B424">
        <f t="shared" si="72"/>
        <v>36</v>
      </c>
      <c r="C424">
        <f t="shared" si="73"/>
        <v>426</v>
      </c>
      <c r="D424">
        <f t="shared" si="67"/>
        <v>36</v>
      </c>
      <c r="E424">
        <f>[1]model_point!$C$2+D424-1</f>
        <v>40</v>
      </c>
      <c r="F424">
        <f>VLOOKUP(E424,'[1]202512 BE mortality'!$A:$C,3,0)</f>
        <v>2.428155634021024E-3</v>
      </c>
      <c r="G424">
        <f>VLOOKUP(D424,'[1]202512 BE lapse'!$C:$D,2,0)</f>
        <v>9.5145712364500448E-3</v>
      </c>
      <c r="H424">
        <f>VLOOKUP($B424,'[1]202512 RFR'!$A:$B,2,0)</f>
        <v>0.02</v>
      </c>
      <c r="I424">
        <f t="shared" si="74"/>
        <v>1.4280073411846819</v>
      </c>
      <c r="J424">
        <f t="shared" si="75"/>
        <v>2.8933269235574359E-4</v>
      </c>
      <c r="K424">
        <f t="shared" si="76"/>
        <v>0</v>
      </c>
      <c r="L424">
        <f t="shared" si="68"/>
        <v>0.65120922056385</v>
      </c>
      <c r="M424">
        <f>IF(AND(MOD(C424,12)=1,D424&lt;='[1]Product parameters'!$C$2),I423*[1]model_point!$G$2,0)</f>
        <v>0</v>
      </c>
      <c r="N424">
        <f t="shared" si="69"/>
        <v>0</v>
      </c>
      <c r="O424">
        <f>[2]results_sample_product_cf!G423</f>
        <v>0</v>
      </c>
      <c r="P424">
        <f>[2]results_sample_product_cf!H423</f>
        <v>0</v>
      </c>
      <c r="Q424">
        <f t="shared" si="70"/>
        <v>0</v>
      </c>
      <c r="R424">
        <f t="shared" si="66"/>
        <v>0</v>
      </c>
    </row>
    <row r="425" spans="1:18" x14ac:dyDescent="0.3">
      <c r="A425">
        <f t="shared" si="71"/>
        <v>422</v>
      </c>
      <c r="B425">
        <f t="shared" si="72"/>
        <v>36</v>
      </c>
      <c r="C425">
        <f t="shared" si="73"/>
        <v>427</v>
      </c>
      <c r="D425">
        <f t="shared" si="67"/>
        <v>36</v>
      </c>
      <c r="E425">
        <f>[1]model_point!$C$2+D425-1</f>
        <v>40</v>
      </c>
      <c r="F425">
        <f>VLOOKUP(E425,'[1]202512 BE mortality'!$A:$C,3,0)</f>
        <v>2.428155634021024E-3</v>
      </c>
      <c r="G425">
        <f>VLOOKUP(D425,'[1]202512 BE lapse'!$C:$D,2,0)</f>
        <v>9.5145712364500448E-3</v>
      </c>
      <c r="H425">
        <f>VLOOKUP($B425,'[1]202512 RFR'!$A:$B,2,0)</f>
        <v>0.02</v>
      </c>
      <c r="I425">
        <f t="shared" si="74"/>
        <v>1.4277180671029834</v>
      </c>
      <c r="J425">
        <f t="shared" si="75"/>
        <v>2.8927408169845026E-4</v>
      </c>
      <c r="K425">
        <f t="shared" si="76"/>
        <v>0</v>
      </c>
      <c r="L425">
        <f t="shared" si="68"/>
        <v>0.6501354689795682</v>
      </c>
      <c r="M425">
        <f>IF(AND(MOD(C425,12)=1,D425&lt;='[1]Product parameters'!$C$2),I424*[1]model_point!$G$2,0)</f>
        <v>0</v>
      </c>
      <c r="N425">
        <f t="shared" si="69"/>
        <v>0</v>
      </c>
      <c r="O425">
        <f>[2]results_sample_product_cf!G424</f>
        <v>0</v>
      </c>
      <c r="P425">
        <f>[2]results_sample_product_cf!H424</f>
        <v>0</v>
      </c>
      <c r="Q425">
        <f t="shared" si="70"/>
        <v>0</v>
      </c>
      <c r="R425">
        <f t="shared" si="66"/>
        <v>0</v>
      </c>
    </row>
    <row r="426" spans="1:18" x14ac:dyDescent="0.3">
      <c r="A426">
        <f t="shared" si="71"/>
        <v>423</v>
      </c>
      <c r="B426">
        <f t="shared" si="72"/>
        <v>36</v>
      </c>
      <c r="C426">
        <f t="shared" si="73"/>
        <v>428</v>
      </c>
      <c r="D426">
        <f t="shared" si="67"/>
        <v>36</v>
      </c>
      <c r="E426">
        <f>[1]model_point!$C$2+D426-1</f>
        <v>40</v>
      </c>
      <c r="F426">
        <f>VLOOKUP(E426,'[1]202512 BE mortality'!$A:$C,3,0)</f>
        <v>2.428155634021024E-3</v>
      </c>
      <c r="G426">
        <f>VLOOKUP(D426,'[1]202512 BE lapse'!$C:$D,2,0)</f>
        <v>9.5145712364500448E-3</v>
      </c>
      <c r="H426">
        <f>VLOOKUP($B426,'[1]202512 RFR'!$A:$B,2,0)</f>
        <v>0.02</v>
      </c>
      <c r="I426">
        <f t="shared" si="74"/>
        <v>1.4274288516200695</v>
      </c>
      <c r="J426">
        <f t="shared" si="75"/>
        <v>2.8921548291402594E-4</v>
      </c>
      <c r="K426">
        <f t="shared" si="76"/>
        <v>0</v>
      </c>
      <c r="L426">
        <f t="shared" si="68"/>
        <v>0.64906348785926071</v>
      </c>
      <c r="M426">
        <f>IF(AND(MOD(C426,12)=1,D426&lt;='[1]Product parameters'!$C$2),I425*[1]model_point!$G$2,0)</f>
        <v>0</v>
      </c>
      <c r="N426">
        <f t="shared" si="69"/>
        <v>0</v>
      </c>
      <c r="O426">
        <f>[2]results_sample_product_cf!G425</f>
        <v>0</v>
      </c>
      <c r="P426">
        <f>[2]results_sample_product_cf!H425</f>
        <v>0</v>
      </c>
      <c r="Q426">
        <f t="shared" si="70"/>
        <v>0</v>
      </c>
      <c r="R426">
        <f t="shared" si="66"/>
        <v>0</v>
      </c>
    </row>
    <row r="427" spans="1:18" x14ac:dyDescent="0.3">
      <c r="A427">
        <f t="shared" si="71"/>
        <v>424</v>
      </c>
      <c r="B427">
        <f t="shared" si="72"/>
        <v>36</v>
      </c>
      <c r="C427">
        <f t="shared" si="73"/>
        <v>429</v>
      </c>
      <c r="D427">
        <f t="shared" si="67"/>
        <v>36</v>
      </c>
      <c r="E427">
        <f>[1]model_point!$C$2+D427-1</f>
        <v>40</v>
      </c>
      <c r="F427">
        <f>VLOOKUP(E427,'[1]202512 BE mortality'!$A:$C,3,0)</f>
        <v>2.428155634021024E-3</v>
      </c>
      <c r="G427">
        <f>VLOOKUP(D427,'[1]202512 BE lapse'!$C:$D,2,0)</f>
        <v>9.5145712364500448E-3</v>
      </c>
      <c r="H427">
        <f>VLOOKUP($B427,'[1]202512 RFR'!$A:$B,2,0)</f>
        <v>0.02</v>
      </c>
      <c r="I427">
        <f t="shared" si="74"/>
        <v>1.4271396947240693</v>
      </c>
      <c r="J427">
        <f t="shared" si="75"/>
        <v>2.8915689600006548E-4</v>
      </c>
      <c r="K427">
        <f t="shared" si="76"/>
        <v>0</v>
      </c>
      <c r="L427">
        <f t="shared" si="68"/>
        <v>0.6479932742836837</v>
      </c>
      <c r="M427">
        <f>IF(AND(MOD(C427,12)=1,D427&lt;='[1]Product parameters'!$C$2),I426*[1]model_point!$G$2,0)</f>
        <v>0</v>
      </c>
      <c r="N427">
        <f t="shared" si="69"/>
        <v>0</v>
      </c>
      <c r="O427">
        <f>[2]results_sample_product_cf!G426</f>
        <v>0</v>
      </c>
      <c r="P427">
        <f>[2]results_sample_product_cf!H426</f>
        <v>0</v>
      </c>
      <c r="Q427">
        <f t="shared" si="70"/>
        <v>0</v>
      </c>
      <c r="R427">
        <f t="shared" si="66"/>
        <v>0</v>
      </c>
    </row>
    <row r="428" spans="1:18" x14ac:dyDescent="0.3">
      <c r="A428">
        <f t="shared" si="71"/>
        <v>425</v>
      </c>
      <c r="B428">
        <f t="shared" si="72"/>
        <v>36</v>
      </c>
      <c r="C428">
        <f t="shared" si="73"/>
        <v>430</v>
      </c>
      <c r="D428">
        <f t="shared" si="67"/>
        <v>36</v>
      </c>
      <c r="E428">
        <f>[1]model_point!$C$2+D428-1</f>
        <v>40</v>
      </c>
      <c r="F428">
        <f>VLOOKUP(E428,'[1]202512 BE mortality'!$A:$C,3,0)</f>
        <v>2.428155634021024E-3</v>
      </c>
      <c r="G428">
        <f>VLOOKUP(D428,'[1]202512 BE lapse'!$C:$D,2,0)</f>
        <v>9.5145712364500448E-3</v>
      </c>
      <c r="H428">
        <f>VLOOKUP($B428,'[1]202512 RFR'!$A:$B,2,0)</f>
        <v>0.02</v>
      </c>
      <c r="I428">
        <f t="shared" si="74"/>
        <v>1.4268505964031151</v>
      </c>
      <c r="J428">
        <f t="shared" si="75"/>
        <v>2.8909832095416418E-4</v>
      </c>
      <c r="K428">
        <f t="shared" si="76"/>
        <v>0</v>
      </c>
      <c r="L428">
        <f t="shared" si="68"/>
        <v>0.64692482533840678</v>
      </c>
      <c r="M428">
        <f>IF(AND(MOD(C428,12)=1,D428&lt;='[1]Product parameters'!$C$2),I427*[1]model_point!$G$2,0)</f>
        <v>0</v>
      </c>
      <c r="N428">
        <f t="shared" si="69"/>
        <v>0</v>
      </c>
      <c r="O428">
        <f>[2]results_sample_product_cf!G427</f>
        <v>0</v>
      </c>
      <c r="P428">
        <f>[2]results_sample_product_cf!H427</f>
        <v>0</v>
      </c>
      <c r="Q428">
        <f t="shared" si="70"/>
        <v>0</v>
      </c>
      <c r="R428">
        <f t="shared" si="66"/>
        <v>0</v>
      </c>
    </row>
    <row r="429" spans="1:18" x14ac:dyDescent="0.3">
      <c r="A429">
        <f t="shared" si="71"/>
        <v>426</v>
      </c>
      <c r="B429">
        <f t="shared" si="72"/>
        <v>36</v>
      </c>
      <c r="C429">
        <f t="shared" si="73"/>
        <v>431</v>
      </c>
      <c r="D429">
        <f t="shared" si="67"/>
        <v>36</v>
      </c>
      <c r="E429">
        <f>[1]model_point!$C$2+D429-1</f>
        <v>40</v>
      </c>
      <c r="F429">
        <f>VLOOKUP(E429,'[1]202512 BE mortality'!$A:$C,3,0)</f>
        <v>2.428155634021024E-3</v>
      </c>
      <c r="G429">
        <f>VLOOKUP(D429,'[1]202512 BE lapse'!$C:$D,2,0)</f>
        <v>9.5145712364500448E-3</v>
      </c>
      <c r="H429">
        <f>VLOOKUP($B429,'[1]202512 RFR'!$A:$B,2,0)</f>
        <v>0.02</v>
      </c>
      <c r="I429">
        <f t="shared" si="74"/>
        <v>1.4265615566453411</v>
      </c>
      <c r="J429">
        <f t="shared" si="75"/>
        <v>2.8903975777391805E-4</v>
      </c>
      <c r="K429">
        <f t="shared" si="76"/>
        <v>0</v>
      </c>
      <c r="L429">
        <f t="shared" si="68"/>
        <v>0.64585813811380499</v>
      </c>
      <c r="M429">
        <f>IF(AND(MOD(C429,12)=1,D429&lt;='[1]Product parameters'!$C$2),I428*[1]model_point!$G$2,0)</f>
        <v>0</v>
      </c>
      <c r="N429">
        <f t="shared" si="69"/>
        <v>0</v>
      </c>
      <c r="O429">
        <f>[2]results_sample_product_cf!G428</f>
        <v>0</v>
      </c>
      <c r="P429">
        <f>[2]results_sample_product_cf!H428</f>
        <v>0</v>
      </c>
      <c r="Q429">
        <f t="shared" si="70"/>
        <v>0</v>
      </c>
      <c r="R429">
        <f t="shared" si="66"/>
        <v>0</v>
      </c>
    </row>
    <row r="430" spans="1:18" x14ac:dyDescent="0.3">
      <c r="A430">
        <f t="shared" si="71"/>
        <v>427</v>
      </c>
      <c r="B430">
        <f t="shared" si="72"/>
        <v>36</v>
      </c>
      <c r="C430">
        <f t="shared" si="73"/>
        <v>432</v>
      </c>
      <c r="D430">
        <f t="shared" si="67"/>
        <v>36</v>
      </c>
      <c r="E430">
        <f>[1]model_point!$C$2+D430-1</f>
        <v>40</v>
      </c>
      <c r="F430">
        <f>VLOOKUP(E430,'[1]202512 BE mortality'!$A:$C,3,0)</f>
        <v>2.428155634021024E-3</v>
      </c>
      <c r="G430">
        <f>VLOOKUP(D430,'[1]202512 BE lapse'!$C:$D,2,0)</f>
        <v>9.5145712364500448E-3</v>
      </c>
      <c r="H430">
        <f>VLOOKUP($B430,'[1]202512 RFR'!$A:$B,2,0)</f>
        <v>0.02</v>
      </c>
      <c r="I430">
        <f t="shared" si="74"/>
        <v>1.412702203417276</v>
      </c>
      <c r="J430">
        <f t="shared" si="75"/>
        <v>2.8898120645692339E-4</v>
      </c>
      <c r="K430">
        <f t="shared" si="76"/>
        <v>1.3570372021608336E-2</v>
      </c>
      <c r="L430">
        <f t="shared" si="68"/>
        <v>0.64479320970505105</v>
      </c>
      <c r="M430">
        <f>IF(AND(MOD(C430,12)=1,D430&lt;='[1]Product parameters'!$C$2),I429*[1]model_point!$G$2,0)</f>
        <v>0</v>
      </c>
      <c r="N430">
        <f t="shared" si="69"/>
        <v>0</v>
      </c>
      <c r="O430">
        <f>[2]results_sample_product_cf!G429</f>
        <v>0</v>
      </c>
      <c r="P430">
        <f>[2]results_sample_product_cf!H429</f>
        <v>0</v>
      </c>
      <c r="Q430">
        <f t="shared" si="70"/>
        <v>0</v>
      </c>
      <c r="R430">
        <f t="shared" si="66"/>
        <v>0</v>
      </c>
    </row>
    <row r="431" spans="1:18" x14ac:dyDescent="0.3">
      <c r="A431">
        <f t="shared" si="71"/>
        <v>428</v>
      </c>
      <c r="B431">
        <f t="shared" si="72"/>
        <v>36</v>
      </c>
      <c r="C431">
        <f t="shared" si="73"/>
        <v>433</v>
      </c>
      <c r="D431">
        <f t="shared" si="67"/>
        <v>37</v>
      </c>
      <c r="E431">
        <f>[1]model_point!$C$2+D431-1</f>
        <v>41</v>
      </c>
      <c r="F431">
        <f>VLOOKUP(E431,'[1]202512 BE mortality'!$A:$C,3,0)</f>
        <v>2.5310729501951258E-3</v>
      </c>
      <c r="G431">
        <f>VLOOKUP(D431,'[1]202512 BE lapse'!$C:$D,2,0)</f>
        <v>4.6735398669213038E-3</v>
      </c>
      <c r="H431">
        <f>VLOOKUP($B431,'[1]202512 RFR'!$A:$B,2,0)</f>
        <v>0.02</v>
      </c>
      <c r="I431">
        <f t="shared" si="74"/>
        <v>1.4124038861606871</v>
      </c>
      <c r="J431">
        <f t="shared" si="75"/>
        <v>2.983172565888773E-4</v>
      </c>
      <c r="K431">
        <f t="shared" si="76"/>
        <v>0</v>
      </c>
      <c r="L431">
        <f t="shared" si="68"/>
        <v>0.64373003721210709</v>
      </c>
      <c r="M431">
        <f>IF(AND(MOD(C431,12)=1,D431&lt;='[1]Product parameters'!$C$2),I430*[1]model_point!$G$2,0)</f>
        <v>0</v>
      </c>
      <c r="N431">
        <f t="shared" si="69"/>
        <v>0</v>
      </c>
      <c r="O431">
        <f>[2]results_sample_product_cf!G430</f>
        <v>0</v>
      </c>
      <c r="P431">
        <f>[2]results_sample_product_cf!H430</f>
        <v>0</v>
      </c>
      <c r="Q431">
        <f t="shared" si="70"/>
        <v>0</v>
      </c>
      <c r="R431">
        <f t="shared" si="66"/>
        <v>0</v>
      </c>
    </row>
    <row r="432" spans="1:18" x14ac:dyDescent="0.3">
      <c r="A432">
        <f t="shared" si="71"/>
        <v>429</v>
      </c>
      <c r="B432">
        <f t="shared" si="72"/>
        <v>36</v>
      </c>
      <c r="C432">
        <f t="shared" si="73"/>
        <v>434</v>
      </c>
      <c r="D432">
        <f t="shared" si="67"/>
        <v>37</v>
      </c>
      <c r="E432">
        <f>[1]model_point!$C$2+D432-1</f>
        <v>41</v>
      </c>
      <c r="F432">
        <f>VLOOKUP(E432,'[1]202512 BE mortality'!$A:$C,3,0)</f>
        <v>2.5310729501951258E-3</v>
      </c>
      <c r="G432">
        <f>VLOOKUP(D432,'[1]202512 BE lapse'!$C:$D,2,0)</f>
        <v>4.6735398669213038E-3</v>
      </c>
      <c r="H432">
        <f>VLOOKUP($B432,'[1]202512 RFR'!$A:$B,2,0)</f>
        <v>0.02</v>
      </c>
      <c r="I432">
        <f t="shared" si="74"/>
        <v>1.4121056318991054</v>
      </c>
      <c r="J432">
        <f t="shared" si="75"/>
        <v>2.9825426158160438E-4</v>
      </c>
      <c r="K432">
        <f t="shared" si="76"/>
        <v>0</v>
      </c>
      <c r="L432">
        <f t="shared" si="68"/>
        <v>0.64266861773971728</v>
      </c>
      <c r="M432">
        <f>IF(AND(MOD(C432,12)=1,D432&lt;='[1]Product parameters'!$C$2),I431*[1]model_point!$G$2,0)</f>
        <v>0</v>
      </c>
      <c r="N432">
        <f t="shared" si="69"/>
        <v>0</v>
      </c>
      <c r="O432">
        <f>[2]results_sample_product_cf!G431</f>
        <v>0</v>
      </c>
      <c r="P432">
        <f>[2]results_sample_product_cf!H431</f>
        <v>0</v>
      </c>
      <c r="Q432">
        <f t="shared" si="70"/>
        <v>0</v>
      </c>
      <c r="R432">
        <f t="shared" si="66"/>
        <v>0</v>
      </c>
    </row>
    <row r="433" spans="1:18" x14ac:dyDescent="0.3">
      <c r="A433">
        <f t="shared" si="71"/>
        <v>430</v>
      </c>
      <c r="B433">
        <f t="shared" si="72"/>
        <v>36</v>
      </c>
      <c r="C433">
        <f t="shared" si="73"/>
        <v>435</v>
      </c>
      <c r="D433">
        <f t="shared" si="67"/>
        <v>37</v>
      </c>
      <c r="E433">
        <f>[1]model_point!$C$2+D433-1</f>
        <v>41</v>
      </c>
      <c r="F433">
        <f>VLOOKUP(E433,'[1]202512 BE mortality'!$A:$C,3,0)</f>
        <v>2.5310729501951258E-3</v>
      </c>
      <c r="G433">
        <f>VLOOKUP(D433,'[1]202512 BE lapse'!$C:$D,2,0)</f>
        <v>4.6735398669213038E-3</v>
      </c>
      <c r="H433">
        <f>VLOOKUP($B433,'[1]202512 RFR'!$A:$B,2,0)</f>
        <v>0.02</v>
      </c>
      <c r="I433">
        <f t="shared" si="74"/>
        <v>1.4118074406192285</v>
      </c>
      <c r="J433">
        <f t="shared" si="75"/>
        <v>2.9819127987685032E-4</v>
      </c>
      <c r="K433">
        <f t="shared" si="76"/>
        <v>0</v>
      </c>
      <c r="L433">
        <f t="shared" si="68"/>
        <v>0.64160894839739946</v>
      </c>
      <c r="M433">
        <f>IF(AND(MOD(C433,12)=1,D433&lt;='[1]Product parameters'!$C$2),I432*[1]model_point!$G$2,0)</f>
        <v>0</v>
      </c>
      <c r="N433">
        <f t="shared" si="69"/>
        <v>0</v>
      </c>
      <c r="O433">
        <f>[2]results_sample_product_cf!G432</f>
        <v>0</v>
      </c>
      <c r="P433">
        <f>[2]results_sample_product_cf!H432</f>
        <v>0</v>
      </c>
      <c r="Q433">
        <f t="shared" si="70"/>
        <v>0</v>
      </c>
      <c r="R433">
        <f t="shared" si="66"/>
        <v>0</v>
      </c>
    </row>
    <row r="434" spans="1:18" x14ac:dyDescent="0.3">
      <c r="A434">
        <f t="shared" si="71"/>
        <v>431</v>
      </c>
      <c r="B434">
        <f t="shared" si="72"/>
        <v>36</v>
      </c>
      <c r="C434">
        <f t="shared" si="73"/>
        <v>436</v>
      </c>
      <c r="D434">
        <f t="shared" si="67"/>
        <v>37</v>
      </c>
      <c r="E434">
        <f>[1]model_point!$C$2+D434-1</f>
        <v>41</v>
      </c>
      <c r="F434">
        <f>VLOOKUP(E434,'[1]202512 BE mortality'!$A:$C,3,0)</f>
        <v>2.5310729501951258E-3</v>
      </c>
      <c r="G434">
        <f>VLOOKUP(D434,'[1]202512 BE lapse'!$C:$D,2,0)</f>
        <v>4.6735398669213038E-3</v>
      </c>
      <c r="H434">
        <f>VLOOKUP($B434,'[1]202512 RFR'!$A:$B,2,0)</f>
        <v>0.02</v>
      </c>
      <c r="I434">
        <f t="shared" si="74"/>
        <v>1.4115093123077567</v>
      </c>
      <c r="J434">
        <f t="shared" si="75"/>
        <v>2.9812831147180613E-4</v>
      </c>
      <c r="K434">
        <f t="shared" si="76"/>
        <v>0</v>
      </c>
      <c r="L434">
        <f t="shared" si="68"/>
        <v>0.6405510262994375</v>
      </c>
      <c r="M434">
        <f>IF(AND(MOD(C434,12)=1,D434&lt;='[1]Product parameters'!$C$2),I433*[1]model_point!$G$2,0)</f>
        <v>0</v>
      </c>
      <c r="N434">
        <f t="shared" si="69"/>
        <v>0</v>
      </c>
      <c r="O434">
        <f>[2]results_sample_product_cf!G433</f>
        <v>0</v>
      </c>
      <c r="P434">
        <f>[2]results_sample_product_cf!H433</f>
        <v>0</v>
      </c>
      <c r="Q434">
        <f t="shared" si="70"/>
        <v>0</v>
      </c>
      <c r="R434">
        <f t="shared" si="66"/>
        <v>0</v>
      </c>
    </row>
    <row r="435" spans="1:18" x14ac:dyDescent="0.3">
      <c r="A435">
        <f t="shared" si="71"/>
        <v>432</v>
      </c>
      <c r="B435">
        <f t="shared" si="72"/>
        <v>36</v>
      </c>
      <c r="C435">
        <f t="shared" si="73"/>
        <v>437</v>
      </c>
      <c r="D435">
        <f t="shared" si="67"/>
        <v>37</v>
      </c>
      <c r="E435">
        <f>[1]model_point!$C$2+D435-1</f>
        <v>41</v>
      </c>
      <c r="F435">
        <f>VLOOKUP(E435,'[1]202512 BE mortality'!$A:$C,3,0)</f>
        <v>2.5310729501951258E-3</v>
      </c>
      <c r="G435">
        <f>VLOOKUP(D435,'[1]202512 BE lapse'!$C:$D,2,0)</f>
        <v>4.6735398669213038E-3</v>
      </c>
      <c r="H435">
        <f>VLOOKUP($B435,'[1]202512 RFR'!$A:$B,2,0)</f>
        <v>0.02</v>
      </c>
      <c r="I435">
        <f t="shared" si="74"/>
        <v>1.4112112469513931</v>
      </c>
      <c r="J435">
        <f t="shared" si="75"/>
        <v>2.9806535636366332E-4</v>
      </c>
      <c r="K435">
        <f t="shared" si="76"/>
        <v>0</v>
      </c>
      <c r="L435">
        <f t="shared" si="68"/>
        <v>0.63949484856487349</v>
      </c>
      <c r="M435">
        <f>IF(AND(MOD(C435,12)=1,D435&lt;='[1]Product parameters'!$C$2),I434*[1]model_point!$G$2,0)</f>
        <v>0</v>
      </c>
      <c r="N435">
        <f t="shared" si="69"/>
        <v>0</v>
      </c>
      <c r="O435">
        <f>[2]results_sample_product_cf!G434</f>
        <v>0</v>
      </c>
      <c r="P435">
        <f>[2]results_sample_product_cf!H434</f>
        <v>0</v>
      </c>
      <c r="Q435">
        <f t="shared" si="70"/>
        <v>0</v>
      </c>
      <c r="R435">
        <f t="shared" si="66"/>
        <v>0</v>
      </c>
    </row>
    <row r="436" spans="1:18" x14ac:dyDescent="0.3">
      <c r="A436">
        <f t="shared" si="71"/>
        <v>433</v>
      </c>
      <c r="B436">
        <f t="shared" si="72"/>
        <v>37</v>
      </c>
      <c r="C436">
        <f t="shared" si="73"/>
        <v>438</v>
      </c>
      <c r="D436">
        <f t="shared" si="67"/>
        <v>37</v>
      </c>
      <c r="E436">
        <f>[1]model_point!$C$2+D436-1</f>
        <v>41</v>
      </c>
      <c r="F436">
        <f>VLOOKUP(E436,'[1]202512 BE mortality'!$A:$C,3,0)</f>
        <v>2.5310729501951258E-3</v>
      </c>
      <c r="G436">
        <f>VLOOKUP(D436,'[1]202512 BE lapse'!$C:$D,2,0)</f>
        <v>4.6735398669213038E-3</v>
      </c>
      <c r="H436">
        <f>VLOOKUP($B436,'[1]202512 RFR'!$A:$B,2,0)</f>
        <v>0.02</v>
      </c>
      <c r="I436">
        <f t="shared" si="74"/>
        <v>1.4109132445368435</v>
      </c>
      <c r="J436">
        <f t="shared" si="75"/>
        <v>2.9800241454961399E-4</v>
      </c>
      <c r="K436">
        <f t="shared" si="76"/>
        <v>0</v>
      </c>
      <c r="L436">
        <f t="shared" si="68"/>
        <v>0.63844041231749971</v>
      </c>
      <c r="M436">
        <f>IF(AND(MOD(C436,12)=1,D436&lt;='[1]Product parameters'!$C$2),I435*[1]model_point!$G$2,0)</f>
        <v>0</v>
      </c>
      <c r="N436">
        <f t="shared" si="69"/>
        <v>0</v>
      </c>
      <c r="O436">
        <f>[2]results_sample_product_cf!G435</f>
        <v>0</v>
      </c>
      <c r="P436">
        <f>[2]results_sample_product_cf!H435</f>
        <v>0</v>
      </c>
      <c r="Q436">
        <f t="shared" si="70"/>
        <v>0</v>
      </c>
      <c r="R436">
        <f t="shared" si="66"/>
        <v>0</v>
      </c>
    </row>
    <row r="437" spans="1:18" x14ac:dyDescent="0.3">
      <c r="A437">
        <f t="shared" si="71"/>
        <v>434</v>
      </c>
      <c r="B437">
        <f t="shared" si="72"/>
        <v>37</v>
      </c>
      <c r="C437">
        <f t="shared" si="73"/>
        <v>439</v>
      </c>
      <c r="D437">
        <f t="shared" si="67"/>
        <v>37</v>
      </c>
      <c r="E437">
        <f>[1]model_point!$C$2+D437-1</f>
        <v>41</v>
      </c>
      <c r="F437">
        <f>VLOOKUP(E437,'[1]202512 BE mortality'!$A:$C,3,0)</f>
        <v>2.5310729501951258E-3</v>
      </c>
      <c r="G437">
        <f>VLOOKUP(D437,'[1]202512 BE lapse'!$C:$D,2,0)</f>
        <v>4.6735398669213038E-3</v>
      </c>
      <c r="H437">
        <f>VLOOKUP($B437,'[1]202512 RFR'!$A:$B,2,0)</f>
        <v>0.02</v>
      </c>
      <c r="I437">
        <f t="shared" si="74"/>
        <v>1.4106153050508168</v>
      </c>
      <c r="J437">
        <f t="shared" si="75"/>
        <v>2.9793948602685081E-4</v>
      </c>
      <c r="K437">
        <f t="shared" si="76"/>
        <v>0</v>
      </c>
      <c r="L437">
        <f t="shared" si="68"/>
        <v>0.63738771468585087</v>
      </c>
      <c r="M437">
        <f>IF(AND(MOD(C437,12)=1,D437&lt;='[1]Product parameters'!$C$2),I436*[1]model_point!$G$2,0)</f>
        <v>0</v>
      </c>
      <c r="N437">
        <f t="shared" si="69"/>
        <v>0</v>
      </c>
      <c r="O437">
        <f>[2]results_sample_product_cf!G436</f>
        <v>0</v>
      </c>
      <c r="P437">
        <f>[2]results_sample_product_cf!H436</f>
        <v>0</v>
      </c>
      <c r="Q437">
        <f t="shared" si="70"/>
        <v>0</v>
      </c>
      <c r="R437">
        <f t="shared" si="66"/>
        <v>0</v>
      </c>
    </row>
    <row r="438" spans="1:18" x14ac:dyDescent="0.3">
      <c r="A438">
        <f t="shared" si="71"/>
        <v>435</v>
      </c>
      <c r="B438">
        <f t="shared" si="72"/>
        <v>37</v>
      </c>
      <c r="C438">
        <f t="shared" si="73"/>
        <v>440</v>
      </c>
      <c r="D438">
        <f t="shared" si="67"/>
        <v>37</v>
      </c>
      <c r="E438">
        <f>[1]model_point!$C$2+D438-1</f>
        <v>41</v>
      </c>
      <c r="F438">
        <f>VLOOKUP(E438,'[1]202512 BE mortality'!$A:$C,3,0)</f>
        <v>2.5310729501951258E-3</v>
      </c>
      <c r="G438">
        <f>VLOOKUP(D438,'[1]202512 BE lapse'!$C:$D,2,0)</f>
        <v>4.6735398669213038E-3</v>
      </c>
      <c r="H438">
        <f>VLOOKUP($B438,'[1]202512 RFR'!$A:$B,2,0)</f>
        <v>0.02</v>
      </c>
      <c r="I438">
        <f t="shared" si="74"/>
        <v>1.4103174284800242</v>
      </c>
      <c r="J438">
        <f t="shared" si="75"/>
        <v>2.9787657079256722E-4</v>
      </c>
      <c r="K438">
        <f t="shared" si="76"/>
        <v>0</v>
      </c>
      <c r="L438">
        <f t="shared" si="68"/>
        <v>0.63633675280319646</v>
      </c>
      <c r="M438">
        <f>IF(AND(MOD(C438,12)=1,D438&lt;='[1]Product parameters'!$C$2),I437*[1]model_point!$G$2,0)</f>
        <v>0</v>
      </c>
      <c r="N438">
        <f t="shared" si="69"/>
        <v>0</v>
      </c>
      <c r="O438">
        <f>[2]results_sample_product_cf!G437</f>
        <v>0</v>
      </c>
      <c r="P438">
        <f>[2]results_sample_product_cf!H437</f>
        <v>0</v>
      </c>
      <c r="Q438">
        <f t="shared" si="70"/>
        <v>0</v>
      </c>
      <c r="R438">
        <f t="shared" si="66"/>
        <v>0</v>
      </c>
    </row>
    <row r="439" spans="1:18" x14ac:dyDescent="0.3">
      <c r="A439">
        <f t="shared" si="71"/>
        <v>436</v>
      </c>
      <c r="B439">
        <f t="shared" si="72"/>
        <v>37</v>
      </c>
      <c r="C439">
        <f t="shared" si="73"/>
        <v>441</v>
      </c>
      <c r="D439">
        <f t="shared" si="67"/>
        <v>37</v>
      </c>
      <c r="E439">
        <f>[1]model_point!$C$2+D439-1</f>
        <v>41</v>
      </c>
      <c r="F439">
        <f>VLOOKUP(E439,'[1]202512 BE mortality'!$A:$C,3,0)</f>
        <v>2.5310729501951258E-3</v>
      </c>
      <c r="G439">
        <f>VLOOKUP(D439,'[1]202512 BE lapse'!$C:$D,2,0)</f>
        <v>4.6735398669213038E-3</v>
      </c>
      <c r="H439">
        <f>VLOOKUP($B439,'[1]202512 RFR'!$A:$B,2,0)</f>
        <v>0.02</v>
      </c>
      <c r="I439">
        <f t="shared" si="74"/>
        <v>1.4100196148111803</v>
      </c>
      <c r="J439">
        <f t="shared" si="75"/>
        <v>2.9781366884395696E-4</v>
      </c>
      <c r="K439">
        <f t="shared" si="76"/>
        <v>0</v>
      </c>
      <c r="L439">
        <f t="shared" si="68"/>
        <v>0.63528752380753273</v>
      </c>
      <c r="M439">
        <f>IF(AND(MOD(C439,12)=1,D439&lt;='[1]Product parameters'!$C$2),I438*[1]model_point!$G$2,0)</f>
        <v>0</v>
      </c>
      <c r="N439">
        <f t="shared" si="69"/>
        <v>0</v>
      </c>
      <c r="O439">
        <f>[2]results_sample_product_cf!G438</f>
        <v>0</v>
      </c>
      <c r="P439">
        <f>[2]results_sample_product_cf!H438</f>
        <v>0</v>
      </c>
      <c r="Q439">
        <f t="shared" si="70"/>
        <v>0</v>
      </c>
      <c r="R439">
        <f t="shared" si="66"/>
        <v>0</v>
      </c>
    </row>
    <row r="440" spans="1:18" x14ac:dyDescent="0.3">
      <c r="A440">
        <f t="shared" si="71"/>
        <v>437</v>
      </c>
      <c r="B440">
        <f t="shared" si="72"/>
        <v>37</v>
      </c>
      <c r="C440">
        <f t="shared" si="73"/>
        <v>442</v>
      </c>
      <c r="D440">
        <f t="shared" si="67"/>
        <v>37</v>
      </c>
      <c r="E440">
        <f>[1]model_point!$C$2+D440-1</f>
        <v>41</v>
      </c>
      <c r="F440">
        <f>VLOOKUP(E440,'[1]202512 BE mortality'!$A:$C,3,0)</f>
        <v>2.5310729501951258E-3</v>
      </c>
      <c r="G440">
        <f>VLOOKUP(D440,'[1]202512 BE lapse'!$C:$D,2,0)</f>
        <v>4.6735398669213038E-3</v>
      </c>
      <c r="H440">
        <f>VLOOKUP($B440,'[1]202512 RFR'!$A:$B,2,0)</f>
        <v>0.02</v>
      </c>
      <c r="I440">
        <f t="shared" si="74"/>
        <v>1.4097218640310021</v>
      </c>
      <c r="J440">
        <f t="shared" si="75"/>
        <v>2.9775078017821462E-4</v>
      </c>
      <c r="K440">
        <f t="shared" si="76"/>
        <v>0</v>
      </c>
      <c r="L440">
        <f t="shared" si="68"/>
        <v>0.63424002484157493</v>
      </c>
      <c r="M440">
        <f>IF(AND(MOD(C440,12)=1,D440&lt;='[1]Product parameters'!$C$2),I439*[1]model_point!$G$2,0)</f>
        <v>0</v>
      </c>
      <c r="N440">
        <f t="shared" si="69"/>
        <v>0</v>
      </c>
      <c r="O440">
        <f>[2]results_sample_product_cf!G439</f>
        <v>0</v>
      </c>
      <c r="P440">
        <f>[2]results_sample_product_cf!H439</f>
        <v>0</v>
      </c>
      <c r="Q440">
        <f t="shared" si="70"/>
        <v>0</v>
      </c>
      <c r="R440">
        <f t="shared" si="66"/>
        <v>0</v>
      </c>
    </row>
    <row r="441" spans="1:18" x14ac:dyDescent="0.3">
      <c r="A441">
        <f t="shared" si="71"/>
        <v>438</v>
      </c>
      <c r="B441">
        <f t="shared" si="72"/>
        <v>37</v>
      </c>
      <c r="C441">
        <f t="shared" si="73"/>
        <v>443</v>
      </c>
      <c r="D441">
        <f t="shared" si="67"/>
        <v>37</v>
      </c>
      <c r="E441">
        <f>[1]model_point!$C$2+D441-1</f>
        <v>41</v>
      </c>
      <c r="F441">
        <f>VLOOKUP(E441,'[1]202512 BE mortality'!$A:$C,3,0)</f>
        <v>2.5310729501951258E-3</v>
      </c>
      <c r="G441">
        <f>VLOOKUP(D441,'[1]202512 BE lapse'!$C:$D,2,0)</f>
        <v>4.6735398669213038E-3</v>
      </c>
      <c r="H441">
        <f>VLOOKUP($B441,'[1]202512 RFR'!$A:$B,2,0)</f>
        <v>0.02</v>
      </c>
      <c r="I441">
        <f t="shared" si="74"/>
        <v>1.4094241761262096</v>
      </c>
      <c r="J441">
        <f t="shared" si="75"/>
        <v>2.9768790479253526E-4</v>
      </c>
      <c r="K441">
        <f t="shared" si="76"/>
        <v>0</v>
      </c>
      <c r="L441">
        <f t="shared" si="68"/>
        <v>0.63319425305274968</v>
      </c>
      <c r="M441">
        <f>IF(AND(MOD(C441,12)=1,D441&lt;='[1]Product parameters'!$C$2),I440*[1]model_point!$G$2,0)</f>
        <v>0</v>
      </c>
      <c r="N441">
        <f t="shared" si="69"/>
        <v>0</v>
      </c>
      <c r="O441">
        <f>[2]results_sample_product_cf!G440</f>
        <v>0</v>
      </c>
      <c r="P441">
        <f>[2]results_sample_product_cf!H440</f>
        <v>0</v>
      </c>
      <c r="Q441">
        <f t="shared" si="70"/>
        <v>0</v>
      </c>
      <c r="R441">
        <f t="shared" si="66"/>
        <v>0</v>
      </c>
    </row>
    <row r="442" spans="1:18" x14ac:dyDescent="0.3">
      <c r="A442">
        <f t="shared" si="71"/>
        <v>439</v>
      </c>
      <c r="B442">
        <f t="shared" si="72"/>
        <v>37</v>
      </c>
      <c r="C442">
        <f t="shared" si="73"/>
        <v>444</v>
      </c>
      <c r="D442">
        <f t="shared" si="67"/>
        <v>37</v>
      </c>
      <c r="E442">
        <f>[1]model_point!$C$2+D442-1</f>
        <v>41</v>
      </c>
      <c r="F442">
        <f>VLOOKUP(E442,'[1]202512 BE mortality'!$A:$C,3,0)</f>
        <v>2.5310729501951258E-3</v>
      </c>
      <c r="G442">
        <f>VLOOKUP(D442,'[1]202512 BE lapse'!$C:$D,2,0)</f>
        <v>4.6735398669213038E-3</v>
      </c>
      <c r="H442">
        <f>VLOOKUP($B442,'[1]202512 RFR'!$A:$B,2,0)</f>
        <v>0.02</v>
      </c>
      <c r="I442">
        <f t="shared" si="74"/>
        <v>1.4025409419694994</v>
      </c>
      <c r="J442">
        <f t="shared" si="75"/>
        <v>2.9762504268411453E-4</v>
      </c>
      <c r="K442">
        <f t="shared" si="76"/>
        <v>6.5856091140261757E-3</v>
      </c>
      <c r="L442">
        <f t="shared" si="68"/>
        <v>0.63215020559318691</v>
      </c>
      <c r="M442">
        <f>IF(AND(MOD(C442,12)=1,D442&lt;='[1]Product parameters'!$C$2),I441*[1]model_point!$G$2,0)</f>
        <v>0</v>
      </c>
      <c r="N442">
        <f t="shared" si="69"/>
        <v>0</v>
      </c>
      <c r="O442">
        <f>[2]results_sample_product_cf!G441</f>
        <v>0</v>
      </c>
      <c r="P442">
        <f>[2]results_sample_product_cf!H441</f>
        <v>0</v>
      </c>
      <c r="Q442">
        <f t="shared" si="70"/>
        <v>0</v>
      </c>
      <c r="R442">
        <f t="shared" si="66"/>
        <v>0</v>
      </c>
    </row>
    <row r="443" spans="1:18" x14ac:dyDescent="0.3">
      <c r="A443">
        <f t="shared" si="71"/>
        <v>440</v>
      </c>
      <c r="B443">
        <f t="shared" si="72"/>
        <v>37</v>
      </c>
      <c r="C443">
        <f t="shared" si="73"/>
        <v>445</v>
      </c>
      <c r="D443">
        <f t="shared" si="67"/>
        <v>38</v>
      </c>
      <c r="E443">
        <f>[1]model_point!$C$2+D443-1</f>
        <v>42</v>
      </c>
      <c r="F443">
        <f>VLOOKUP(E443,'[1]202512 BE mortality'!$A:$C,3,0)</f>
        <v>9.8189724938769415E-3</v>
      </c>
      <c r="G443">
        <f>VLOOKUP(D443,'[1]202512 BE lapse'!$C:$D,2,0)</f>
        <v>7.8674102087254501E-3</v>
      </c>
      <c r="H443">
        <f>VLOOKUP($B443,'[1]202512 RFR'!$A:$B,2,0)</f>
        <v>0.02</v>
      </c>
      <c r="I443">
        <f t="shared" si="74"/>
        <v>1.4013881186927781</v>
      </c>
      <c r="J443">
        <f t="shared" si="75"/>
        <v>1.1528232767213484E-3</v>
      </c>
      <c r="K443">
        <f t="shared" si="76"/>
        <v>0</v>
      </c>
      <c r="L443">
        <f t="shared" si="68"/>
        <v>0.63110787961971249</v>
      </c>
      <c r="M443">
        <f>IF(AND(MOD(C443,12)=1,D443&lt;='[1]Product parameters'!$C$2),I442*[1]model_point!$G$2,0)</f>
        <v>0</v>
      </c>
      <c r="N443">
        <f t="shared" si="69"/>
        <v>0</v>
      </c>
      <c r="O443">
        <f>[2]results_sample_product_cf!G442</f>
        <v>0</v>
      </c>
      <c r="P443">
        <f>[2]results_sample_product_cf!H442</f>
        <v>0</v>
      </c>
      <c r="Q443">
        <f t="shared" si="70"/>
        <v>0</v>
      </c>
      <c r="R443">
        <f t="shared" si="66"/>
        <v>0</v>
      </c>
    </row>
    <row r="444" spans="1:18" x14ac:dyDescent="0.3">
      <c r="A444">
        <f t="shared" si="71"/>
        <v>441</v>
      </c>
      <c r="B444">
        <f t="shared" si="72"/>
        <v>37</v>
      </c>
      <c r="C444">
        <f t="shared" si="73"/>
        <v>446</v>
      </c>
      <c r="D444">
        <f t="shared" si="67"/>
        <v>38</v>
      </c>
      <c r="E444">
        <f>[1]model_point!$C$2+D444-1</f>
        <v>42</v>
      </c>
      <c r="F444">
        <f>VLOOKUP(E444,'[1]202512 BE mortality'!$A:$C,3,0)</f>
        <v>9.8189724938769415E-3</v>
      </c>
      <c r="G444">
        <f>VLOOKUP(D444,'[1]202512 BE lapse'!$C:$D,2,0)</f>
        <v>7.8674102087254501E-3</v>
      </c>
      <c r="H444">
        <f>VLOOKUP($B444,'[1]202512 RFR'!$A:$B,2,0)</f>
        <v>0.02</v>
      </c>
      <c r="I444">
        <f t="shared" si="74"/>
        <v>1.4002362429830528</v>
      </c>
      <c r="J444">
        <f t="shared" si="75"/>
        <v>1.1518757097252047E-3</v>
      </c>
      <c r="K444">
        <f t="shared" si="76"/>
        <v>0</v>
      </c>
      <c r="L444">
        <f t="shared" si="68"/>
        <v>0.63006727229384007</v>
      </c>
      <c r="M444">
        <f>IF(AND(MOD(C444,12)=1,D444&lt;='[1]Product parameters'!$C$2),I443*[1]model_point!$G$2,0)</f>
        <v>0</v>
      </c>
      <c r="N444">
        <f t="shared" si="69"/>
        <v>0</v>
      </c>
      <c r="O444">
        <f>[2]results_sample_product_cf!G443</f>
        <v>0</v>
      </c>
      <c r="P444">
        <f>[2]results_sample_product_cf!H443</f>
        <v>0</v>
      </c>
      <c r="Q444">
        <f t="shared" si="70"/>
        <v>0</v>
      </c>
      <c r="R444">
        <f t="shared" si="66"/>
        <v>0</v>
      </c>
    </row>
    <row r="445" spans="1:18" x14ac:dyDescent="0.3">
      <c r="A445">
        <f t="shared" si="71"/>
        <v>442</v>
      </c>
      <c r="B445">
        <f t="shared" si="72"/>
        <v>37</v>
      </c>
      <c r="C445">
        <f t="shared" si="73"/>
        <v>447</v>
      </c>
      <c r="D445">
        <f t="shared" si="67"/>
        <v>38</v>
      </c>
      <c r="E445">
        <f>[1]model_point!$C$2+D445-1</f>
        <v>42</v>
      </c>
      <c r="F445">
        <f>VLOOKUP(E445,'[1]202512 BE mortality'!$A:$C,3,0)</f>
        <v>9.8189724938769415E-3</v>
      </c>
      <c r="G445">
        <f>VLOOKUP(D445,'[1]202512 BE lapse'!$C:$D,2,0)</f>
        <v>7.8674102087254501E-3</v>
      </c>
      <c r="H445">
        <f>VLOOKUP($B445,'[1]202512 RFR'!$A:$B,2,0)</f>
        <v>0.02</v>
      </c>
      <c r="I445">
        <f t="shared" si="74"/>
        <v>1.3990853140614679</v>
      </c>
      <c r="J445">
        <f t="shared" si="75"/>
        <v>1.1509289215849623E-3</v>
      </c>
      <c r="K445">
        <f t="shared" si="76"/>
        <v>0</v>
      </c>
      <c r="L445">
        <f t="shared" si="68"/>
        <v>0.62902838078176371</v>
      </c>
      <c r="M445">
        <f>IF(AND(MOD(C445,12)=1,D445&lt;='[1]Product parameters'!$C$2),I444*[1]model_point!$G$2,0)</f>
        <v>0</v>
      </c>
      <c r="N445">
        <f t="shared" si="69"/>
        <v>0</v>
      </c>
      <c r="O445">
        <f>[2]results_sample_product_cf!G444</f>
        <v>0</v>
      </c>
      <c r="P445">
        <f>[2]results_sample_product_cf!H444</f>
        <v>0</v>
      </c>
      <c r="Q445">
        <f t="shared" si="70"/>
        <v>0</v>
      </c>
      <c r="R445">
        <f t="shared" si="66"/>
        <v>0</v>
      </c>
    </row>
    <row r="446" spans="1:18" x14ac:dyDescent="0.3">
      <c r="A446">
        <f t="shared" si="71"/>
        <v>443</v>
      </c>
      <c r="B446">
        <f t="shared" si="72"/>
        <v>37</v>
      </c>
      <c r="C446">
        <f t="shared" si="73"/>
        <v>448</v>
      </c>
      <c r="D446">
        <f t="shared" si="67"/>
        <v>38</v>
      </c>
      <c r="E446">
        <f>[1]model_point!$C$2+D446-1</f>
        <v>42</v>
      </c>
      <c r="F446">
        <f>VLOOKUP(E446,'[1]202512 BE mortality'!$A:$C,3,0)</f>
        <v>9.8189724938769415E-3</v>
      </c>
      <c r="G446">
        <f>VLOOKUP(D446,'[1]202512 BE lapse'!$C:$D,2,0)</f>
        <v>7.8674102087254501E-3</v>
      </c>
      <c r="H446">
        <f>VLOOKUP($B446,'[1]202512 RFR'!$A:$B,2,0)</f>
        <v>0.02</v>
      </c>
      <c r="I446">
        <f t="shared" si="74"/>
        <v>1.3979353311498075</v>
      </c>
      <c r="J446">
        <f t="shared" si="75"/>
        <v>1.1499829116604378E-3</v>
      </c>
      <c r="K446">
        <f t="shared" si="76"/>
        <v>0</v>
      </c>
      <c r="L446">
        <f t="shared" si="68"/>
        <v>0.62799120225435001</v>
      </c>
      <c r="M446">
        <f>IF(AND(MOD(C446,12)=1,D446&lt;='[1]Product parameters'!$C$2),I445*[1]model_point!$G$2,0)</f>
        <v>0</v>
      </c>
      <c r="N446">
        <f t="shared" si="69"/>
        <v>0</v>
      </c>
      <c r="O446">
        <f>[2]results_sample_product_cf!G445</f>
        <v>0</v>
      </c>
      <c r="P446">
        <f>[2]results_sample_product_cf!H445</f>
        <v>0</v>
      </c>
      <c r="Q446">
        <f t="shared" si="70"/>
        <v>0</v>
      </c>
      <c r="R446">
        <f t="shared" si="66"/>
        <v>0</v>
      </c>
    </row>
    <row r="447" spans="1:18" x14ac:dyDescent="0.3">
      <c r="A447">
        <f t="shared" si="71"/>
        <v>444</v>
      </c>
      <c r="B447">
        <f t="shared" si="72"/>
        <v>37</v>
      </c>
      <c r="C447">
        <f t="shared" si="73"/>
        <v>449</v>
      </c>
      <c r="D447">
        <f t="shared" si="67"/>
        <v>38</v>
      </c>
      <c r="E447">
        <f>[1]model_point!$C$2+D447-1</f>
        <v>42</v>
      </c>
      <c r="F447">
        <f>VLOOKUP(E447,'[1]202512 BE mortality'!$A:$C,3,0)</f>
        <v>9.8189724938769415E-3</v>
      </c>
      <c r="G447">
        <f>VLOOKUP(D447,'[1]202512 BE lapse'!$C:$D,2,0)</f>
        <v>7.8674102087254501E-3</v>
      </c>
      <c r="H447">
        <f>VLOOKUP($B447,'[1]202512 RFR'!$A:$B,2,0)</f>
        <v>0.02</v>
      </c>
      <c r="I447">
        <f t="shared" si="74"/>
        <v>1.3967862934704955</v>
      </c>
      <c r="J447">
        <f t="shared" si="75"/>
        <v>1.1490376793119746E-3</v>
      </c>
      <c r="K447">
        <f t="shared" si="76"/>
        <v>0</v>
      </c>
      <c r="L447">
        <f t="shared" si="68"/>
        <v>0.62695573388713033</v>
      </c>
      <c r="M447">
        <f>IF(AND(MOD(C447,12)=1,D447&lt;='[1]Product parameters'!$C$2),I446*[1]model_point!$G$2,0)</f>
        <v>0</v>
      </c>
      <c r="N447">
        <f t="shared" si="69"/>
        <v>0</v>
      </c>
      <c r="O447">
        <f>[2]results_sample_product_cf!G446</f>
        <v>0</v>
      </c>
      <c r="P447">
        <f>[2]results_sample_product_cf!H446</f>
        <v>0</v>
      </c>
      <c r="Q447">
        <f t="shared" si="70"/>
        <v>0</v>
      </c>
      <c r="R447">
        <f t="shared" si="66"/>
        <v>0</v>
      </c>
    </row>
    <row r="448" spans="1:18" x14ac:dyDescent="0.3">
      <c r="A448">
        <f t="shared" si="71"/>
        <v>445</v>
      </c>
      <c r="B448">
        <f t="shared" si="72"/>
        <v>38</v>
      </c>
      <c r="C448">
        <f t="shared" si="73"/>
        <v>450</v>
      </c>
      <c r="D448">
        <f t="shared" si="67"/>
        <v>38</v>
      </c>
      <c r="E448">
        <f>[1]model_point!$C$2+D448-1</f>
        <v>42</v>
      </c>
      <c r="F448">
        <f>VLOOKUP(E448,'[1]202512 BE mortality'!$A:$C,3,0)</f>
        <v>9.8189724938769415E-3</v>
      </c>
      <c r="G448">
        <f>VLOOKUP(D448,'[1]202512 BE lapse'!$C:$D,2,0)</f>
        <v>7.8674102087254501E-3</v>
      </c>
      <c r="H448">
        <f>VLOOKUP($B448,'[1]202512 RFR'!$A:$B,2,0)</f>
        <v>0.02</v>
      </c>
      <c r="I448">
        <f t="shared" si="74"/>
        <v>1.395638200246595</v>
      </c>
      <c r="J448">
        <f t="shared" si="75"/>
        <v>1.1480932239004407E-3</v>
      </c>
      <c r="K448">
        <f t="shared" si="76"/>
        <v>0</v>
      </c>
      <c r="L448">
        <f t="shared" si="68"/>
        <v>0.62592197286029327</v>
      </c>
      <c r="M448">
        <f>IF(AND(MOD(C448,12)=1,D448&lt;='[1]Product parameters'!$C$2),I447*[1]model_point!$G$2,0)</f>
        <v>0</v>
      </c>
      <c r="N448">
        <f t="shared" si="69"/>
        <v>0</v>
      </c>
      <c r="O448">
        <f>[2]results_sample_product_cf!G447</f>
        <v>0</v>
      </c>
      <c r="P448">
        <f>[2]results_sample_product_cf!H447</f>
        <v>0</v>
      </c>
      <c r="Q448">
        <f t="shared" si="70"/>
        <v>0</v>
      </c>
      <c r="R448">
        <f t="shared" si="66"/>
        <v>0</v>
      </c>
    </row>
    <row r="449" spans="1:18" x14ac:dyDescent="0.3">
      <c r="A449">
        <f t="shared" si="71"/>
        <v>446</v>
      </c>
      <c r="B449">
        <f t="shared" si="72"/>
        <v>38</v>
      </c>
      <c r="C449">
        <f t="shared" si="73"/>
        <v>451</v>
      </c>
      <c r="D449">
        <f t="shared" si="67"/>
        <v>38</v>
      </c>
      <c r="E449">
        <f>[1]model_point!$C$2+D449-1</f>
        <v>42</v>
      </c>
      <c r="F449">
        <f>VLOOKUP(E449,'[1]202512 BE mortality'!$A:$C,3,0)</f>
        <v>9.8189724938769415E-3</v>
      </c>
      <c r="G449">
        <f>VLOOKUP(D449,'[1]202512 BE lapse'!$C:$D,2,0)</f>
        <v>7.8674102087254501E-3</v>
      </c>
      <c r="H449">
        <f>VLOOKUP($B449,'[1]202512 RFR'!$A:$B,2,0)</f>
        <v>0.02</v>
      </c>
      <c r="I449">
        <f t="shared" si="74"/>
        <v>1.3944910507018078</v>
      </c>
      <c r="J449">
        <f t="shared" si="75"/>
        <v>1.1471495447872308E-3</v>
      </c>
      <c r="K449">
        <f t="shared" si="76"/>
        <v>0</v>
      </c>
      <c r="L449">
        <f t="shared" si="68"/>
        <v>0.62488991635867674</v>
      </c>
      <c r="M449">
        <f>IF(AND(MOD(C449,12)=1,D449&lt;='[1]Product parameters'!$C$2),I448*[1]model_point!$G$2,0)</f>
        <v>0</v>
      </c>
      <c r="N449">
        <f t="shared" si="69"/>
        <v>0</v>
      </c>
      <c r="O449">
        <f>[2]results_sample_product_cf!G448</f>
        <v>0</v>
      </c>
      <c r="P449">
        <f>[2]results_sample_product_cf!H448</f>
        <v>0</v>
      </c>
      <c r="Q449">
        <f t="shared" si="70"/>
        <v>0</v>
      </c>
      <c r="R449">
        <f t="shared" si="66"/>
        <v>0</v>
      </c>
    </row>
    <row r="450" spans="1:18" x14ac:dyDescent="0.3">
      <c r="A450">
        <f t="shared" si="71"/>
        <v>447</v>
      </c>
      <c r="B450">
        <f t="shared" si="72"/>
        <v>38</v>
      </c>
      <c r="C450">
        <f t="shared" si="73"/>
        <v>452</v>
      </c>
      <c r="D450">
        <f t="shared" si="67"/>
        <v>38</v>
      </c>
      <c r="E450">
        <f>[1]model_point!$C$2+D450-1</f>
        <v>42</v>
      </c>
      <c r="F450">
        <f>VLOOKUP(E450,'[1]202512 BE mortality'!$A:$C,3,0)</f>
        <v>9.8189724938769415E-3</v>
      </c>
      <c r="G450">
        <f>VLOOKUP(D450,'[1]202512 BE lapse'!$C:$D,2,0)</f>
        <v>7.8674102087254501E-3</v>
      </c>
      <c r="H450">
        <f>VLOOKUP($B450,'[1]202512 RFR'!$A:$B,2,0)</f>
        <v>0.02</v>
      </c>
      <c r="I450">
        <f t="shared" si="74"/>
        <v>1.3933448440604734</v>
      </c>
      <c r="J450">
        <f t="shared" si="75"/>
        <v>1.1462066413342633E-3</v>
      </c>
      <c r="K450">
        <f t="shared" si="76"/>
        <v>0</v>
      </c>
      <c r="L450">
        <f t="shared" si="68"/>
        <v>0.6238595615717607</v>
      </c>
      <c r="M450">
        <f>IF(AND(MOD(C450,12)=1,D450&lt;='[1]Product parameters'!$C$2),I449*[1]model_point!$G$2,0)</f>
        <v>0</v>
      </c>
      <c r="N450">
        <f t="shared" si="69"/>
        <v>0</v>
      </c>
      <c r="O450">
        <f>[2]results_sample_product_cf!G449</f>
        <v>0</v>
      </c>
      <c r="P450">
        <f>[2]results_sample_product_cf!H449</f>
        <v>0</v>
      </c>
      <c r="Q450">
        <f t="shared" si="70"/>
        <v>0</v>
      </c>
      <c r="R450">
        <f t="shared" si="66"/>
        <v>0</v>
      </c>
    </row>
    <row r="451" spans="1:18" x14ac:dyDescent="0.3">
      <c r="A451">
        <f t="shared" si="71"/>
        <v>448</v>
      </c>
      <c r="B451">
        <f t="shared" si="72"/>
        <v>38</v>
      </c>
      <c r="C451">
        <f t="shared" si="73"/>
        <v>453</v>
      </c>
      <c r="D451">
        <f t="shared" si="67"/>
        <v>38</v>
      </c>
      <c r="E451">
        <f>[1]model_point!$C$2+D451-1</f>
        <v>42</v>
      </c>
      <c r="F451">
        <f>VLOOKUP(E451,'[1]202512 BE mortality'!$A:$C,3,0)</f>
        <v>9.8189724938769415E-3</v>
      </c>
      <c r="G451">
        <f>VLOOKUP(D451,'[1]202512 BE lapse'!$C:$D,2,0)</f>
        <v>7.8674102087254501E-3</v>
      </c>
      <c r="H451">
        <f>VLOOKUP($B451,'[1]202512 RFR'!$A:$B,2,0)</f>
        <v>0.02</v>
      </c>
      <c r="I451">
        <f t="shared" si="74"/>
        <v>1.3921995795475695</v>
      </c>
      <c r="J451">
        <f t="shared" si="75"/>
        <v>1.1452645129039823E-3</v>
      </c>
      <c r="K451">
        <f t="shared" si="76"/>
        <v>0</v>
      </c>
      <c r="L451">
        <f t="shared" si="68"/>
        <v>0.62283090569365906</v>
      </c>
      <c r="M451">
        <f>IF(AND(MOD(C451,12)=1,D451&lt;='[1]Product parameters'!$C$2),I450*[1]model_point!$G$2,0)</f>
        <v>0</v>
      </c>
      <c r="N451">
        <f t="shared" si="69"/>
        <v>0</v>
      </c>
      <c r="O451">
        <f>[2]results_sample_product_cf!G450</f>
        <v>0</v>
      </c>
      <c r="P451">
        <f>[2]results_sample_product_cf!H450</f>
        <v>0</v>
      </c>
      <c r="Q451">
        <f t="shared" si="70"/>
        <v>0</v>
      </c>
      <c r="R451">
        <f t="shared" ref="R451:R514" si="77">ROUND(N451-P451,6)</f>
        <v>0</v>
      </c>
    </row>
    <row r="452" spans="1:18" x14ac:dyDescent="0.3">
      <c r="A452">
        <f t="shared" si="71"/>
        <v>449</v>
      </c>
      <c r="B452">
        <f t="shared" si="72"/>
        <v>38</v>
      </c>
      <c r="C452">
        <f t="shared" si="73"/>
        <v>454</v>
      </c>
      <c r="D452">
        <f t="shared" ref="D452:D515" si="78">TRUNC((C452-1)/12,0)+1</f>
        <v>38</v>
      </c>
      <c r="E452">
        <f>[1]model_point!$C$2+D452-1</f>
        <v>42</v>
      </c>
      <c r="F452">
        <f>VLOOKUP(E452,'[1]202512 BE mortality'!$A:$C,3,0)</f>
        <v>9.8189724938769415E-3</v>
      </c>
      <c r="G452">
        <f>VLOOKUP(D452,'[1]202512 BE lapse'!$C:$D,2,0)</f>
        <v>7.8674102087254501E-3</v>
      </c>
      <c r="H452">
        <f>VLOOKUP($B452,'[1]202512 RFR'!$A:$B,2,0)</f>
        <v>0.02</v>
      </c>
      <c r="I452">
        <f t="shared" si="74"/>
        <v>1.3910552563887102</v>
      </c>
      <c r="J452">
        <f t="shared" si="75"/>
        <v>1.1443231588593547E-3</v>
      </c>
      <c r="K452">
        <f t="shared" si="76"/>
        <v>0</v>
      </c>
      <c r="L452">
        <f t="shared" ref="L452:L515" si="79">L451/(1+H452)^(1/12)</f>
        <v>0.62180394592311228</v>
      </c>
      <c r="M452">
        <f>IF(AND(MOD(C452,12)=1,D452&lt;='[1]Product parameters'!$C$2),I451*[1]model_point!$G$2,0)</f>
        <v>0</v>
      </c>
      <c r="N452">
        <f t="shared" ref="N452:N515" si="80">SUMPRODUCT(L452:L1651,M453:M1652)/L452</f>
        <v>0</v>
      </c>
      <c r="O452">
        <f>[2]results_sample_product_cf!G451</f>
        <v>0</v>
      </c>
      <c r="P452">
        <f>[2]results_sample_product_cf!H451</f>
        <v>0</v>
      </c>
      <c r="Q452">
        <f t="shared" ref="Q452:Q515" si="81">ROUND(M452-O452,6)</f>
        <v>0</v>
      </c>
      <c r="R452">
        <f t="shared" si="77"/>
        <v>0</v>
      </c>
    </row>
    <row r="453" spans="1:18" x14ac:dyDescent="0.3">
      <c r="A453">
        <f t="shared" ref="A453:A516" si="82">A452+1</f>
        <v>450</v>
      </c>
      <c r="B453">
        <f t="shared" ref="B453:B516" si="83">INT((A453-1)/12)+1</f>
        <v>38</v>
      </c>
      <c r="C453">
        <f t="shared" ref="C453:C516" si="84">C452+1</f>
        <v>455</v>
      </c>
      <c r="D453">
        <f t="shared" si="78"/>
        <v>38</v>
      </c>
      <c r="E453">
        <f>[1]model_point!$C$2+D453-1</f>
        <v>42</v>
      </c>
      <c r="F453">
        <f>VLOOKUP(E453,'[1]202512 BE mortality'!$A:$C,3,0)</f>
        <v>9.8189724938769415E-3</v>
      </c>
      <c r="G453">
        <f>VLOOKUP(D453,'[1]202512 BE lapse'!$C:$D,2,0)</f>
        <v>7.8674102087254501E-3</v>
      </c>
      <c r="H453">
        <f>VLOOKUP($B453,'[1]202512 RFR'!$A:$B,2,0)</f>
        <v>0.02</v>
      </c>
      <c r="I453">
        <f t="shared" ref="I453:I516" si="85">I452-J453-K453</f>
        <v>1.3899118738101464</v>
      </c>
      <c r="J453">
        <f t="shared" ref="J453:J516" si="86">I452*(1-(1-F453)^(1/12))</f>
        <v>1.143382578563872E-3</v>
      </c>
      <c r="K453">
        <f t="shared" ref="K453:K516" si="87">(I452-J453)*IF(MOD(C453,12)=0,G453,0)</f>
        <v>0</v>
      </c>
      <c r="L453">
        <f t="shared" si="79"/>
        <v>0.62077867946347964</v>
      </c>
      <c r="M453">
        <f>IF(AND(MOD(C453,12)=1,D453&lt;='[1]Product parameters'!$C$2),I452*[1]model_point!$G$2,0)</f>
        <v>0</v>
      </c>
      <c r="N453">
        <f t="shared" si="80"/>
        <v>0</v>
      </c>
      <c r="O453">
        <f>[2]results_sample_product_cf!G452</f>
        <v>0</v>
      </c>
      <c r="P453">
        <f>[2]results_sample_product_cf!H452</f>
        <v>0</v>
      </c>
      <c r="Q453">
        <f t="shared" si="81"/>
        <v>0</v>
      </c>
      <c r="R453">
        <f t="shared" si="77"/>
        <v>0</v>
      </c>
    </row>
    <row r="454" spans="1:18" x14ac:dyDescent="0.3">
      <c r="A454">
        <f t="shared" si="82"/>
        <v>451</v>
      </c>
      <c r="B454">
        <f t="shared" si="83"/>
        <v>38</v>
      </c>
      <c r="C454">
        <f t="shared" si="84"/>
        <v>456</v>
      </c>
      <c r="D454">
        <f t="shared" si="78"/>
        <v>38</v>
      </c>
      <c r="E454">
        <f>[1]model_point!$C$2+D454-1</f>
        <v>42</v>
      </c>
      <c r="F454">
        <f>VLOOKUP(E454,'[1]202512 BE mortality'!$A:$C,3,0)</f>
        <v>9.8189724938769415E-3</v>
      </c>
      <c r="G454">
        <f>VLOOKUP(D454,'[1]202512 BE lapse'!$C:$D,2,0)</f>
        <v>7.8674102087254501E-3</v>
      </c>
      <c r="H454">
        <f>VLOOKUP($B454,'[1]202512 RFR'!$A:$B,2,0)</f>
        <v>0.02</v>
      </c>
      <c r="I454">
        <f t="shared" si="85"/>
        <v>1.3778434122394445</v>
      </c>
      <c r="J454">
        <f t="shared" si="86"/>
        <v>1.1424427713815483E-3</v>
      </c>
      <c r="K454">
        <f t="shared" si="87"/>
        <v>1.0926018799320213E-2</v>
      </c>
      <c r="L454">
        <f t="shared" si="79"/>
        <v>0.61975510352273189</v>
      </c>
      <c r="M454">
        <f>IF(AND(MOD(C454,12)=1,D454&lt;='[1]Product parameters'!$C$2),I453*[1]model_point!$G$2,0)</f>
        <v>0</v>
      </c>
      <c r="N454">
        <f t="shared" si="80"/>
        <v>0</v>
      </c>
      <c r="O454">
        <f>[2]results_sample_product_cf!G453</f>
        <v>0</v>
      </c>
      <c r="P454">
        <f>[2]results_sample_product_cf!H453</f>
        <v>0</v>
      </c>
      <c r="Q454">
        <f t="shared" si="81"/>
        <v>0</v>
      </c>
      <c r="R454">
        <f t="shared" si="77"/>
        <v>0</v>
      </c>
    </row>
    <row r="455" spans="1:18" x14ac:dyDescent="0.3">
      <c r="A455">
        <f t="shared" si="82"/>
        <v>452</v>
      </c>
      <c r="B455">
        <f t="shared" si="83"/>
        <v>38</v>
      </c>
      <c r="C455">
        <f t="shared" si="84"/>
        <v>457</v>
      </c>
      <c r="D455">
        <f t="shared" si="78"/>
        <v>39</v>
      </c>
      <c r="E455">
        <f>[1]model_point!$C$2+D455-1</f>
        <v>43</v>
      </c>
      <c r="F455">
        <f>VLOOKUP(E455,'[1]202512 BE mortality'!$A:$C,3,0)</f>
        <v>3.4886073334865154E-4</v>
      </c>
      <c r="G455">
        <f>VLOOKUP(D455,'[1]202512 BE lapse'!$C:$D,2,0)</f>
        <v>2.3992838706239029E-4</v>
      </c>
      <c r="H455">
        <f>VLOOKUP($B455,'[1]202512 RFR'!$A:$B,2,0)</f>
        <v>0.02</v>
      </c>
      <c r="I455">
        <f t="shared" si="85"/>
        <v>1.3778033495446336</v>
      </c>
      <c r="J455">
        <f t="shared" si="86"/>
        <v>4.0062694811012358E-5</v>
      </c>
      <c r="K455">
        <f t="shared" si="87"/>
        <v>0</v>
      </c>
      <c r="L455">
        <f t="shared" si="79"/>
        <v>0.61873321531344327</v>
      </c>
      <c r="M455">
        <f>IF(AND(MOD(C455,12)=1,D455&lt;='[1]Product parameters'!$C$2),I454*[1]model_point!$G$2,0)</f>
        <v>0</v>
      </c>
      <c r="N455">
        <f t="shared" si="80"/>
        <v>0</v>
      </c>
      <c r="O455">
        <f>[2]results_sample_product_cf!G454</f>
        <v>0</v>
      </c>
      <c r="P455">
        <f>[2]results_sample_product_cf!H454</f>
        <v>0</v>
      </c>
      <c r="Q455">
        <f t="shared" si="81"/>
        <v>0</v>
      </c>
      <c r="R455">
        <f t="shared" si="77"/>
        <v>0</v>
      </c>
    </row>
    <row r="456" spans="1:18" x14ac:dyDescent="0.3">
      <c r="A456">
        <f t="shared" si="82"/>
        <v>453</v>
      </c>
      <c r="B456">
        <f t="shared" si="83"/>
        <v>38</v>
      </c>
      <c r="C456">
        <f t="shared" si="84"/>
        <v>458</v>
      </c>
      <c r="D456">
        <f t="shared" si="78"/>
        <v>39</v>
      </c>
      <c r="E456">
        <f>[1]model_point!$C$2+D456-1</f>
        <v>43</v>
      </c>
      <c r="F456">
        <f>VLOOKUP(E456,'[1]202512 BE mortality'!$A:$C,3,0)</f>
        <v>3.4886073334865154E-4</v>
      </c>
      <c r="G456">
        <f>VLOOKUP(D456,'[1]202512 BE lapse'!$C:$D,2,0)</f>
        <v>2.3992838706239029E-4</v>
      </c>
      <c r="H456">
        <f>VLOOKUP($B456,'[1]202512 RFR'!$A:$B,2,0)</f>
        <v>0.02</v>
      </c>
      <c r="I456">
        <f t="shared" si="85"/>
        <v>1.3777632880147006</v>
      </c>
      <c r="J456">
        <f t="shared" si="86"/>
        <v>4.0061529932985394E-5</v>
      </c>
      <c r="K456">
        <f t="shared" si="87"/>
        <v>0</v>
      </c>
      <c r="L456">
        <f t="shared" si="79"/>
        <v>0.61771301205278406</v>
      </c>
      <c r="M456">
        <f>IF(AND(MOD(C456,12)=1,D456&lt;='[1]Product parameters'!$C$2),I455*[1]model_point!$G$2,0)</f>
        <v>0</v>
      </c>
      <c r="N456">
        <f t="shared" si="80"/>
        <v>0</v>
      </c>
      <c r="O456">
        <f>[2]results_sample_product_cf!G455</f>
        <v>0</v>
      </c>
      <c r="P456">
        <f>[2]results_sample_product_cf!H455</f>
        <v>0</v>
      </c>
      <c r="Q456">
        <f t="shared" si="81"/>
        <v>0</v>
      </c>
      <c r="R456">
        <f t="shared" si="77"/>
        <v>0</v>
      </c>
    </row>
    <row r="457" spans="1:18" x14ac:dyDescent="0.3">
      <c r="A457">
        <f t="shared" si="82"/>
        <v>454</v>
      </c>
      <c r="B457">
        <f t="shared" si="83"/>
        <v>38</v>
      </c>
      <c r="C457">
        <f t="shared" si="84"/>
        <v>459</v>
      </c>
      <c r="D457">
        <f t="shared" si="78"/>
        <v>39</v>
      </c>
      <c r="E457">
        <f>[1]model_point!$C$2+D457-1</f>
        <v>43</v>
      </c>
      <c r="F457">
        <f>VLOOKUP(E457,'[1]202512 BE mortality'!$A:$C,3,0)</f>
        <v>3.4886073334865154E-4</v>
      </c>
      <c r="G457">
        <f>VLOOKUP(D457,'[1]202512 BE lapse'!$C:$D,2,0)</f>
        <v>2.3992838706239029E-4</v>
      </c>
      <c r="H457">
        <f>VLOOKUP($B457,'[1]202512 RFR'!$A:$B,2,0)</f>
        <v>0.02</v>
      </c>
      <c r="I457">
        <f t="shared" si="85"/>
        <v>1.3777232276496119</v>
      </c>
      <c r="J457">
        <f t="shared" si="86"/>
        <v>4.0060365088828858E-5</v>
      </c>
      <c r="K457">
        <f t="shared" si="87"/>
        <v>0</v>
      </c>
      <c r="L457">
        <f t="shared" si="79"/>
        <v>0.61669449096251316</v>
      </c>
      <c r="M457">
        <f>IF(AND(MOD(C457,12)=1,D457&lt;='[1]Product parameters'!$C$2),I456*[1]model_point!$G$2,0)</f>
        <v>0</v>
      </c>
      <c r="N457">
        <f t="shared" si="80"/>
        <v>0</v>
      </c>
      <c r="O457">
        <f>[2]results_sample_product_cf!G456</f>
        <v>0</v>
      </c>
      <c r="P457">
        <f>[2]results_sample_product_cf!H456</f>
        <v>0</v>
      </c>
      <c r="Q457">
        <f t="shared" si="81"/>
        <v>0</v>
      </c>
      <c r="R457">
        <f t="shared" si="77"/>
        <v>0</v>
      </c>
    </row>
    <row r="458" spans="1:18" x14ac:dyDescent="0.3">
      <c r="A458">
        <f t="shared" si="82"/>
        <v>455</v>
      </c>
      <c r="B458">
        <f t="shared" si="83"/>
        <v>38</v>
      </c>
      <c r="C458">
        <f t="shared" si="84"/>
        <v>460</v>
      </c>
      <c r="D458">
        <f t="shared" si="78"/>
        <v>39</v>
      </c>
      <c r="E458">
        <f>[1]model_point!$C$2+D458-1</f>
        <v>43</v>
      </c>
      <c r="F458">
        <f>VLOOKUP(E458,'[1]202512 BE mortality'!$A:$C,3,0)</f>
        <v>3.4886073334865154E-4</v>
      </c>
      <c r="G458">
        <f>VLOOKUP(D458,'[1]202512 BE lapse'!$C:$D,2,0)</f>
        <v>2.3992838706239029E-4</v>
      </c>
      <c r="H458">
        <f>VLOOKUP($B458,'[1]202512 RFR'!$A:$B,2,0)</f>
        <v>0.02</v>
      </c>
      <c r="I458">
        <f t="shared" si="85"/>
        <v>1.3776831684493334</v>
      </c>
      <c r="J458">
        <f t="shared" si="86"/>
        <v>4.0059200278541775E-5</v>
      </c>
      <c r="K458">
        <f t="shared" si="87"/>
        <v>0</v>
      </c>
      <c r="L458">
        <f t="shared" si="79"/>
        <v>0.61567764926897028</v>
      </c>
      <c r="M458">
        <f>IF(AND(MOD(C458,12)=1,D458&lt;='[1]Product parameters'!$C$2),I457*[1]model_point!$G$2,0)</f>
        <v>0</v>
      </c>
      <c r="N458">
        <f t="shared" si="80"/>
        <v>0</v>
      </c>
      <c r="O458">
        <f>[2]results_sample_product_cf!G457</f>
        <v>0</v>
      </c>
      <c r="P458">
        <f>[2]results_sample_product_cf!H457</f>
        <v>0</v>
      </c>
      <c r="Q458">
        <f t="shared" si="81"/>
        <v>0</v>
      </c>
      <c r="R458">
        <f t="shared" si="77"/>
        <v>0</v>
      </c>
    </row>
    <row r="459" spans="1:18" x14ac:dyDescent="0.3">
      <c r="A459">
        <f t="shared" si="82"/>
        <v>456</v>
      </c>
      <c r="B459">
        <f t="shared" si="83"/>
        <v>38</v>
      </c>
      <c r="C459">
        <f t="shared" si="84"/>
        <v>461</v>
      </c>
      <c r="D459">
        <f t="shared" si="78"/>
        <v>39</v>
      </c>
      <c r="E459">
        <f>[1]model_point!$C$2+D459-1</f>
        <v>43</v>
      </c>
      <c r="F459">
        <f>VLOOKUP(E459,'[1]202512 BE mortality'!$A:$C,3,0)</f>
        <v>3.4886073334865154E-4</v>
      </c>
      <c r="G459">
        <f>VLOOKUP(D459,'[1]202512 BE lapse'!$C:$D,2,0)</f>
        <v>2.3992838706239029E-4</v>
      </c>
      <c r="H459">
        <f>VLOOKUP($B459,'[1]202512 RFR'!$A:$B,2,0)</f>
        <v>0.02</v>
      </c>
      <c r="I459">
        <f t="shared" si="85"/>
        <v>1.3776431104138311</v>
      </c>
      <c r="J459">
        <f t="shared" si="86"/>
        <v>4.0058035502123155E-5</v>
      </c>
      <c r="K459">
        <f t="shared" si="87"/>
        <v>0</v>
      </c>
      <c r="L459">
        <f t="shared" si="79"/>
        <v>0.61466248420306868</v>
      </c>
      <c r="M459">
        <f>IF(AND(MOD(C459,12)=1,D459&lt;='[1]Product parameters'!$C$2),I458*[1]model_point!$G$2,0)</f>
        <v>0</v>
      </c>
      <c r="N459">
        <f t="shared" si="80"/>
        <v>0</v>
      </c>
      <c r="O459">
        <f>[2]results_sample_product_cf!G458</f>
        <v>0</v>
      </c>
      <c r="P459">
        <f>[2]results_sample_product_cf!H458</f>
        <v>0</v>
      </c>
      <c r="Q459">
        <f t="shared" si="81"/>
        <v>0</v>
      </c>
      <c r="R459">
        <f t="shared" si="77"/>
        <v>0</v>
      </c>
    </row>
    <row r="460" spans="1:18" x14ac:dyDescent="0.3">
      <c r="A460">
        <f t="shared" si="82"/>
        <v>457</v>
      </c>
      <c r="B460">
        <f t="shared" si="83"/>
        <v>39</v>
      </c>
      <c r="C460">
        <f t="shared" si="84"/>
        <v>462</v>
      </c>
      <c r="D460">
        <f t="shared" si="78"/>
        <v>39</v>
      </c>
      <c r="E460">
        <f>[1]model_point!$C$2+D460-1</f>
        <v>43</v>
      </c>
      <c r="F460">
        <f>VLOOKUP(E460,'[1]202512 BE mortality'!$A:$C,3,0)</f>
        <v>3.4886073334865154E-4</v>
      </c>
      <c r="G460">
        <f>VLOOKUP(D460,'[1]202512 BE lapse'!$C:$D,2,0)</f>
        <v>2.3992838706239029E-4</v>
      </c>
      <c r="H460">
        <f>VLOOKUP($B460,'[1]202512 RFR'!$A:$B,2,0)</f>
        <v>0.02</v>
      </c>
      <c r="I460">
        <f t="shared" si="85"/>
        <v>1.3776030535430717</v>
      </c>
      <c r="J460">
        <f t="shared" si="86"/>
        <v>4.0056870759572002E-5</v>
      </c>
      <c r="K460">
        <f t="shared" si="87"/>
        <v>0</v>
      </c>
      <c r="L460">
        <f t="shared" si="79"/>
        <v>0.61364899300028719</v>
      </c>
      <c r="M460">
        <f>IF(AND(MOD(C460,12)=1,D460&lt;='[1]Product parameters'!$C$2),I459*[1]model_point!$G$2,0)</f>
        <v>0</v>
      </c>
      <c r="N460">
        <f t="shared" si="80"/>
        <v>0</v>
      </c>
      <c r="O460">
        <f>[2]results_sample_product_cf!G459</f>
        <v>0</v>
      </c>
      <c r="P460">
        <f>[2]results_sample_product_cf!H459</f>
        <v>0</v>
      </c>
      <c r="Q460">
        <f t="shared" si="81"/>
        <v>0</v>
      </c>
      <c r="R460">
        <f t="shared" si="77"/>
        <v>0</v>
      </c>
    </row>
    <row r="461" spans="1:18" x14ac:dyDescent="0.3">
      <c r="A461">
        <f t="shared" si="82"/>
        <v>458</v>
      </c>
      <c r="B461">
        <f t="shared" si="83"/>
        <v>39</v>
      </c>
      <c r="C461">
        <f t="shared" si="84"/>
        <v>463</v>
      </c>
      <c r="D461">
        <f t="shared" si="78"/>
        <v>39</v>
      </c>
      <c r="E461">
        <f>[1]model_point!$C$2+D461-1</f>
        <v>43</v>
      </c>
      <c r="F461">
        <f>VLOOKUP(E461,'[1]202512 BE mortality'!$A:$C,3,0)</f>
        <v>3.4886073334865154E-4</v>
      </c>
      <c r="G461">
        <f>VLOOKUP(D461,'[1]202512 BE lapse'!$C:$D,2,0)</f>
        <v>2.3992838706239029E-4</v>
      </c>
      <c r="H461">
        <f>VLOOKUP($B461,'[1]202512 RFR'!$A:$B,2,0)</f>
        <v>0.02</v>
      </c>
      <c r="I461">
        <f t="shared" si="85"/>
        <v>1.3775629978370207</v>
      </c>
      <c r="J461">
        <f t="shared" si="86"/>
        <v>4.0055706050887354E-5</v>
      </c>
      <c r="K461">
        <f t="shared" si="87"/>
        <v>0</v>
      </c>
      <c r="L461">
        <f t="shared" si="79"/>
        <v>0.61263717290066322</v>
      </c>
      <c r="M461">
        <f>IF(AND(MOD(C461,12)=1,D461&lt;='[1]Product parameters'!$C$2),I460*[1]model_point!$G$2,0)</f>
        <v>0</v>
      </c>
      <c r="N461">
        <f t="shared" si="80"/>
        <v>0</v>
      </c>
      <c r="O461">
        <f>[2]results_sample_product_cf!G460</f>
        <v>0</v>
      </c>
      <c r="P461">
        <f>[2]results_sample_product_cf!H460</f>
        <v>0</v>
      </c>
      <c r="Q461">
        <f t="shared" si="81"/>
        <v>0</v>
      </c>
      <c r="R461">
        <f t="shared" si="77"/>
        <v>0</v>
      </c>
    </row>
    <row r="462" spans="1:18" x14ac:dyDescent="0.3">
      <c r="A462">
        <f t="shared" si="82"/>
        <v>459</v>
      </c>
      <c r="B462">
        <f t="shared" si="83"/>
        <v>39</v>
      </c>
      <c r="C462">
        <f t="shared" si="84"/>
        <v>464</v>
      </c>
      <c r="D462">
        <f t="shared" si="78"/>
        <v>39</v>
      </c>
      <c r="E462">
        <f>[1]model_point!$C$2+D462-1</f>
        <v>43</v>
      </c>
      <c r="F462">
        <f>VLOOKUP(E462,'[1]202512 BE mortality'!$A:$C,3,0)</f>
        <v>3.4886073334865154E-4</v>
      </c>
      <c r="G462">
        <f>VLOOKUP(D462,'[1]202512 BE lapse'!$C:$D,2,0)</f>
        <v>2.3992838706239029E-4</v>
      </c>
      <c r="H462">
        <f>VLOOKUP($B462,'[1]202512 RFR'!$A:$B,2,0)</f>
        <v>0.02</v>
      </c>
      <c r="I462">
        <f t="shared" si="85"/>
        <v>1.3775229432956446</v>
      </c>
      <c r="J462">
        <f t="shared" si="86"/>
        <v>4.0054541376068215E-5</v>
      </c>
      <c r="K462">
        <f t="shared" si="87"/>
        <v>0</v>
      </c>
      <c r="L462">
        <f t="shared" si="79"/>
        <v>0.61162702114878476</v>
      </c>
      <c r="M462">
        <f>IF(AND(MOD(C462,12)=1,D462&lt;='[1]Product parameters'!$C$2),I461*[1]model_point!$G$2,0)</f>
        <v>0</v>
      </c>
      <c r="N462">
        <f t="shared" si="80"/>
        <v>0</v>
      </c>
      <c r="O462">
        <f>[2]results_sample_product_cf!G461</f>
        <v>0</v>
      </c>
      <c r="P462">
        <f>[2]results_sample_product_cf!H461</f>
        <v>0</v>
      </c>
      <c r="Q462">
        <f t="shared" si="81"/>
        <v>0</v>
      </c>
      <c r="R462">
        <f t="shared" si="77"/>
        <v>0</v>
      </c>
    </row>
    <row r="463" spans="1:18" x14ac:dyDescent="0.3">
      <c r="A463">
        <f t="shared" si="82"/>
        <v>460</v>
      </c>
      <c r="B463">
        <f t="shared" si="83"/>
        <v>39</v>
      </c>
      <c r="C463">
        <f t="shared" si="84"/>
        <v>465</v>
      </c>
      <c r="D463">
        <f t="shared" si="78"/>
        <v>39</v>
      </c>
      <c r="E463">
        <f>[1]model_point!$C$2+D463-1</f>
        <v>43</v>
      </c>
      <c r="F463">
        <f>VLOOKUP(E463,'[1]202512 BE mortality'!$A:$C,3,0)</f>
        <v>3.4886073334865154E-4</v>
      </c>
      <c r="G463">
        <f>VLOOKUP(D463,'[1]202512 BE lapse'!$C:$D,2,0)</f>
        <v>2.3992838706239029E-4</v>
      </c>
      <c r="H463">
        <f>VLOOKUP($B463,'[1]202512 RFR'!$A:$B,2,0)</f>
        <v>0.02</v>
      </c>
      <c r="I463">
        <f t="shared" si="85"/>
        <v>1.3774828899189095</v>
      </c>
      <c r="J463">
        <f t="shared" si="86"/>
        <v>4.0053376735113596E-5</v>
      </c>
      <c r="K463">
        <f t="shared" si="87"/>
        <v>0</v>
      </c>
      <c r="L463">
        <f t="shared" si="79"/>
        <v>0.61061853499378316</v>
      </c>
      <c r="M463">
        <f>IF(AND(MOD(C463,12)=1,D463&lt;='[1]Product parameters'!$C$2),I462*[1]model_point!$G$2,0)</f>
        <v>0</v>
      </c>
      <c r="N463">
        <f t="shared" si="80"/>
        <v>0</v>
      </c>
      <c r="O463">
        <f>[2]results_sample_product_cf!G462</f>
        <v>0</v>
      </c>
      <c r="P463">
        <f>[2]results_sample_product_cf!H462</f>
        <v>0</v>
      </c>
      <c r="Q463">
        <f t="shared" si="81"/>
        <v>0</v>
      </c>
      <c r="R463">
        <f t="shared" si="77"/>
        <v>0</v>
      </c>
    </row>
    <row r="464" spans="1:18" x14ac:dyDescent="0.3">
      <c r="A464">
        <f t="shared" si="82"/>
        <v>461</v>
      </c>
      <c r="B464">
        <f t="shared" si="83"/>
        <v>39</v>
      </c>
      <c r="C464">
        <f t="shared" si="84"/>
        <v>466</v>
      </c>
      <c r="D464">
        <f t="shared" si="78"/>
        <v>39</v>
      </c>
      <c r="E464">
        <f>[1]model_point!$C$2+D464-1</f>
        <v>43</v>
      </c>
      <c r="F464">
        <f>VLOOKUP(E464,'[1]202512 BE mortality'!$A:$C,3,0)</f>
        <v>3.4886073334865154E-4</v>
      </c>
      <c r="G464">
        <f>VLOOKUP(D464,'[1]202512 BE lapse'!$C:$D,2,0)</f>
        <v>2.3992838706239029E-4</v>
      </c>
      <c r="H464">
        <f>VLOOKUP($B464,'[1]202512 RFR'!$A:$B,2,0)</f>
        <v>0.02</v>
      </c>
      <c r="I464">
        <f t="shared" si="85"/>
        <v>1.3774428377067816</v>
      </c>
      <c r="J464">
        <f t="shared" si="86"/>
        <v>4.0052212128022513E-5</v>
      </c>
      <c r="K464">
        <f t="shared" si="87"/>
        <v>0</v>
      </c>
      <c r="L464">
        <f t="shared" si="79"/>
        <v>0.60961171168932549</v>
      </c>
      <c r="M464">
        <f>IF(AND(MOD(C464,12)=1,D464&lt;='[1]Product parameters'!$C$2),I463*[1]model_point!$G$2,0)</f>
        <v>0</v>
      </c>
      <c r="N464">
        <f t="shared" si="80"/>
        <v>0</v>
      </c>
      <c r="O464">
        <f>[2]results_sample_product_cf!G463</f>
        <v>0</v>
      </c>
      <c r="P464">
        <f>[2]results_sample_product_cf!H463</f>
        <v>0</v>
      </c>
      <c r="Q464">
        <f t="shared" si="81"/>
        <v>0</v>
      </c>
      <c r="R464">
        <f t="shared" si="77"/>
        <v>0</v>
      </c>
    </row>
    <row r="465" spans="1:18" x14ac:dyDescent="0.3">
      <c r="A465">
        <f t="shared" si="82"/>
        <v>462</v>
      </c>
      <c r="B465">
        <f t="shared" si="83"/>
        <v>39</v>
      </c>
      <c r="C465">
        <f t="shared" si="84"/>
        <v>467</v>
      </c>
      <c r="D465">
        <f t="shared" si="78"/>
        <v>39</v>
      </c>
      <c r="E465">
        <f>[1]model_point!$C$2+D465-1</f>
        <v>43</v>
      </c>
      <c r="F465">
        <f>VLOOKUP(E465,'[1]202512 BE mortality'!$A:$C,3,0)</f>
        <v>3.4886073334865154E-4</v>
      </c>
      <c r="G465">
        <f>VLOOKUP(D465,'[1]202512 BE lapse'!$C:$D,2,0)</f>
        <v>2.3992838706239029E-4</v>
      </c>
      <c r="H465">
        <f>VLOOKUP($B465,'[1]202512 RFR'!$A:$B,2,0)</f>
        <v>0.02</v>
      </c>
      <c r="I465">
        <f t="shared" si="85"/>
        <v>1.3774027866592267</v>
      </c>
      <c r="J465">
        <f t="shared" si="86"/>
        <v>4.0051047554793992E-5</v>
      </c>
      <c r="K465">
        <f t="shared" si="87"/>
        <v>0</v>
      </c>
      <c r="L465">
        <f t="shared" si="79"/>
        <v>0.60860654849360729</v>
      </c>
      <c r="M465">
        <f>IF(AND(MOD(C465,12)=1,D465&lt;='[1]Product parameters'!$C$2),I464*[1]model_point!$G$2,0)</f>
        <v>0</v>
      </c>
      <c r="N465">
        <f t="shared" si="80"/>
        <v>0</v>
      </c>
      <c r="O465">
        <f>[2]results_sample_product_cf!G464</f>
        <v>0</v>
      </c>
      <c r="P465">
        <f>[2]results_sample_product_cf!H464</f>
        <v>0</v>
      </c>
      <c r="Q465">
        <f t="shared" si="81"/>
        <v>0</v>
      </c>
      <c r="R465">
        <f t="shared" si="77"/>
        <v>0</v>
      </c>
    </row>
    <row r="466" spans="1:18" x14ac:dyDescent="0.3">
      <c r="A466">
        <f t="shared" si="82"/>
        <v>463</v>
      </c>
      <c r="B466">
        <f t="shared" si="83"/>
        <v>39</v>
      </c>
      <c r="C466">
        <f t="shared" si="84"/>
        <v>468</v>
      </c>
      <c r="D466">
        <f t="shared" si="78"/>
        <v>39</v>
      </c>
      <c r="E466">
        <f>[1]model_point!$C$2+D466-1</f>
        <v>43</v>
      </c>
      <c r="F466">
        <f>VLOOKUP(E466,'[1]202512 BE mortality'!$A:$C,3,0)</f>
        <v>3.4886073334865154E-4</v>
      </c>
      <c r="G466">
        <f>VLOOKUP(D466,'[1]202512 BE lapse'!$C:$D,2,0)</f>
        <v>2.3992838706239029E-4</v>
      </c>
      <c r="H466">
        <f>VLOOKUP($B466,'[1]202512 RFR'!$A:$B,2,0)</f>
        <v>0.02</v>
      </c>
      <c r="I466">
        <f t="shared" si="85"/>
        <v>1.3770322683563765</v>
      </c>
      <c r="J466">
        <f t="shared" si="86"/>
        <v>4.0049883015427036E-5</v>
      </c>
      <c r="K466">
        <f t="shared" si="87"/>
        <v>3.3046841983455595E-4</v>
      </c>
      <c r="L466">
        <f t="shared" si="79"/>
        <v>0.60760304266934473</v>
      </c>
      <c r="M466">
        <f>IF(AND(MOD(C466,12)=1,D466&lt;='[1]Product parameters'!$C$2),I465*[1]model_point!$G$2,0)</f>
        <v>0</v>
      </c>
      <c r="N466">
        <f t="shared" si="80"/>
        <v>0</v>
      </c>
      <c r="O466">
        <f>[2]results_sample_product_cf!G465</f>
        <v>0</v>
      </c>
      <c r="P466">
        <f>[2]results_sample_product_cf!H465</f>
        <v>0</v>
      </c>
      <c r="Q466">
        <f t="shared" si="81"/>
        <v>0</v>
      </c>
      <c r="R466">
        <f t="shared" si="77"/>
        <v>0</v>
      </c>
    </row>
    <row r="467" spans="1:18" x14ac:dyDescent="0.3">
      <c r="A467">
        <f t="shared" si="82"/>
        <v>464</v>
      </c>
      <c r="B467">
        <f t="shared" si="83"/>
        <v>39</v>
      </c>
      <c r="C467">
        <f t="shared" si="84"/>
        <v>469</v>
      </c>
      <c r="D467">
        <f t="shared" si="78"/>
        <v>40</v>
      </c>
      <c r="E467">
        <f>[1]model_point!$C$2+D467-1</f>
        <v>44</v>
      </c>
      <c r="F467">
        <f>VLOOKUP(E467,'[1]202512 BE mortality'!$A:$C,3,0)</f>
        <v>2.1742912998586029E-3</v>
      </c>
      <c r="G467">
        <f>VLOOKUP(D467,'[1]202512 BE lapse'!$C:$D,2,0)</f>
        <v>4.7509472249485894E-3</v>
      </c>
      <c r="H467">
        <f>VLOOKUP($B467,'[1]202512 RFR'!$A:$B,2,0)</f>
        <v>0.02</v>
      </c>
      <c r="I467">
        <f t="shared" si="85"/>
        <v>1.3767825135920118</v>
      </c>
      <c r="J467">
        <f t="shared" si="86"/>
        <v>2.4975476436468936E-4</v>
      </c>
      <c r="K467">
        <f t="shared" si="87"/>
        <v>0</v>
      </c>
      <c r="L467">
        <f t="shared" si="79"/>
        <v>0.60660119148376757</v>
      </c>
      <c r="M467">
        <f>IF(AND(MOD(C467,12)=1,D467&lt;='[1]Product parameters'!$C$2),I466*[1]model_point!$G$2,0)</f>
        <v>0</v>
      </c>
      <c r="N467">
        <f t="shared" si="80"/>
        <v>0</v>
      </c>
      <c r="O467">
        <f>[2]results_sample_product_cf!G466</f>
        <v>0</v>
      </c>
      <c r="P467">
        <f>[2]results_sample_product_cf!H466</f>
        <v>0</v>
      </c>
      <c r="Q467">
        <f t="shared" si="81"/>
        <v>0</v>
      </c>
      <c r="R467">
        <f t="shared" si="77"/>
        <v>0</v>
      </c>
    </row>
    <row r="468" spans="1:18" x14ac:dyDescent="0.3">
      <c r="A468">
        <f t="shared" si="82"/>
        <v>465</v>
      </c>
      <c r="B468">
        <f t="shared" si="83"/>
        <v>39</v>
      </c>
      <c r="C468">
        <f t="shared" si="84"/>
        <v>470</v>
      </c>
      <c r="D468">
        <f t="shared" si="78"/>
        <v>40</v>
      </c>
      <c r="E468">
        <f>[1]model_point!$C$2+D468-1</f>
        <v>44</v>
      </c>
      <c r="F468">
        <f>VLOOKUP(E468,'[1]202512 BE mortality'!$A:$C,3,0)</f>
        <v>2.1742912998586029E-3</v>
      </c>
      <c r="G468">
        <f>VLOOKUP(D468,'[1]202512 BE lapse'!$C:$D,2,0)</f>
        <v>4.7509472249485894E-3</v>
      </c>
      <c r="H468">
        <f>VLOOKUP($B468,'[1]202512 RFR'!$A:$B,2,0)</f>
        <v>0.02</v>
      </c>
      <c r="I468">
        <f t="shared" si="85"/>
        <v>1.376532804126108</v>
      </c>
      <c r="J468">
        <f t="shared" si="86"/>
        <v>2.4970946590382082E-4</v>
      </c>
      <c r="K468">
        <f t="shared" si="87"/>
        <v>0</v>
      </c>
      <c r="L468">
        <f t="shared" si="79"/>
        <v>0.60560099220861152</v>
      </c>
      <c r="M468">
        <f>IF(AND(MOD(C468,12)=1,D468&lt;='[1]Product parameters'!$C$2),I467*[1]model_point!$G$2,0)</f>
        <v>0</v>
      </c>
      <c r="N468">
        <f t="shared" si="80"/>
        <v>0</v>
      </c>
      <c r="O468">
        <f>[2]results_sample_product_cf!G467</f>
        <v>0</v>
      </c>
      <c r="P468">
        <f>[2]results_sample_product_cf!H467</f>
        <v>0</v>
      </c>
      <c r="Q468">
        <f t="shared" si="81"/>
        <v>0</v>
      </c>
      <c r="R468">
        <f t="shared" si="77"/>
        <v>0</v>
      </c>
    </row>
    <row r="469" spans="1:18" x14ac:dyDescent="0.3">
      <c r="A469">
        <f t="shared" si="82"/>
        <v>466</v>
      </c>
      <c r="B469">
        <f t="shared" si="83"/>
        <v>39</v>
      </c>
      <c r="C469">
        <f t="shared" si="84"/>
        <v>471</v>
      </c>
      <c r="D469">
        <f t="shared" si="78"/>
        <v>40</v>
      </c>
      <c r="E469">
        <f>[1]model_point!$C$2+D469-1</f>
        <v>44</v>
      </c>
      <c r="F469">
        <f>VLOOKUP(E469,'[1]202512 BE mortality'!$A:$C,3,0)</f>
        <v>2.1742912998586029E-3</v>
      </c>
      <c r="G469">
        <f>VLOOKUP(D469,'[1]202512 BE lapse'!$C:$D,2,0)</f>
        <v>4.7509472249485894E-3</v>
      </c>
      <c r="H469">
        <f>VLOOKUP($B469,'[1]202512 RFR'!$A:$B,2,0)</f>
        <v>0.02</v>
      </c>
      <c r="I469">
        <f t="shared" si="85"/>
        <v>1.3762831399504492</v>
      </c>
      <c r="J469">
        <f t="shared" si="86"/>
        <v>2.496641756588138E-4</v>
      </c>
      <c r="K469">
        <f t="shared" si="87"/>
        <v>0</v>
      </c>
      <c r="L469">
        <f t="shared" si="79"/>
        <v>0.60460244212011061</v>
      </c>
      <c r="M469">
        <f>IF(AND(MOD(C469,12)=1,D469&lt;='[1]Product parameters'!$C$2),I468*[1]model_point!$G$2,0)</f>
        <v>0</v>
      </c>
      <c r="N469">
        <f t="shared" si="80"/>
        <v>0</v>
      </c>
      <c r="O469">
        <f>[2]results_sample_product_cf!G468</f>
        <v>0</v>
      </c>
      <c r="P469">
        <f>[2]results_sample_product_cf!H468</f>
        <v>0</v>
      </c>
      <c r="Q469">
        <f t="shared" si="81"/>
        <v>0</v>
      </c>
      <c r="R469">
        <f t="shared" si="77"/>
        <v>0</v>
      </c>
    </row>
    <row r="470" spans="1:18" x14ac:dyDescent="0.3">
      <c r="A470">
        <f t="shared" si="82"/>
        <v>467</v>
      </c>
      <c r="B470">
        <f t="shared" si="83"/>
        <v>39</v>
      </c>
      <c r="C470">
        <f t="shared" si="84"/>
        <v>472</v>
      </c>
      <c r="D470">
        <f t="shared" si="78"/>
        <v>40</v>
      </c>
      <c r="E470">
        <f>[1]model_point!$C$2+D470-1</f>
        <v>44</v>
      </c>
      <c r="F470">
        <f>VLOOKUP(E470,'[1]202512 BE mortality'!$A:$C,3,0)</f>
        <v>2.1742912998586029E-3</v>
      </c>
      <c r="G470">
        <f>VLOOKUP(D470,'[1]202512 BE lapse'!$C:$D,2,0)</f>
        <v>4.7509472249485894E-3</v>
      </c>
      <c r="H470">
        <f>VLOOKUP($B470,'[1]202512 RFR'!$A:$B,2,0)</f>
        <v>0.02</v>
      </c>
      <c r="I470">
        <f t="shared" si="85"/>
        <v>1.3760335210568211</v>
      </c>
      <c r="J470">
        <f t="shared" si="86"/>
        <v>2.4961889362817814E-4</v>
      </c>
      <c r="K470">
        <f t="shared" si="87"/>
        <v>0</v>
      </c>
      <c r="L470">
        <f t="shared" si="79"/>
        <v>0.60360553849899024</v>
      </c>
      <c r="M470">
        <f>IF(AND(MOD(C470,12)=1,D470&lt;='[1]Product parameters'!$C$2),I469*[1]model_point!$G$2,0)</f>
        <v>0</v>
      </c>
      <c r="N470">
        <f t="shared" si="80"/>
        <v>0</v>
      </c>
      <c r="O470">
        <f>[2]results_sample_product_cf!G469</f>
        <v>0</v>
      </c>
      <c r="P470">
        <f>[2]results_sample_product_cf!H469</f>
        <v>0</v>
      </c>
      <c r="Q470">
        <f t="shared" si="81"/>
        <v>0</v>
      </c>
      <c r="R470">
        <f t="shared" si="77"/>
        <v>0</v>
      </c>
    </row>
    <row r="471" spans="1:18" x14ac:dyDescent="0.3">
      <c r="A471">
        <f t="shared" si="82"/>
        <v>468</v>
      </c>
      <c r="B471">
        <f t="shared" si="83"/>
        <v>39</v>
      </c>
      <c r="C471">
        <f t="shared" si="84"/>
        <v>473</v>
      </c>
      <c r="D471">
        <f t="shared" si="78"/>
        <v>40</v>
      </c>
      <c r="E471">
        <f>[1]model_point!$C$2+D471-1</f>
        <v>44</v>
      </c>
      <c r="F471">
        <f>VLOOKUP(E471,'[1]202512 BE mortality'!$A:$C,3,0)</f>
        <v>2.1742912998586029E-3</v>
      </c>
      <c r="G471">
        <f>VLOOKUP(D471,'[1]202512 BE lapse'!$C:$D,2,0)</f>
        <v>4.7509472249485894E-3</v>
      </c>
      <c r="H471">
        <f>VLOOKUP($B471,'[1]202512 RFR'!$A:$B,2,0)</f>
        <v>0.02</v>
      </c>
      <c r="I471">
        <f t="shared" si="85"/>
        <v>1.3757839474370106</v>
      </c>
      <c r="J471">
        <f t="shared" si="86"/>
        <v>2.4957361981042407E-4</v>
      </c>
      <c r="K471">
        <f t="shared" si="87"/>
        <v>0</v>
      </c>
      <c r="L471">
        <f t="shared" si="79"/>
        <v>0.60261027863045924</v>
      </c>
      <c r="M471">
        <f>IF(AND(MOD(C471,12)=1,D471&lt;='[1]Product parameters'!$C$2),I470*[1]model_point!$G$2,0)</f>
        <v>0</v>
      </c>
      <c r="N471">
        <f t="shared" si="80"/>
        <v>0</v>
      </c>
      <c r="O471">
        <f>[2]results_sample_product_cf!G470</f>
        <v>0</v>
      </c>
      <c r="P471">
        <f>[2]results_sample_product_cf!H470</f>
        <v>0</v>
      </c>
      <c r="Q471">
        <f t="shared" si="81"/>
        <v>0</v>
      </c>
      <c r="R471">
        <f t="shared" si="77"/>
        <v>0</v>
      </c>
    </row>
    <row r="472" spans="1:18" x14ac:dyDescent="0.3">
      <c r="A472">
        <f t="shared" si="82"/>
        <v>469</v>
      </c>
      <c r="B472">
        <f t="shared" si="83"/>
        <v>40</v>
      </c>
      <c r="C472">
        <f t="shared" si="84"/>
        <v>474</v>
      </c>
      <c r="D472">
        <f t="shared" si="78"/>
        <v>40</v>
      </c>
      <c r="E472">
        <f>[1]model_point!$C$2+D472-1</f>
        <v>44</v>
      </c>
      <c r="F472">
        <f>VLOOKUP(E472,'[1]202512 BE mortality'!$A:$C,3,0)</f>
        <v>2.1742912998586029E-3</v>
      </c>
      <c r="G472">
        <f>VLOOKUP(D472,'[1]202512 BE lapse'!$C:$D,2,0)</f>
        <v>4.7509472249485894E-3</v>
      </c>
      <c r="H472">
        <f>VLOOKUP($B472,'[1]202512 RFR'!$A:$B,2,0)</f>
        <v>0.02</v>
      </c>
      <c r="I472">
        <f t="shared" si="85"/>
        <v>1.3755344190828065</v>
      </c>
      <c r="J472">
        <f t="shared" si="86"/>
        <v>2.4952835420406191E-4</v>
      </c>
      <c r="K472">
        <f t="shared" si="87"/>
        <v>0</v>
      </c>
      <c r="L472">
        <f t="shared" si="79"/>
        <v>0.60161665980420287</v>
      </c>
      <c r="M472">
        <f>IF(AND(MOD(C472,12)=1,D472&lt;='[1]Product parameters'!$C$2),I471*[1]model_point!$G$2,0)</f>
        <v>0</v>
      </c>
      <c r="N472">
        <f t="shared" si="80"/>
        <v>0</v>
      </c>
      <c r="O472">
        <f>[2]results_sample_product_cf!G471</f>
        <v>0</v>
      </c>
      <c r="P472">
        <f>[2]results_sample_product_cf!H471</f>
        <v>0</v>
      </c>
      <c r="Q472">
        <f t="shared" si="81"/>
        <v>0</v>
      </c>
      <c r="R472">
        <f t="shared" si="77"/>
        <v>0</v>
      </c>
    </row>
    <row r="473" spans="1:18" x14ac:dyDescent="0.3">
      <c r="A473">
        <f t="shared" si="82"/>
        <v>470</v>
      </c>
      <c r="B473">
        <f t="shared" si="83"/>
        <v>40</v>
      </c>
      <c r="C473">
        <f t="shared" si="84"/>
        <v>475</v>
      </c>
      <c r="D473">
        <f t="shared" si="78"/>
        <v>40</v>
      </c>
      <c r="E473">
        <f>[1]model_point!$C$2+D473-1</f>
        <v>44</v>
      </c>
      <c r="F473">
        <f>VLOOKUP(E473,'[1]202512 BE mortality'!$A:$C,3,0)</f>
        <v>2.1742912998586029E-3</v>
      </c>
      <c r="G473">
        <f>VLOOKUP(D473,'[1]202512 BE lapse'!$C:$D,2,0)</f>
        <v>4.7509472249485894E-3</v>
      </c>
      <c r="H473">
        <f>VLOOKUP($B473,'[1]202512 RFR'!$A:$B,2,0)</f>
        <v>0.02</v>
      </c>
      <c r="I473">
        <f t="shared" si="85"/>
        <v>1.3752849359859989</v>
      </c>
      <c r="J473">
        <f t="shared" si="86"/>
        <v>2.494830968076024E-4</v>
      </c>
      <c r="K473">
        <f t="shared" si="87"/>
        <v>0</v>
      </c>
      <c r="L473">
        <f t="shared" si="79"/>
        <v>0.60062467931437546</v>
      </c>
      <c r="M473">
        <f>IF(AND(MOD(C473,12)=1,D473&lt;='[1]Product parameters'!$C$2),I472*[1]model_point!$G$2,0)</f>
        <v>0</v>
      </c>
      <c r="N473">
        <f t="shared" si="80"/>
        <v>0</v>
      </c>
      <c r="O473">
        <f>[2]results_sample_product_cf!G472</f>
        <v>0</v>
      </c>
      <c r="P473">
        <f>[2]results_sample_product_cf!H472</f>
        <v>0</v>
      </c>
      <c r="Q473">
        <f t="shared" si="81"/>
        <v>0</v>
      </c>
      <c r="R473">
        <f t="shared" si="77"/>
        <v>0</v>
      </c>
    </row>
    <row r="474" spans="1:18" x14ac:dyDescent="0.3">
      <c r="A474">
        <f t="shared" si="82"/>
        <v>471</v>
      </c>
      <c r="B474">
        <f t="shared" si="83"/>
        <v>40</v>
      </c>
      <c r="C474">
        <f t="shared" si="84"/>
        <v>476</v>
      </c>
      <c r="D474">
        <f t="shared" si="78"/>
        <v>40</v>
      </c>
      <c r="E474">
        <f>[1]model_point!$C$2+D474-1</f>
        <v>44</v>
      </c>
      <c r="F474">
        <f>VLOOKUP(E474,'[1]202512 BE mortality'!$A:$C,3,0)</f>
        <v>2.1742912998586029E-3</v>
      </c>
      <c r="G474">
        <f>VLOOKUP(D474,'[1]202512 BE lapse'!$C:$D,2,0)</f>
        <v>4.7509472249485894E-3</v>
      </c>
      <c r="H474">
        <f>VLOOKUP($B474,'[1]202512 RFR'!$A:$B,2,0)</f>
        <v>0.02</v>
      </c>
      <c r="I474">
        <f t="shared" si="85"/>
        <v>1.3750354981383792</v>
      </c>
      <c r="J474">
        <f t="shared" si="86"/>
        <v>2.494378476195565E-4</v>
      </c>
      <c r="K474">
        <f t="shared" si="87"/>
        <v>0</v>
      </c>
      <c r="L474">
        <f t="shared" si="79"/>
        <v>0.59963433445959258</v>
      </c>
      <c r="M474">
        <f>IF(AND(MOD(C474,12)=1,D474&lt;='[1]Product parameters'!$C$2),I473*[1]model_point!$G$2,0)</f>
        <v>0</v>
      </c>
      <c r="N474">
        <f t="shared" si="80"/>
        <v>0</v>
      </c>
      <c r="O474">
        <f>[2]results_sample_product_cf!G473</f>
        <v>0</v>
      </c>
      <c r="P474">
        <f>[2]results_sample_product_cf!H473</f>
        <v>0</v>
      </c>
      <c r="Q474">
        <f t="shared" si="81"/>
        <v>0</v>
      </c>
      <c r="R474">
        <f t="shared" si="77"/>
        <v>0</v>
      </c>
    </row>
    <row r="475" spans="1:18" x14ac:dyDescent="0.3">
      <c r="A475">
        <f t="shared" si="82"/>
        <v>472</v>
      </c>
      <c r="B475">
        <f t="shared" si="83"/>
        <v>40</v>
      </c>
      <c r="C475">
        <f t="shared" si="84"/>
        <v>477</v>
      </c>
      <c r="D475">
        <f t="shared" si="78"/>
        <v>40</v>
      </c>
      <c r="E475">
        <f>[1]model_point!$C$2+D475-1</f>
        <v>44</v>
      </c>
      <c r="F475">
        <f>VLOOKUP(E475,'[1]202512 BE mortality'!$A:$C,3,0)</f>
        <v>2.1742912998586029E-3</v>
      </c>
      <c r="G475">
        <f>VLOOKUP(D475,'[1]202512 BE lapse'!$C:$D,2,0)</f>
        <v>4.7509472249485894E-3</v>
      </c>
      <c r="H475">
        <f>VLOOKUP($B475,'[1]202512 RFR'!$A:$B,2,0)</f>
        <v>0.02</v>
      </c>
      <c r="I475">
        <f t="shared" si="85"/>
        <v>1.3747861055317407</v>
      </c>
      <c r="J475">
        <f t="shared" si="86"/>
        <v>2.4939260663843537E-4</v>
      </c>
      <c r="K475">
        <f t="shared" si="87"/>
        <v>0</v>
      </c>
      <c r="L475">
        <f t="shared" si="79"/>
        <v>0.5986456225429243</v>
      </c>
      <c r="M475">
        <f>IF(AND(MOD(C475,12)=1,D475&lt;='[1]Product parameters'!$C$2),I474*[1]model_point!$G$2,0)</f>
        <v>0</v>
      </c>
      <c r="N475">
        <f t="shared" si="80"/>
        <v>0</v>
      </c>
      <c r="O475">
        <f>[2]results_sample_product_cf!G474</f>
        <v>0</v>
      </c>
      <c r="P475">
        <f>[2]results_sample_product_cf!H474</f>
        <v>0</v>
      </c>
      <c r="Q475">
        <f t="shared" si="81"/>
        <v>0</v>
      </c>
      <c r="R475">
        <f t="shared" si="77"/>
        <v>0</v>
      </c>
    </row>
    <row r="476" spans="1:18" x14ac:dyDescent="0.3">
      <c r="A476">
        <f t="shared" si="82"/>
        <v>473</v>
      </c>
      <c r="B476">
        <f t="shared" si="83"/>
        <v>40</v>
      </c>
      <c r="C476">
        <f t="shared" si="84"/>
        <v>478</v>
      </c>
      <c r="D476">
        <f t="shared" si="78"/>
        <v>40</v>
      </c>
      <c r="E476">
        <f>[1]model_point!$C$2+D476-1</f>
        <v>44</v>
      </c>
      <c r="F476">
        <f>VLOOKUP(E476,'[1]202512 BE mortality'!$A:$C,3,0)</f>
        <v>2.1742912998586029E-3</v>
      </c>
      <c r="G476">
        <f>VLOOKUP(D476,'[1]202512 BE lapse'!$C:$D,2,0)</f>
        <v>4.7509472249485894E-3</v>
      </c>
      <c r="H476">
        <f>VLOOKUP($B476,'[1]202512 RFR'!$A:$B,2,0)</f>
        <v>0.02</v>
      </c>
      <c r="I476">
        <f t="shared" si="85"/>
        <v>1.374536758157878</v>
      </c>
      <c r="J476">
        <f t="shared" si="86"/>
        <v>2.4934737386275057E-4</v>
      </c>
      <c r="K476">
        <f t="shared" si="87"/>
        <v>0</v>
      </c>
      <c r="L476">
        <f t="shared" si="79"/>
        <v>0.59765854087188741</v>
      </c>
      <c r="M476">
        <f>IF(AND(MOD(C476,12)=1,D476&lt;='[1]Product parameters'!$C$2),I475*[1]model_point!$G$2,0)</f>
        <v>0</v>
      </c>
      <c r="N476">
        <f t="shared" si="80"/>
        <v>0</v>
      </c>
      <c r="O476">
        <f>[2]results_sample_product_cf!G475</f>
        <v>0</v>
      </c>
      <c r="P476">
        <f>[2]results_sample_product_cf!H475</f>
        <v>0</v>
      </c>
      <c r="Q476">
        <f t="shared" si="81"/>
        <v>0</v>
      </c>
      <c r="R476">
        <f t="shared" si="77"/>
        <v>0</v>
      </c>
    </row>
    <row r="477" spans="1:18" x14ac:dyDescent="0.3">
      <c r="A477">
        <f t="shared" si="82"/>
        <v>474</v>
      </c>
      <c r="B477">
        <f t="shared" si="83"/>
        <v>40</v>
      </c>
      <c r="C477">
        <f t="shared" si="84"/>
        <v>479</v>
      </c>
      <c r="D477">
        <f t="shared" si="78"/>
        <v>40</v>
      </c>
      <c r="E477">
        <f>[1]model_point!$C$2+D477-1</f>
        <v>44</v>
      </c>
      <c r="F477">
        <f>VLOOKUP(E477,'[1]202512 BE mortality'!$A:$C,3,0)</f>
        <v>2.1742912998586029E-3</v>
      </c>
      <c r="G477">
        <f>VLOOKUP(D477,'[1]202512 BE lapse'!$C:$D,2,0)</f>
        <v>4.7509472249485894E-3</v>
      </c>
      <c r="H477">
        <f>VLOOKUP($B477,'[1]202512 RFR'!$A:$B,2,0)</f>
        <v>0.02</v>
      </c>
      <c r="I477">
        <f t="shared" si="85"/>
        <v>1.3742874560085869</v>
      </c>
      <c r="J477">
        <f t="shared" si="86"/>
        <v>2.4930214929101387E-4</v>
      </c>
      <c r="K477">
        <f t="shared" si="87"/>
        <v>0</v>
      </c>
      <c r="L477">
        <f t="shared" si="79"/>
        <v>0.59667308675843811</v>
      </c>
      <c r="M477">
        <f>IF(AND(MOD(C477,12)=1,D477&lt;='[1]Product parameters'!$C$2),I476*[1]model_point!$G$2,0)</f>
        <v>0</v>
      </c>
      <c r="N477">
        <f t="shared" si="80"/>
        <v>0</v>
      </c>
      <c r="O477">
        <f>[2]results_sample_product_cf!G476</f>
        <v>0</v>
      </c>
      <c r="P477">
        <f>[2]results_sample_product_cf!H476</f>
        <v>0</v>
      </c>
      <c r="Q477">
        <f t="shared" si="81"/>
        <v>0</v>
      </c>
      <c r="R477">
        <f t="shared" si="77"/>
        <v>0</v>
      </c>
    </row>
    <row r="478" spans="1:18" x14ac:dyDescent="0.3">
      <c r="A478">
        <f t="shared" si="82"/>
        <v>475</v>
      </c>
      <c r="B478">
        <f t="shared" si="83"/>
        <v>40</v>
      </c>
      <c r="C478">
        <f t="shared" si="84"/>
        <v>480</v>
      </c>
      <c r="D478">
        <f t="shared" si="78"/>
        <v>40</v>
      </c>
      <c r="E478">
        <f>[1]model_point!$C$2+D478-1</f>
        <v>44</v>
      </c>
      <c r="F478">
        <f>VLOOKUP(E478,'[1]202512 BE mortality'!$A:$C,3,0)</f>
        <v>2.1742912998586029E-3</v>
      </c>
      <c r="G478">
        <f>VLOOKUP(D478,'[1]202512 BE lapse'!$C:$D,2,0)</f>
        <v>4.7509472249485894E-3</v>
      </c>
      <c r="H478">
        <f>VLOOKUP($B478,'[1]202512 RFR'!$A:$B,2,0)</f>
        <v>0.02</v>
      </c>
      <c r="I478">
        <f t="shared" si="85"/>
        <v>1.3675102161067934</v>
      </c>
      <c r="J478">
        <f t="shared" si="86"/>
        <v>2.4925693292173726E-4</v>
      </c>
      <c r="K478">
        <f t="shared" si="87"/>
        <v>6.5279829688718888E-3</v>
      </c>
      <c r="L478">
        <f t="shared" si="79"/>
        <v>0.59568925751896507</v>
      </c>
      <c r="M478">
        <f>IF(AND(MOD(C478,12)=1,D478&lt;='[1]Product parameters'!$C$2),I477*[1]model_point!$G$2,0)</f>
        <v>0</v>
      </c>
      <c r="N478">
        <f t="shared" si="80"/>
        <v>0</v>
      </c>
      <c r="O478">
        <f>[2]results_sample_product_cf!G477</f>
        <v>0</v>
      </c>
      <c r="P478">
        <f>[2]results_sample_product_cf!H477</f>
        <v>0</v>
      </c>
      <c r="Q478">
        <f t="shared" si="81"/>
        <v>0</v>
      </c>
      <c r="R478">
        <f t="shared" si="77"/>
        <v>0</v>
      </c>
    </row>
    <row r="479" spans="1:18" x14ac:dyDescent="0.3">
      <c r="A479">
        <f t="shared" si="82"/>
        <v>476</v>
      </c>
      <c r="B479">
        <f t="shared" si="83"/>
        <v>40</v>
      </c>
      <c r="C479">
        <f t="shared" si="84"/>
        <v>481</v>
      </c>
      <c r="D479">
        <f t="shared" si="78"/>
        <v>41</v>
      </c>
      <c r="E479">
        <f>[1]model_point!$C$2+D479-1</f>
        <v>45</v>
      </c>
      <c r="F479">
        <f>VLOOKUP(E479,'[1]202512 BE mortality'!$A:$C,3,0)</f>
        <v>8.6827401774231035E-3</v>
      </c>
      <c r="G479">
        <f>VLOOKUP(D479,'[1]202512 BE lapse'!$C:$D,2,0)</f>
        <v>6.2435349026564576E-3</v>
      </c>
      <c r="H479">
        <f>VLOOKUP($B479,'[1]202512 RFR'!$A:$B,2,0)</f>
        <v>0.02</v>
      </c>
      <c r="I479">
        <f t="shared" si="85"/>
        <v>1.3665167784164891</v>
      </c>
      <c r="J479">
        <f t="shared" si="86"/>
        <v>9.9343769030433714E-4</v>
      </c>
      <c r="K479">
        <f t="shared" si="87"/>
        <v>0</v>
      </c>
      <c r="L479">
        <f t="shared" si="79"/>
        <v>0.59470705047428163</v>
      </c>
      <c r="M479">
        <f>IF(AND(MOD(C479,12)=1,D479&lt;='[1]Product parameters'!$C$2),I478*[1]model_point!$G$2,0)</f>
        <v>0</v>
      </c>
      <c r="N479">
        <f t="shared" si="80"/>
        <v>0</v>
      </c>
      <c r="O479">
        <f>[2]results_sample_product_cf!G478</f>
        <v>0</v>
      </c>
      <c r="P479">
        <f>[2]results_sample_product_cf!H478</f>
        <v>0</v>
      </c>
      <c r="Q479">
        <f t="shared" si="81"/>
        <v>0</v>
      </c>
      <c r="R479">
        <f t="shared" si="77"/>
        <v>0</v>
      </c>
    </row>
    <row r="480" spans="1:18" x14ac:dyDescent="0.3">
      <c r="A480">
        <f t="shared" si="82"/>
        <v>477</v>
      </c>
      <c r="B480">
        <f t="shared" si="83"/>
        <v>40</v>
      </c>
      <c r="C480">
        <f t="shared" si="84"/>
        <v>482</v>
      </c>
      <c r="D480">
        <f t="shared" si="78"/>
        <v>41</v>
      </c>
      <c r="E480">
        <f>[1]model_point!$C$2+D480-1</f>
        <v>45</v>
      </c>
      <c r="F480">
        <f>VLOOKUP(E480,'[1]202512 BE mortality'!$A:$C,3,0)</f>
        <v>8.6827401774231035E-3</v>
      </c>
      <c r="G480">
        <f>VLOOKUP(D480,'[1]202512 BE lapse'!$C:$D,2,0)</f>
        <v>6.2435349026564576E-3</v>
      </c>
      <c r="H480">
        <f>VLOOKUP($B480,'[1]202512 RFR'!$A:$B,2,0)</f>
        <v>0.02</v>
      </c>
      <c r="I480">
        <f t="shared" si="85"/>
        <v>1.3655240624161824</v>
      </c>
      <c r="J480">
        <f t="shared" si="86"/>
        <v>9.9271600030678329E-4</v>
      </c>
      <c r="K480">
        <f t="shared" si="87"/>
        <v>0</v>
      </c>
      <c r="L480">
        <f t="shared" si="79"/>
        <v>0.59372646294961884</v>
      </c>
      <c r="M480">
        <f>IF(AND(MOD(C480,12)=1,D480&lt;='[1]Product parameters'!$C$2),I479*[1]model_point!$G$2,0)</f>
        <v>0</v>
      </c>
      <c r="N480">
        <f t="shared" si="80"/>
        <v>0</v>
      </c>
      <c r="O480">
        <f>[2]results_sample_product_cf!G479</f>
        <v>0</v>
      </c>
      <c r="P480">
        <f>[2]results_sample_product_cf!H479</f>
        <v>0</v>
      </c>
      <c r="Q480">
        <f t="shared" si="81"/>
        <v>0</v>
      </c>
      <c r="R480">
        <f t="shared" si="77"/>
        <v>0</v>
      </c>
    </row>
    <row r="481" spans="1:18" x14ac:dyDescent="0.3">
      <c r="A481">
        <f t="shared" si="82"/>
        <v>478</v>
      </c>
      <c r="B481">
        <f t="shared" si="83"/>
        <v>40</v>
      </c>
      <c r="C481">
        <f t="shared" si="84"/>
        <v>483</v>
      </c>
      <c r="D481">
        <f t="shared" si="78"/>
        <v>41</v>
      </c>
      <c r="E481">
        <f>[1]model_point!$C$2+D481-1</f>
        <v>45</v>
      </c>
      <c r="F481">
        <f>VLOOKUP(E481,'[1]202512 BE mortality'!$A:$C,3,0)</f>
        <v>8.6827401774231035E-3</v>
      </c>
      <c r="G481">
        <f>VLOOKUP(D481,'[1]202512 BE lapse'!$C:$D,2,0)</f>
        <v>6.2435349026564576E-3</v>
      </c>
      <c r="H481">
        <f>VLOOKUP($B481,'[1]202512 RFR'!$A:$B,2,0)</f>
        <v>0.02</v>
      </c>
      <c r="I481">
        <f t="shared" si="85"/>
        <v>1.3645320675815962</v>
      </c>
      <c r="J481">
        <f t="shared" si="86"/>
        <v>9.9199483458614949E-4</v>
      </c>
      <c r="K481">
        <f t="shared" si="87"/>
        <v>0</v>
      </c>
      <c r="L481">
        <f t="shared" si="79"/>
        <v>0.59274749227461798</v>
      </c>
      <c r="M481">
        <f>IF(AND(MOD(C481,12)=1,D481&lt;='[1]Product parameters'!$C$2),I480*[1]model_point!$G$2,0)</f>
        <v>0</v>
      </c>
      <c r="N481">
        <f t="shared" si="80"/>
        <v>0</v>
      </c>
      <c r="O481">
        <f>[2]results_sample_product_cf!G480</f>
        <v>0</v>
      </c>
      <c r="P481">
        <f>[2]results_sample_product_cf!H480</f>
        <v>0</v>
      </c>
      <c r="Q481">
        <f t="shared" si="81"/>
        <v>0</v>
      </c>
      <c r="R481">
        <f t="shared" si="77"/>
        <v>0</v>
      </c>
    </row>
    <row r="482" spans="1:18" x14ac:dyDescent="0.3">
      <c r="A482">
        <f t="shared" si="82"/>
        <v>479</v>
      </c>
      <c r="B482">
        <f t="shared" si="83"/>
        <v>40</v>
      </c>
      <c r="C482">
        <f t="shared" si="84"/>
        <v>484</v>
      </c>
      <c r="D482">
        <f t="shared" si="78"/>
        <v>41</v>
      </c>
      <c r="E482">
        <f>[1]model_point!$C$2+D482-1</f>
        <v>45</v>
      </c>
      <c r="F482">
        <f>VLOOKUP(E482,'[1]202512 BE mortality'!$A:$C,3,0)</f>
        <v>8.6827401774231035E-3</v>
      </c>
      <c r="G482">
        <f>VLOOKUP(D482,'[1]202512 BE lapse'!$C:$D,2,0)</f>
        <v>6.2435349026564576E-3</v>
      </c>
      <c r="H482">
        <f>VLOOKUP($B482,'[1]202512 RFR'!$A:$B,2,0)</f>
        <v>0.02</v>
      </c>
      <c r="I482">
        <f t="shared" si="85"/>
        <v>1.3635407933888346</v>
      </c>
      <c r="J482">
        <f t="shared" si="86"/>
        <v>9.912741927615707E-4</v>
      </c>
      <c r="K482">
        <f t="shared" si="87"/>
        <v>0</v>
      </c>
      <c r="L482">
        <f t="shared" si="79"/>
        <v>0.59177013578332349</v>
      </c>
      <c r="M482">
        <f>IF(AND(MOD(C482,12)=1,D482&lt;='[1]Product parameters'!$C$2),I481*[1]model_point!$G$2,0)</f>
        <v>0</v>
      </c>
      <c r="N482">
        <f t="shared" si="80"/>
        <v>0</v>
      </c>
      <c r="O482">
        <f>[2]results_sample_product_cf!G481</f>
        <v>0</v>
      </c>
      <c r="P482">
        <f>[2]results_sample_product_cf!H481</f>
        <v>0</v>
      </c>
      <c r="Q482">
        <f t="shared" si="81"/>
        <v>0</v>
      </c>
      <c r="R482">
        <f t="shared" si="77"/>
        <v>0</v>
      </c>
    </row>
    <row r="483" spans="1:18" x14ac:dyDescent="0.3">
      <c r="A483">
        <f t="shared" si="82"/>
        <v>480</v>
      </c>
      <c r="B483">
        <f t="shared" si="83"/>
        <v>40</v>
      </c>
      <c r="C483">
        <f t="shared" si="84"/>
        <v>485</v>
      </c>
      <c r="D483">
        <f t="shared" si="78"/>
        <v>41</v>
      </c>
      <c r="E483">
        <f>[1]model_point!$C$2+D483-1</f>
        <v>45</v>
      </c>
      <c r="F483">
        <f>VLOOKUP(E483,'[1]202512 BE mortality'!$A:$C,3,0)</f>
        <v>8.6827401774231035E-3</v>
      </c>
      <c r="G483">
        <f>VLOOKUP(D483,'[1]202512 BE lapse'!$C:$D,2,0)</f>
        <v>6.2435349026564576E-3</v>
      </c>
      <c r="H483">
        <f>VLOOKUP($B483,'[1]202512 RFR'!$A:$B,2,0)</f>
        <v>0.02</v>
      </c>
      <c r="I483">
        <f t="shared" si="85"/>
        <v>1.3625502393143822</v>
      </c>
      <c r="J483">
        <f t="shared" si="86"/>
        <v>9.9055407445245943E-4</v>
      </c>
      <c r="K483">
        <f t="shared" si="87"/>
        <v>0</v>
      </c>
      <c r="L483">
        <f t="shared" si="79"/>
        <v>0.5907943908141754</v>
      </c>
      <c r="M483">
        <f>IF(AND(MOD(C483,12)=1,D483&lt;='[1]Product parameters'!$C$2),I482*[1]model_point!$G$2,0)</f>
        <v>0</v>
      </c>
      <c r="N483">
        <f t="shared" si="80"/>
        <v>0</v>
      </c>
      <c r="O483">
        <f>[2]results_sample_product_cf!G482</f>
        <v>0</v>
      </c>
      <c r="P483">
        <f>[2]results_sample_product_cf!H482</f>
        <v>0</v>
      </c>
      <c r="Q483">
        <f t="shared" si="81"/>
        <v>0</v>
      </c>
      <c r="R483">
        <f t="shared" si="77"/>
        <v>0</v>
      </c>
    </row>
    <row r="484" spans="1:18" x14ac:dyDescent="0.3">
      <c r="A484">
        <f t="shared" si="82"/>
        <v>481</v>
      </c>
      <c r="B484">
        <f t="shared" si="83"/>
        <v>41</v>
      </c>
      <c r="C484">
        <f t="shared" si="84"/>
        <v>486</v>
      </c>
      <c r="D484">
        <f t="shared" si="78"/>
        <v>41</v>
      </c>
      <c r="E484">
        <f>[1]model_point!$C$2+D484-1</f>
        <v>45</v>
      </c>
      <c r="F484">
        <f>VLOOKUP(E484,'[1]202512 BE mortality'!$A:$C,3,0)</f>
        <v>8.6827401774231035E-3</v>
      </c>
      <c r="G484">
        <f>VLOOKUP(D484,'[1]202512 BE lapse'!$C:$D,2,0)</f>
        <v>6.2435349026564576E-3</v>
      </c>
      <c r="H484">
        <f>VLOOKUP($B484,'[1]202512 RFR'!$A:$B,2,0)</f>
        <v>0.02</v>
      </c>
      <c r="I484">
        <f t="shared" si="85"/>
        <v>1.3615604048351038</v>
      </c>
      <c r="J484">
        <f t="shared" si="86"/>
        <v>9.8983447927850359E-4</v>
      </c>
      <c r="K484">
        <f t="shared" si="87"/>
        <v>0</v>
      </c>
      <c r="L484">
        <f t="shared" si="79"/>
        <v>0.58982025471000255</v>
      </c>
      <c r="M484">
        <f>IF(AND(MOD(C484,12)=1,D484&lt;='[1]Product parameters'!$C$2),I483*[1]model_point!$G$2,0)</f>
        <v>0</v>
      </c>
      <c r="N484">
        <f t="shared" si="80"/>
        <v>0</v>
      </c>
      <c r="O484">
        <f>[2]results_sample_product_cf!G483</f>
        <v>0</v>
      </c>
      <c r="P484">
        <f>[2]results_sample_product_cf!H483</f>
        <v>0</v>
      </c>
      <c r="Q484">
        <f t="shared" si="81"/>
        <v>0</v>
      </c>
      <c r="R484">
        <f t="shared" si="77"/>
        <v>0</v>
      </c>
    </row>
    <row r="485" spans="1:18" x14ac:dyDescent="0.3">
      <c r="A485">
        <f t="shared" si="82"/>
        <v>482</v>
      </c>
      <c r="B485">
        <f t="shared" si="83"/>
        <v>41</v>
      </c>
      <c r="C485">
        <f t="shared" si="84"/>
        <v>487</v>
      </c>
      <c r="D485">
        <f t="shared" si="78"/>
        <v>41</v>
      </c>
      <c r="E485">
        <f>[1]model_point!$C$2+D485-1</f>
        <v>45</v>
      </c>
      <c r="F485">
        <f>VLOOKUP(E485,'[1]202512 BE mortality'!$A:$C,3,0)</f>
        <v>8.6827401774231035E-3</v>
      </c>
      <c r="G485">
        <f>VLOOKUP(D485,'[1]202512 BE lapse'!$C:$D,2,0)</f>
        <v>6.2435349026564576E-3</v>
      </c>
      <c r="H485">
        <f>VLOOKUP($B485,'[1]202512 RFR'!$A:$B,2,0)</f>
        <v>0.02</v>
      </c>
      <c r="I485">
        <f t="shared" si="85"/>
        <v>1.360571289428244</v>
      </c>
      <c r="J485">
        <f t="shared" si="86"/>
        <v>9.891154068596684E-4</v>
      </c>
      <c r="K485">
        <f t="shared" si="87"/>
        <v>0</v>
      </c>
      <c r="L485">
        <f t="shared" si="79"/>
        <v>0.58884772481801484</v>
      </c>
      <c r="M485">
        <f>IF(AND(MOD(C485,12)=1,D485&lt;='[1]Product parameters'!$C$2),I484*[1]model_point!$G$2,0)</f>
        <v>0</v>
      </c>
      <c r="N485">
        <f t="shared" si="80"/>
        <v>0</v>
      </c>
      <c r="O485">
        <f>[2]results_sample_product_cf!G484</f>
        <v>0</v>
      </c>
      <c r="P485">
        <f>[2]results_sample_product_cf!H484</f>
        <v>0</v>
      </c>
      <c r="Q485">
        <f t="shared" si="81"/>
        <v>0</v>
      </c>
      <c r="R485">
        <f t="shared" si="77"/>
        <v>0</v>
      </c>
    </row>
    <row r="486" spans="1:18" x14ac:dyDescent="0.3">
      <c r="A486">
        <f t="shared" si="82"/>
        <v>483</v>
      </c>
      <c r="B486">
        <f t="shared" si="83"/>
        <v>41</v>
      </c>
      <c r="C486">
        <f t="shared" si="84"/>
        <v>488</v>
      </c>
      <c r="D486">
        <f t="shared" si="78"/>
        <v>41</v>
      </c>
      <c r="E486">
        <f>[1]model_point!$C$2+D486-1</f>
        <v>45</v>
      </c>
      <c r="F486">
        <f>VLOOKUP(E486,'[1]202512 BE mortality'!$A:$C,3,0)</f>
        <v>8.6827401774231035E-3</v>
      </c>
      <c r="G486">
        <f>VLOOKUP(D486,'[1]202512 BE lapse'!$C:$D,2,0)</f>
        <v>6.2435349026564576E-3</v>
      </c>
      <c r="H486">
        <f>VLOOKUP($B486,'[1]202512 RFR'!$A:$B,2,0)</f>
        <v>0.02</v>
      </c>
      <c r="I486">
        <f t="shared" si="85"/>
        <v>1.3595828925714277</v>
      </c>
      <c r="J486">
        <f t="shared" si="86"/>
        <v>9.8839685681619384E-4</v>
      </c>
      <c r="K486">
        <f t="shared" si="87"/>
        <v>0</v>
      </c>
      <c r="L486">
        <f t="shared" si="79"/>
        <v>0.58787679848979635</v>
      </c>
      <c r="M486">
        <f>IF(AND(MOD(C486,12)=1,D486&lt;='[1]Product parameters'!$C$2),I485*[1]model_point!$G$2,0)</f>
        <v>0</v>
      </c>
      <c r="N486">
        <f t="shared" si="80"/>
        <v>0</v>
      </c>
      <c r="O486">
        <f>[2]results_sample_product_cf!G485</f>
        <v>0</v>
      </c>
      <c r="P486">
        <f>[2]results_sample_product_cf!H485</f>
        <v>0</v>
      </c>
      <c r="Q486">
        <f t="shared" si="81"/>
        <v>0</v>
      </c>
      <c r="R486">
        <f t="shared" si="77"/>
        <v>0</v>
      </c>
    </row>
    <row r="487" spans="1:18" x14ac:dyDescent="0.3">
      <c r="A487">
        <f t="shared" si="82"/>
        <v>484</v>
      </c>
      <c r="B487">
        <f t="shared" si="83"/>
        <v>41</v>
      </c>
      <c r="C487">
        <f t="shared" si="84"/>
        <v>489</v>
      </c>
      <c r="D487">
        <f t="shared" si="78"/>
        <v>41</v>
      </c>
      <c r="E487">
        <f>[1]model_point!$C$2+D487-1</f>
        <v>45</v>
      </c>
      <c r="F487">
        <f>VLOOKUP(E487,'[1]202512 BE mortality'!$A:$C,3,0)</f>
        <v>8.6827401774231035E-3</v>
      </c>
      <c r="G487">
        <f>VLOOKUP(D487,'[1]202512 BE lapse'!$C:$D,2,0)</f>
        <v>6.2435349026564576E-3</v>
      </c>
      <c r="H487">
        <f>VLOOKUP($B487,'[1]202512 RFR'!$A:$B,2,0)</f>
        <v>0.02</v>
      </c>
      <c r="I487">
        <f t="shared" si="85"/>
        <v>1.3585952137426591</v>
      </c>
      <c r="J487">
        <f t="shared" si="86"/>
        <v>9.8767882876859723E-4</v>
      </c>
      <c r="K487">
        <f t="shared" si="87"/>
        <v>0</v>
      </c>
      <c r="L487">
        <f t="shared" si="79"/>
        <v>0.58690747308129798</v>
      </c>
      <c r="M487">
        <f>IF(AND(MOD(C487,12)=1,D487&lt;='[1]Product parameters'!$C$2),I486*[1]model_point!$G$2,0)</f>
        <v>0</v>
      </c>
      <c r="N487">
        <f t="shared" si="80"/>
        <v>0</v>
      </c>
      <c r="O487">
        <f>[2]results_sample_product_cf!G486</f>
        <v>0</v>
      </c>
      <c r="P487">
        <f>[2]results_sample_product_cf!H486</f>
        <v>0</v>
      </c>
      <c r="Q487">
        <f t="shared" si="81"/>
        <v>0</v>
      </c>
      <c r="R487">
        <f t="shared" si="77"/>
        <v>0</v>
      </c>
    </row>
    <row r="488" spans="1:18" x14ac:dyDescent="0.3">
      <c r="A488">
        <f t="shared" si="82"/>
        <v>485</v>
      </c>
      <c r="B488">
        <f t="shared" si="83"/>
        <v>41</v>
      </c>
      <c r="C488">
        <f t="shared" si="84"/>
        <v>490</v>
      </c>
      <c r="D488">
        <f t="shared" si="78"/>
        <v>41</v>
      </c>
      <c r="E488">
        <f>[1]model_point!$C$2+D488-1</f>
        <v>45</v>
      </c>
      <c r="F488">
        <f>VLOOKUP(E488,'[1]202512 BE mortality'!$A:$C,3,0)</f>
        <v>8.6827401774231035E-3</v>
      </c>
      <c r="G488">
        <f>VLOOKUP(D488,'[1]202512 BE lapse'!$C:$D,2,0)</f>
        <v>6.2435349026564576E-3</v>
      </c>
      <c r="H488">
        <f>VLOOKUP($B488,'[1]202512 RFR'!$A:$B,2,0)</f>
        <v>0.02</v>
      </c>
      <c r="I488">
        <f t="shared" si="85"/>
        <v>1.3576082524203215</v>
      </c>
      <c r="J488">
        <f t="shared" si="86"/>
        <v>9.8696132233767062E-4</v>
      </c>
      <c r="K488">
        <f t="shared" si="87"/>
        <v>0</v>
      </c>
      <c r="L488">
        <f t="shared" si="79"/>
        <v>0.58593974595283038</v>
      </c>
      <c r="M488">
        <f>IF(AND(MOD(C488,12)=1,D488&lt;='[1]Product parameters'!$C$2),I487*[1]model_point!$G$2,0)</f>
        <v>0</v>
      </c>
      <c r="N488">
        <f t="shared" si="80"/>
        <v>0</v>
      </c>
      <c r="O488">
        <f>[2]results_sample_product_cf!G487</f>
        <v>0</v>
      </c>
      <c r="P488">
        <f>[2]results_sample_product_cf!H487</f>
        <v>0</v>
      </c>
      <c r="Q488">
        <f t="shared" si="81"/>
        <v>0</v>
      </c>
      <c r="R488">
        <f t="shared" si="77"/>
        <v>0</v>
      </c>
    </row>
    <row r="489" spans="1:18" x14ac:dyDescent="0.3">
      <c r="A489">
        <f t="shared" si="82"/>
        <v>486</v>
      </c>
      <c r="B489">
        <f t="shared" si="83"/>
        <v>41</v>
      </c>
      <c r="C489">
        <f t="shared" si="84"/>
        <v>491</v>
      </c>
      <c r="D489">
        <f t="shared" si="78"/>
        <v>41</v>
      </c>
      <c r="E489">
        <f>[1]model_point!$C$2+D489-1</f>
        <v>45</v>
      </c>
      <c r="F489">
        <f>VLOOKUP(E489,'[1]202512 BE mortality'!$A:$C,3,0)</f>
        <v>8.6827401774231035E-3</v>
      </c>
      <c r="G489">
        <f>VLOOKUP(D489,'[1]202512 BE lapse'!$C:$D,2,0)</f>
        <v>6.2435349026564576E-3</v>
      </c>
      <c r="H489">
        <f>VLOOKUP($B489,'[1]202512 RFR'!$A:$B,2,0)</f>
        <v>0.02</v>
      </c>
      <c r="I489">
        <f t="shared" si="85"/>
        <v>1.356622008083177</v>
      </c>
      <c r="J489">
        <f t="shared" si="86"/>
        <v>9.8624433714448209E-4</v>
      </c>
      <c r="K489">
        <f t="shared" si="87"/>
        <v>0</v>
      </c>
      <c r="L489">
        <f t="shared" si="79"/>
        <v>0.5849736144690566</v>
      </c>
      <c r="M489">
        <f>IF(AND(MOD(C489,12)=1,D489&lt;='[1]Product parameters'!$C$2),I488*[1]model_point!$G$2,0)</f>
        <v>0</v>
      </c>
      <c r="N489">
        <f t="shared" si="80"/>
        <v>0</v>
      </c>
      <c r="O489">
        <f>[2]results_sample_product_cf!G488</f>
        <v>0</v>
      </c>
      <c r="P489">
        <f>[2]results_sample_product_cf!H488</f>
        <v>0</v>
      </c>
      <c r="Q489">
        <f t="shared" si="81"/>
        <v>0</v>
      </c>
      <c r="R489">
        <f t="shared" si="77"/>
        <v>0</v>
      </c>
    </row>
    <row r="490" spans="1:18" x14ac:dyDescent="0.3">
      <c r="A490">
        <f t="shared" si="82"/>
        <v>487</v>
      </c>
      <c r="B490">
        <f t="shared" si="83"/>
        <v>41</v>
      </c>
      <c r="C490">
        <f t="shared" si="84"/>
        <v>492</v>
      </c>
      <c r="D490">
        <f t="shared" si="78"/>
        <v>41</v>
      </c>
      <c r="E490">
        <f>[1]model_point!$C$2+D490-1</f>
        <v>45</v>
      </c>
      <c r="F490">
        <f>VLOOKUP(E490,'[1]202512 BE mortality'!$A:$C,3,0)</f>
        <v>8.6827401774231035E-3</v>
      </c>
      <c r="G490">
        <f>VLOOKUP(D490,'[1]202512 BE lapse'!$C:$D,2,0)</f>
        <v>6.2435349026564576E-3</v>
      </c>
      <c r="H490">
        <f>VLOOKUP($B490,'[1]202512 RFR'!$A:$B,2,0)</f>
        <v>0.02</v>
      </c>
      <c r="I490">
        <f t="shared" si="85"/>
        <v>1.3471725165308588</v>
      </c>
      <c r="J490">
        <f t="shared" si="86"/>
        <v>9.8552787281037425E-4</v>
      </c>
      <c r="K490">
        <f t="shared" si="87"/>
        <v>8.4639636795077744E-3</v>
      </c>
      <c r="L490">
        <f t="shared" si="79"/>
        <v>0.58400907599898499</v>
      </c>
      <c r="M490">
        <f>IF(AND(MOD(C490,12)=1,D490&lt;='[1]Product parameters'!$C$2),I489*[1]model_point!$G$2,0)</f>
        <v>0</v>
      </c>
      <c r="N490">
        <f t="shared" si="80"/>
        <v>0</v>
      </c>
      <c r="O490">
        <f>[2]results_sample_product_cf!G489</f>
        <v>0</v>
      </c>
      <c r="P490">
        <f>[2]results_sample_product_cf!H489</f>
        <v>0</v>
      </c>
      <c r="Q490">
        <f t="shared" si="81"/>
        <v>0</v>
      </c>
      <c r="R490">
        <f t="shared" si="77"/>
        <v>0</v>
      </c>
    </row>
    <row r="491" spans="1:18" x14ac:dyDescent="0.3">
      <c r="A491">
        <f t="shared" si="82"/>
        <v>488</v>
      </c>
      <c r="B491">
        <f t="shared" si="83"/>
        <v>41</v>
      </c>
      <c r="C491">
        <f t="shared" si="84"/>
        <v>493</v>
      </c>
      <c r="D491">
        <f t="shared" si="78"/>
        <v>42</v>
      </c>
      <c r="E491">
        <f>[1]model_point!$C$2+D491-1</f>
        <v>46</v>
      </c>
      <c r="F491">
        <f>VLOOKUP(E491,'[1]202512 BE mortality'!$A:$C,3,0)</f>
        <v>4.9787001135619489E-3</v>
      </c>
      <c r="G491">
        <f>VLOOKUP(D491,'[1]202512 BE lapse'!$C:$D,2,0)</f>
        <v>8.8850253398979687E-3</v>
      </c>
      <c r="H491">
        <f>VLOOKUP($B491,'[1]202512 RFR'!$A:$B,2,0)</f>
        <v>0.02</v>
      </c>
      <c r="I491">
        <f t="shared" si="85"/>
        <v>1.3466123063694924</v>
      </c>
      <c r="J491">
        <f t="shared" si="86"/>
        <v>5.6021016136632731E-4</v>
      </c>
      <c r="K491">
        <f t="shared" si="87"/>
        <v>0</v>
      </c>
      <c r="L491">
        <f t="shared" si="79"/>
        <v>0.583046127915962</v>
      </c>
      <c r="M491">
        <f>IF(AND(MOD(C491,12)=1,D491&lt;='[1]Product parameters'!$C$2),I490*[1]model_point!$G$2,0)</f>
        <v>0</v>
      </c>
      <c r="N491">
        <f t="shared" si="80"/>
        <v>0</v>
      </c>
      <c r="O491">
        <f>[2]results_sample_product_cf!G490</f>
        <v>0</v>
      </c>
      <c r="P491">
        <f>[2]results_sample_product_cf!H490</f>
        <v>0</v>
      </c>
      <c r="Q491">
        <f t="shared" si="81"/>
        <v>0</v>
      </c>
      <c r="R491">
        <f t="shared" si="77"/>
        <v>0</v>
      </c>
    </row>
    <row r="492" spans="1:18" x14ac:dyDescent="0.3">
      <c r="A492">
        <f t="shared" si="82"/>
        <v>489</v>
      </c>
      <c r="B492">
        <f t="shared" si="83"/>
        <v>41</v>
      </c>
      <c r="C492">
        <f t="shared" si="84"/>
        <v>494</v>
      </c>
      <c r="D492">
        <f t="shared" si="78"/>
        <v>42</v>
      </c>
      <c r="E492">
        <f>[1]model_point!$C$2+D492-1</f>
        <v>46</v>
      </c>
      <c r="F492">
        <f>VLOOKUP(E492,'[1]202512 BE mortality'!$A:$C,3,0)</f>
        <v>4.9787001135619489E-3</v>
      </c>
      <c r="G492">
        <f>VLOOKUP(D492,'[1]202512 BE lapse'!$C:$D,2,0)</f>
        <v>8.8850253398979687E-3</v>
      </c>
      <c r="H492">
        <f>VLOOKUP($B492,'[1]202512 RFR'!$A:$B,2,0)</f>
        <v>0.02</v>
      </c>
      <c r="I492">
        <f t="shared" si="85"/>
        <v>1.3460523291667272</v>
      </c>
      <c r="J492">
        <f t="shared" si="86"/>
        <v>5.5997720276522228E-4</v>
      </c>
      <c r="K492">
        <f t="shared" si="87"/>
        <v>0</v>
      </c>
      <c r="L492">
        <f t="shared" si="79"/>
        <v>0.58208476759766514</v>
      </c>
      <c r="M492">
        <f>IF(AND(MOD(C492,12)=1,D492&lt;='[1]Product parameters'!$C$2),I491*[1]model_point!$G$2,0)</f>
        <v>0</v>
      </c>
      <c r="N492">
        <f t="shared" si="80"/>
        <v>0</v>
      </c>
      <c r="O492">
        <f>[2]results_sample_product_cf!G491</f>
        <v>0</v>
      </c>
      <c r="P492">
        <f>[2]results_sample_product_cf!H491</f>
        <v>0</v>
      </c>
      <c r="Q492">
        <f t="shared" si="81"/>
        <v>0</v>
      </c>
      <c r="R492">
        <f t="shared" si="77"/>
        <v>0</v>
      </c>
    </row>
    <row r="493" spans="1:18" x14ac:dyDescent="0.3">
      <c r="A493">
        <f t="shared" si="82"/>
        <v>490</v>
      </c>
      <c r="B493">
        <f t="shared" si="83"/>
        <v>41</v>
      </c>
      <c r="C493">
        <f t="shared" si="84"/>
        <v>495</v>
      </c>
      <c r="D493">
        <f t="shared" si="78"/>
        <v>42</v>
      </c>
      <c r="E493">
        <f>[1]model_point!$C$2+D493-1</f>
        <v>46</v>
      </c>
      <c r="F493">
        <f>VLOOKUP(E493,'[1]202512 BE mortality'!$A:$C,3,0)</f>
        <v>4.9787001135619489E-3</v>
      </c>
      <c r="G493">
        <f>VLOOKUP(D493,'[1]202512 BE lapse'!$C:$D,2,0)</f>
        <v>8.8850253398979687E-3</v>
      </c>
      <c r="H493">
        <f>VLOOKUP($B493,'[1]202512 RFR'!$A:$B,2,0)</f>
        <v>0.02</v>
      </c>
      <c r="I493">
        <f t="shared" si="85"/>
        <v>1.3454925848256893</v>
      </c>
      <c r="J493">
        <f t="shared" si="86"/>
        <v>5.597443410379579E-4</v>
      </c>
      <c r="K493">
        <f t="shared" si="87"/>
        <v>0</v>
      </c>
      <c r="L493">
        <f t="shared" si="79"/>
        <v>0.58112499242609572</v>
      </c>
      <c r="M493">
        <f>IF(AND(MOD(C493,12)=1,D493&lt;='[1]Product parameters'!$C$2),I492*[1]model_point!$G$2,0)</f>
        <v>0</v>
      </c>
      <c r="N493">
        <f t="shared" si="80"/>
        <v>0</v>
      </c>
      <c r="O493">
        <f>[2]results_sample_product_cf!G492</f>
        <v>0</v>
      </c>
      <c r="P493">
        <f>[2]results_sample_product_cf!H492</f>
        <v>0</v>
      </c>
      <c r="Q493">
        <f t="shared" si="81"/>
        <v>0</v>
      </c>
      <c r="R493">
        <f t="shared" si="77"/>
        <v>0</v>
      </c>
    </row>
    <row r="494" spans="1:18" x14ac:dyDescent="0.3">
      <c r="A494">
        <f t="shared" si="82"/>
        <v>491</v>
      </c>
      <c r="B494">
        <f t="shared" si="83"/>
        <v>41</v>
      </c>
      <c r="C494">
        <f t="shared" si="84"/>
        <v>496</v>
      </c>
      <c r="D494">
        <f t="shared" si="78"/>
        <v>42</v>
      </c>
      <c r="E494">
        <f>[1]model_point!$C$2+D494-1</f>
        <v>46</v>
      </c>
      <c r="F494">
        <f>VLOOKUP(E494,'[1]202512 BE mortality'!$A:$C,3,0)</f>
        <v>4.9787001135619489E-3</v>
      </c>
      <c r="G494">
        <f>VLOOKUP(D494,'[1]202512 BE lapse'!$C:$D,2,0)</f>
        <v>8.8850253398979687E-3</v>
      </c>
      <c r="H494">
        <f>VLOOKUP($B494,'[1]202512 RFR'!$A:$B,2,0)</f>
        <v>0.02</v>
      </c>
      <c r="I494">
        <f t="shared" si="85"/>
        <v>1.344933073249545</v>
      </c>
      <c r="J494">
        <f t="shared" si="86"/>
        <v>5.5951157614424977E-4</v>
      </c>
      <c r="K494">
        <f t="shared" si="87"/>
        <v>0</v>
      </c>
      <c r="L494">
        <f t="shared" si="79"/>
        <v>0.58016679978757169</v>
      </c>
      <c r="M494">
        <f>IF(AND(MOD(C494,12)=1,D494&lt;='[1]Product parameters'!$C$2),I493*[1]model_point!$G$2,0)</f>
        <v>0</v>
      </c>
      <c r="N494">
        <f t="shared" si="80"/>
        <v>0</v>
      </c>
      <c r="O494">
        <f>[2]results_sample_product_cf!G493</f>
        <v>0</v>
      </c>
      <c r="P494">
        <f>[2]results_sample_product_cf!H493</f>
        <v>0</v>
      </c>
      <c r="Q494">
        <f t="shared" si="81"/>
        <v>0</v>
      </c>
      <c r="R494">
        <f t="shared" si="77"/>
        <v>0</v>
      </c>
    </row>
    <row r="495" spans="1:18" x14ac:dyDescent="0.3">
      <c r="A495">
        <f t="shared" si="82"/>
        <v>492</v>
      </c>
      <c r="B495">
        <f t="shared" si="83"/>
        <v>41</v>
      </c>
      <c r="C495">
        <f t="shared" si="84"/>
        <v>497</v>
      </c>
      <c r="D495">
        <f t="shared" si="78"/>
        <v>42</v>
      </c>
      <c r="E495">
        <f>[1]model_point!$C$2+D495-1</f>
        <v>46</v>
      </c>
      <c r="F495">
        <f>VLOOKUP(E495,'[1]202512 BE mortality'!$A:$C,3,0)</f>
        <v>4.9787001135619489E-3</v>
      </c>
      <c r="G495">
        <f>VLOOKUP(D495,'[1]202512 BE lapse'!$C:$D,2,0)</f>
        <v>8.8850253398979687E-3</v>
      </c>
      <c r="H495">
        <f>VLOOKUP($B495,'[1]202512 RFR'!$A:$B,2,0)</f>
        <v>0.02</v>
      </c>
      <c r="I495">
        <f t="shared" si="85"/>
        <v>1.3443737943415013</v>
      </c>
      <c r="J495">
        <f t="shared" si="86"/>
        <v>5.5927890804383063E-4</v>
      </c>
      <c r="K495">
        <f t="shared" si="87"/>
        <v>0</v>
      </c>
      <c r="L495">
        <f t="shared" si="79"/>
        <v>0.57921018707272065</v>
      </c>
      <c r="M495">
        <f>IF(AND(MOD(C495,12)=1,D495&lt;='[1]Product parameters'!$C$2),I494*[1]model_point!$G$2,0)</f>
        <v>0</v>
      </c>
      <c r="N495">
        <f t="shared" si="80"/>
        <v>0</v>
      </c>
      <c r="O495">
        <f>[2]results_sample_product_cf!G494</f>
        <v>0</v>
      </c>
      <c r="P495">
        <f>[2]results_sample_product_cf!H494</f>
        <v>0</v>
      </c>
      <c r="Q495">
        <f t="shared" si="81"/>
        <v>0</v>
      </c>
      <c r="R495">
        <f t="shared" si="77"/>
        <v>0</v>
      </c>
    </row>
    <row r="496" spans="1:18" x14ac:dyDescent="0.3">
      <c r="A496">
        <f t="shared" si="82"/>
        <v>493</v>
      </c>
      <c r="B496">
        <f t="shared" si="83"/>
        <v>42</v>
      </c>
      <c r="C496">
        <f t="shared" si="84"/>
        <v>498</v>
      </c>
      <c r="D496">
        <f t="shared" si="78"/>
        <v>42</v>
      </c>
      <c r="E496">
        <f>[1]model_point!$C$2+D496-1</f>
        <v>46</v>
      </c>
      <c r="F496">
        <f>VLOOKUP(E496,'[1]202512 BE mortality'!$A:$C,3,0)</f>
        <v>4.9787001135619489E-3</v>
      </c>
      <c r="G496">
        <f>VLOOKUP(D496,'[1]202512 BE lapse'!$C:$D,2,0)</f>
        <v>8.8850253398979687E-3</v>
      </c>
      <c r="H496">
        <f>VLOOKUP($B496,'[1]202512 RFR'!$A:$B,2,0)</f>
        <v>0.02</v>
      </c>
      <c r="I496">
        <f t="shared" si="85"/>
        <v>1.3438147480048048</v>
      </c>
      <c r="J496">
        <f t="shared" si="86"/>
        <v>5.5904633669644991E-4</v>
      </c>
      <c r="K496">
        <f t="shared" si="87"/>
        <v>0</v>
      </c>
      <c r="L496">
        <f t="shared" si="79"/>
        <v>0.57825515167647279</v>
      </c>
      <c r="M496">
        <f>IF(AND(MOD(C496,12)=1,D496&lt;='[1]Product parameters'!$C$2),I495*[1]model_point!$G$2,0)</f>
        <v>0</v>
      </c>
      <c r="N496">
        <f t="shared" si="80"/>
        <v>0</v>
      </c>
      <c r="O496">
        <f>[2]results_sample_product_cf!G495</f>
        <v>0</v>
      </c>
      <c r="P496">
        <f>[2]results_sample_product_cf!H495</f>
        <v>0</v>
      </c>
      <c r="Q496">
        <f t="shared" si="81"/>
        <v>0</v>
      </c>
      <c r="R496">
        <f t="shared" si="77"/>
        <v>0</v>
      </c>
    </row>
    <row r="497" spans="1:18" x14ac:dyDescent="0.3">
      <c r="A497">
        <f t="shared" si="82"/>
        <v>494</v>
      </c>
      <c r="B497">
        <f t="shared" si="83"/>
        <v>42</v>
      </c>
      <c r="C497">
        <f t="shared" si="84"/>
        <v>499</v>
      </c>
      <c r="D497">
        <f t="shared" si="78"/>
        <v>42</v>
      </c>
      <c r="E497">
        <f>[1]model_point!$C$2+D497-1</f>
        <v>46</v>
      </c>
      <c r="F497">
        <f>VLOOKUP(E497,'[1]202512 BE mortality'!$A:$C,3,0)</f>
        <v>4.9787001135619489E-3</v>
      </c>
      <c r="G497">
        <f>VLOOKUP(D497,'[1]202512 BE lapse'!$C:$D,2,0)</f>
        <v>8.8850253398979687E-3</v>
      </c>
      <c r="H497">
        <f>VLOOKUP($B497,'[1]202512 RFR'!$A:$B,2,0)</f>
        <v>0.02</v>
      </c>
      <c r="I497">
        <f t="shared" si="85"/>
        <v>1.343255934142743</v>
      </c>
      <c r="J497">
        <f t="shared" si="86"/>
        <v>5.588138620618734E-4</v>
      </c>
      <c r="K497">
        <f t="shared" si="87"/>
        <v>0</v>
      </c>
      <c r="L497">
        <f t="shared" si="79"/>
        <v>0.57730169099805351</v>
      </c>
      <c r="M497">
        <f>IF(AND(MOD(C497,12)=1,D497&lt;='[1]Product parameters'!$C$2),I496*[1]model_point!$G$2,0)</f>
        <v>0</v>
      </c>
      <c r="N497">
        <f t="shared" si="80"/>
        <v>0</v>
      </c>
      <c r="O497">
        <f>[2]results_sample_product_cf!G496</f>
        <v>0</v>
      </c>
      <c r="P497">
        <f>[2]results_sample_product_cf!H496</f>
        <v>0</v>
      </c>
      <c r="Q497">
        <f t="shared" si="81"/>
        <v>0</v>
      </c>
      <c r="R497">
        <f t="shared" si="77"/>
        <v>0</v>
      </c>
    </row>
    <row r="498" spans="1:18" x14ac:dyDescent="0.3">
      <c r="A498">
        <f t="shared" si="82"/>
        <v>495</v>
      </c>
      <c r="B498">
        <f t="shared" si="83"/>
        <v>42</v>
      </c>
      <c r="C498">
        <f t="shared" si="84"/>
        <v>500</v>
      </c>
      <c r="D498">
        <f t="shared" si="78"/>
        <v>42</v>
      </c>
      <c r="E498">
        <f>[1]model_point!$C$2+D498-1</f>
        <v>46</v>
      </c>
      <c r="F498">
        <f>VLOOKUP(E498,'[1]202512 BE mortality'!$A:$C,3,0)</f>
        <v>4.9787001135619489E-3</v>
      </c>
      <c r="G498">
        <f>VLOOKUP(D498,'[1]202512 BE lapse'!$C:$D,2,0)</f>
        <v>8.8850253398979687E-3</v>
      </c>
      <c r="H498">
        <f>VLOOKUP($B498,'[1]202512 RFR'!$A:$B,2,0)</f>
        <v>0.02</v>
      </c>
      <c r="I498">
        <f t="shared" si="85"/>
        <v>1.3426973526586432</v>
      </c>
      <c r="J498">
        <f t="shared" si="86"/>
        <v>5.5858148409988415E-4</v>
      </c>
      <c r="K498">
        <f t="shared" si="87"/>
        <v>0</v>
      </c>
      <c r="L498">
        <f t="shared" si="79"/>
        <v>0.57634980244097656</v>
      </c>
      <c r="M498">
        <f>IF(AND(MOD(C498,12)=1,D498&lt;='[1]Product parameters'!$C$2),I497*[1]model_point!$G$2,0)</f>
        <v>0</v>
      </c>
      <c r="N498">
        <f t="shared" si="80"/>
        <v>0</v>
      </c>
      <c r="O498">
        <f>[2]results_sample_product_cf!G497</f>
        <v>0</v>
      </c>
      <c r="P498">
        <f>[2]results_sample_product_cf!H497</f>
        <v>0</v>
      </c>
      <c r="Q498">
        <f t="shared" si="81"/>
        <v>0</v>
      </c>
      <c r="R498">
        <f t="shared" si="77"/>
        <v>0</v>
      </c>
    </row>
    <row r="499" spans="1:18" x14ac:dyDescent="0.3">
      <c r="A499">
        <f t="shared" si="82"/>
        <v>496</v>
      </c>
      <c r="B499">
        <f t="shared" si="83"/>
        <v>42</v>
      </c>
      <c r="C499">
        <f t="shared" si="84"/>
        <v>501</v>
      </c>
      <c r="D499">
        <f t="shared" si="78"/>
        <v>42</v>
      </c>
      <c r="E499">
        <f>[1]model_point!$C$2+D499-1</f>
        <v>46</v>
      </c>
      <c r="F499">
        <f>VLOOKUP(E499,'[1]202512 BE mortality'!$A:$C,3,0)</f>
        <v>4.9787001135619489E-3</v>
      </c>
      <c r="G499">
        <f>VLOOKUP(D499,'[1]202512 BE lapse'!$C:$D,2,0)</f>
        <v>8.8850253398979687E-3</v>
      </c>
      <c r="H499">
        <f>VLOOKUP($B499,'[1]202512 RFR'!$A:$B,2,0)</f>
        <v>0.02</v>
      </c>
      <c r="I499">
        <f t="shared" si="85"/>
        <v>1.3421390034558729</v>
      </c>
      <c r="J499">
        <f t="shared" si="86"/>
        <v>5.5834920277028155E-4</v>
      </c>
      <c r="K499">
        <f t="shared" si="87"/>
        <v>0</v>
      </c>
      <c r="L499">
        <f t="shared" si="79"/>
        <v>0.57539948341303704</v>
      </c>
      <c r="M499">
        <f>IF(AND(MOD(C499,12)=1,D499&lt;='[1]Product parameters'!$C$2),I498*[1]model_point!$G$2,0)</f>
        <v>0</v>
      </c>
      <c r="N499">
        <f t="shared" si="80"/>
        <v>0</v>
      </c>
      <c r="O499">
        <f>[2]results_sample_product_cf!G498</f>
        <v>0</v>
      </c>
      <c r="P499">
        <f>[2]results_sample_product_cf!H498</f>
        <v>0</v>
      </c>
      <c r="Q499">
        <f t="shared" si="81"/>
        <v>0</v>
      </c>
      <c r="R499">
        <f t="shared" si="77"/>
        <v>0</v>
      </c>
    </row>
    <row r="500" spans="1:18" x14ac:dyDescent="0.3">
      <c r="A500">
        <f t="shared" si="82"/>
        <v>497</v>
      </c>
      <c r="B500">
        <f t="shared" si="83"/>
        <v>42</v>
      </c>
      <c r="C500">
        <f t="shared" si="84"/>
        <v>502</v>
      </c>
      <c r="D500">
        <f t="shared" si="78"/>
        <v>42</v>
      </c>
      <c r="E500">
        <f>[1]model_point!$C$2+D500-1</f>
        <v>46</v>
      </c>
      <c r="F500">
        <f>VLOOKUP(E500,'[1]202512 BE mortality'!$A:$C,3,0)</f>
        <v>4.9787001135619489E-3</v>
      </c>
      <c r="G500">
        <f>VLOOKUP(D500,'[1]202512 BE lapse'!$C:$D,2,0)</f>
        <v>8.8850253398979687E-3</v>
      </c>
      <c r="H500">
        <f>VLOOKUP($B500,'[1]202512 RFR'!$A:$B,2,0)</f>
        <v>0.02</v>
      </c>
      <c r="I500">
        <f t="shared" si="85"/>
        <v>1.34158088643784</v>
      </c>
      <c r="J500">
        <f t="shared" si="86"/>
        <v>5.5811701803288195E-4</v>
      </c>
      <c r="K500">
        <f t="shared" si="87"/>
        <v>0</v>
      </c>
      <c r="L500">
        <f t="shared" si="79"/>
        <v>0.57445073132630409</v>
      </c>
      <c r="M500">
        <f>IF(AND(MOD(C500,12)=1,D500&lt;='[1]Product parameters'!$C$2),I499*[1]model_point!$G$2,0)</f>
        <v>0</v>
      </c>
      <c r="N500">
        <f t="shared" si="80"/>
        <v>0</v>
      </c>
      <c r="O500">
        <f>[2]results_sample_product_cf!G499</f>
        <v>0</v>
      </c>
      <c r="P500">
        <f>[2]results_sample_product_cf!H499</f>
        <v>0</v>
      </c>
      <c r="Q500">
        <f t="shared" si="81"/>
        <v>0</v>
      </c>
      <c r="R500">
        <f t="shared" si="77"/>
        <v>0</v>
      </c>
    </row>
    <row r="501" spans="1:18" x14ac:dyDescent="0.3">
      <c r="A501">
        <f t="shared" si="82"/>
        <v>498</v>
      </c>
      <c r="B501">
        <f t="shared" si="83"/>
        <v>42</v>
      </c>
      <c r="C501">
        <f t="shared" si="84"/>
        <v>503</v>
      </c>
      <c r="D501">
        <f t="shared" si="78"/>
        <v>42</v>
      </c>
      <c r="E501">
        <f>[1]model_point!$C$2+D501-1</f>
        <v>46</v>
      </c>
      <c r="F501">
        <f>VLOOKUP(E501,'[1]202512 BE mortality'!$A:$C,3,0)</f>
        <v>4.9787001135619489E-3</v>
      </c>
      <c r="G501">
        <f>VLOOKUP(D501,'[1]202512 BE lapse'!$C:$D,2,0)</f>
        <v>8.8850253398979687E-3</v>
      </c>
      <c r="H501">
        <f>VLOOKUP($B501,'[1]202512 RFR'!$A:$B,2,0)</f>
        <v>0.02</v>
      </c>
      <c r="I501">
        <f t="shared" si="85"/>
        <v>1.3410230015079925</v>
      </c>
      <c r="J501">
        <f t="shared" si="86"/>
        <v>5.5788492984751824E-4</v>
      </c>
      <c r="K501">
        <f t="shared" si="87"/>
        <v>0</v>
      </c>
      <c r="L501">
        <f t="shared" si="79"/>
        <v>0.57350354359711408</v>
      </c>
      <c r="M501">
        <f>IF(AND(MOD(C501,12)=1,D501&lt;='[1]Product parameters'!$C$2),I500*[1]model_point!$G$2,0)</f>
        <v>0</v>
      </c>
      <c r="N501">
        <f t="shared" si="80"/>
        <v>0</v>
      </c>
      <c r="O501">
        <f>[2]results_sample_product_cf!G500</f>
        <v>0</v>
      </c>
      <c r="P501">
        <f>[2]results_sample_product_cf!H500</f>
        <v>0</v>
      </c>
      <c r="Q501">
        <f t="shared" si="81"/>
        <v>0</v>
      </c>
      <c r="R501">
        <f t="shared" si="77"/>
        <v>0</v>
      </c>
    </row>
    <row r="502" spans="1:18" x14ac:dyDescent="0.3">
      <c r="A502">
        <f t="shared" si="82"/>
        <v>499</v>
      </c>
      <c r="B502">
        <f t="shared" si="83"/>
        <v>42</v>
      </c>
      <c r="C502">
        <f t="shared" si="84"/>
        <v>504</v>
      </c>
      <c r="D502">
        <f t="shared" si="78"/>
        <v>42</v>
      </c>
      <c r="E502">
        <f>[1]model_point!$C$2+D502-1</f>
        <v>46</v>
      </c>
      <c r="F502">
        <f>VLOOKUP(E502,'[1]202512 BE mortality'!$A:$C,3,0)</f>
        <v>4.9787001135619489E-3</v>
      </c>
      <c r="G502">
        <f>VLOOKUP(D502,'[1]202512 BE lapse'!$C:$D,2,0)</f>
        <v>8.8850253398979687E-3</v>
      </c>
      <c r="H502">
        <f>VLOOKUP($B502,'[1]202512 RFR'!$A:$B,2,0)</f>
        <v>0.02</v>
      </c>
      <c r="I502">
        <f t="shared" si="85"/>
        <v>1.3285552799805203</v>
      </c>
      <c r="J502">
        <f t="shared" si="86"/>
        <v>5.5765293817404014E-4</v>
      </c>
      <c r="K502">
        <f t="shared" si="87"/>
        <v>1.1910068589297999E-2</v>
      </c>
      <c r="L502">
        <f t="shared" si="79"/>
        <v>0.57255791764606345</v>
      </c>
      <c r="M502">
        <f>IF(AND(MOD(C502,12)=1,D502&lt;='[1]Product parameters'!$C$2),I501*[1]model_point!$G$2,0)</f>
        <v>0</v>
      </c>
      <c r="N502">
        <f t="shared" si="80"/>
        <v>0</v>
      </c>
      <c r="O502">
        <f>[2]results_sample_product_cf!G501</f>
        <v>0</v>
      </c>
      <c r="P502">
        <f>[2]results_sample_product_cf!H501</f>
        <v>0</v>
      </c>
      <c r="Q502">
        <f t="shared" si="81"/>
        <v>0</v>
      </c>
      <c r="R502">
        <f t="shared" si="77"/>
        <v>0</v>
      </c>
    </row>
    <row r="503" spans="1:18" x14ac:dyDescent="0.3">
      <c r="A503">
        <f t="shared" si="82"/>
        <v>500</v>
      </c>
      <c r="B503">
        <f t="shared" si="83"/>
        <v>42</v>
      </c>
      <c r="C503">
        <f t="shared" si="84"/>
        <v>505</v>
      </c>
      <c r="D503">
        <f t="shared" si="78"/>
        <v>43</v>
      </c>
      <c r="E503">
        <f>[1]model_point!$C$2+D503-1</f>
        <v>47</v>
      </c>
      <c r="F503">
        <f>VLOOKUP(E503,'[1]202512 BE mortality'!$A:$C,3,0)</f>
        <v>9.1304713855402553E-3</v>
      </c>
      <c r="G503">
        <f>VLOOKUP(D503,'[1]202512 BE lapse'!$C:$D,2,0)</f>
        <v>6.3922952378580242E-3</v>
      </c>
      <c r="H503">
        <f>VLOOKUP($B503,'[1]202512 RFR'!$A:$B,2,0)</f>
        <v>0.02</v>
      </c>
      <c r="I503">
        <f t="shared" si="85"/>
        <v>1.3275401635559414</v>
      </c>
      <c r="J503">
        <f t="shared" si="86"/>
        <v>1.0151164245787514E-3</v>
      </c>
      <c r="K503">
        <f t="shared" si="87"/>
        <v>0</v>
      </c>
      <c r="L503">
        <f t="shared" si="79"/>
        <v>0.57161385089800165</v>
      </c>
      <c r="M503">
        <f>IF(AND(MOD(C503,12)=1,D503&lt;='[1]Product parameters'!$C$2),I502*[1]model_point!$G$2,0)</f>
        <v>0</v>
      </c>
      <c r="N503">
        <f t="shared" si="80"/>
        <v>0</v>
      </c>
      <c r="O503">
        <f>[2]results_sample_product_cf!G502</f>
        <v>0</v>
      </c>
      <c r="P503">
        <f>[2]results_sample_product_cf!H502</f>
        <v>0</v>
      </c>
      <c r="Q503">
        <f t="shared" si="81"/>
        <v>0</v>
      </c>
      <c r="R503">
        <f t="shared" si="77"/>
        <v>0</v>
      </c>
    </row>
    <row r="504" spans="1:18" x14ac:dyDescent="0.3">
      <c r="A504">
        <f t="shared" si="82"/>
        <v>501</v>
      </c>
      <c r="B504">
        <f t="shared" si="83"/>
        <v>42</v>
      </c>
      <c r="C504">
        <f t="shared" si="84"/>
        <v>506</v>
      </c>
      <c r="D504">
        <f t="shared" si="78"/>
        <v>43</v>
      </c>
      <c r="E504">
        <f>[1]model_point!$C$2+D504-1</f>
        <v>47</v>
      </c>
      <c r="F504">
        <f>VLOOKUP(E504,'[1]202512 BE mortality'!$A:$C,3,0)</f>
        <v>9.1304713855402553E-3</v>
      </c>
      <c r="G504">
        <f>VLOOKUP(D504,'[1]202512 BE lapse'!$C:$D,2,0)</f>
        <v>6.3922952378580242E-3</v>
      </c>
      <c r="H504">
        <f>VLOOKUP($B504,'[1]202512 RFR'!$A:$B,2,0)</f>
        <v>0.02</v>
      </c>
      <c r="I504">
        <f t="shared" si="85"/>
        <v>1.3265258227568641</v>
      </c>
      <c r="J504">
        <f t="shared" si="86"/>
        <v>1.0143407990771429E-3</v>
      </c>
      <c r="K504">
        <f t="shared" si="87"/>
        <v>0</v>
      </c>
      <c r="L504">
        <f t="shared" si="79"/>
        <v>0.57067134078202431</v>
      </c>
      <c r="M504">
        <f>IF(AND(MOD(C504,12)=1,D504&lt;='[1]Product parameters'!$C$2),I503*[1]model_point!$G$2,0)</f>
        <v>0</v>
      </c>
      <c r="N504">
        <f t="shared" si="80"/>
        <v>0</v>
      </c>
      <c r="O504">
        <f>[2]results_sample_product_cf!G503</f>
        <v>0</v>
      </c>
      <c r="P504">
        <f>[2]results_sample_product_cf!H503</f>
        <v>0</v>
      </c>
      <c r="Q504">
        <f t="shared" si="81"/>
        <v>0</v>
      </c>
      <c r="R504">
        <f t="shared" si="77"/>
        <v>0</v>
      </c>
    </row>
    <row r="505" spans="1:18" x14ac:dyDescent="0.3">
      <c r="A505">
        <f t="shared" si="82"/>
        <v>502</v>
      </c>
      <c r="B505">
        <f t="shared" si="83"/>
        <v>42</v>
      </c>
      <c r="C505">
        <f t="shared" si="84"/>
        <v>507</v>
      </c>
      <c r="D505">
        <f t="shared" si="78"/>
        <v>43</v>
      </c>
      <c r="E505">
        <f>[1]model_point!$C$2+D505-1</f>
        <v>47</v>
      </c>
      <c r="F505">
        <f>VLOOKUP(E505,'[1]202512 BE mortality'!$A:$C,3,0)</f>
        <v>9.1304713855402553E-3</v>
      </c>
      <c r="G505">
        <f>VLOOKUP(D505,'[1]202512 BE lapse'!$C:$D,2,0)</f>
        <v>6.3922952378580242E-3</v>
      </c>
      <c r="H505">
        <f>VLOOKUP($B505,'[1]202512 RFR'!$A:$B,2,0)</f>
        <v>0.02</v>
      </c>
      <c r="I505">
        <f t="shared" si="85"/>
        <v>1.3255122569906523</v>
      </c>
      <c r="J505">
        <f t="shared" si="86"/>
        <v>1.0135657662119098E-3</v>
      </c>
      <c r="K505">
        <f t="shared" si="87"/>
        <v>0</v>
      </c>
      <c r="L505">
        <f t="shared" si="79"/>
        <v>0.56973038473146598</v>
      </c>
      <c r="M505">
        <f>IF(AND(MOD(C505,12)=1,D505&lt;='[1]Product parameters'!$C$2),I504*[1]model_point!$G$2,0)</f>
        <v>0</v>
      </c>
      <c r="N505">
        <f t="shared" si="80"/>
        <v>0</v>
      </c>
      <c r="O505">
        <f>[2]results_sample_product_cf!G504</f>
        <v>0</v>
      </c>
      <c r="P505">
        <f>[2]results_sample_product_cf!H504</f>
        <v>0</v>
      </c>
      <c r="Q505">
        <f t="shared" si="81"/>
        <v>0</v>
      </c>
      <c r="R505">
        <f t="shared" si="77"/>
        <v>0</v>
      </c>
    </row>
    <row r="506" spans="1:18" x14ac:dyDescent="0.3">
      <c r="A506">
        <f t="shared" si="82"/>
        <v>503</v>
      </c>
      <c r="B506">
        <f t="shared" si="83"/>
        <v>42</v>
      </c>
      <c r="C506">
        <f t="shared" si="84"/>
        <v>508</v>
      </c>
      <c r="D506">
        <f t="shared" si="78"/>
        <v>43</v>
      </c>
      <c r="E506">
        <f>[1]model_point!$C$2+D506-1</f>
        <v>47</v>
      </c>
      <c r="F506">
        <f>VLOOKUP(E506,'[1]202512 BE mortality'!$A:$C,3,0)</f>
        <v>9.1304713855402553E-3</v>
      </c>
      <c r="G506">
        <f>VLOOKUP(D506,'[1]202512 BE lapse'!$C:$D,2,0)</f>
        <v>6.3922952378580242E-3</v>
      </c>
      <c r="H506">
        <f>VLOOKUP($B506,'[1]202512 RFR'!$A:$B,2,0)</f>
        <v>0.02</v>
      </c>
      <c r="I506">
        <f t="shared" si="85"/>
        <v>1.3244994656651221</v>
      </c>
      <c r="J506">
        <f t="shared" si="86"/>
        <v>1.0127913255302339E-3</v>
      </c>
      <c r="K506">
        <f t="shared" si="87"/>
        <v>0</v>
      </c>
      <c r="L506">
        <f t="shared" si="79"/>
        <v>0.5687909801838934</v>
      </c>
      <c r="M506">
        <f>IF(AND(MOD(C506,12)=1,D506&lt;='[1]Product parameters'!$C$2),I505*[1]model_point!$G$2,0)</f>
        <v>0</v>
      </c>
      <c r="N506">
        <f t="shared" si="80"/>
        <v>0</v>
      </c>
      <c r="O506">
        <f>[2]results_sample_product_cf!G505</f>
        <v>0</v>
      </c>
      <c r="P506">
        <f>[2]results_sample_product_cf!H505</f>
        <v>0</v>
      </c>
      <c r="Q506">
        <f t="shared" si="81"/>
        <v>0</v>
      </c>
      <c r="R506">
        <f t="shared" si="77"/>
        <v>0</v>
      </c>
    </row>
    <row r="507" spans="1:18" x14ac:dyDescent="0.3">
      <c r="A507">
        <f t="shared" si="82"/>
        <v>504</v>
      </c>
      <c r="B507">
        <f t="shared" si="83"/>
        <v>42</v>
      </c>
      <c r="C507">
        <f t="shared" si="84"/>
        <v>509</v>
      </c>
      <c r="D507">
        <f t="shared" si="78"/>
        <v>43</v>
      </c>
      <c r="E507">
        <f>[1]model_point!$C$2+D507-1</f>
        <v>47</v>
      </c>
      <c r="F507">
        <f>VLOOKUP(E507,'[1]202512 BE mortality'!$A:$C,3,0)</f>
        <v>9.1304713855402553E-3</v>
      </c>
      <c r="G507">
        <f>VLOOKUP(D507,'[1]202512 BE lapse'!$C:$D,2,0)</f>
        <v>6.3922952378580242E-3</v>
      </c>
      <c r="H507">
        <f>VLOOKUP($B507,'[1]202512 RFR'!$A:$B,2,0)</f>
        <v>0.02</v>
      </c>
      <c r="I507">
        <f t="shared" si="85"/>
        <v>1.3234874481885424</v>
      </c>
      <c r="J507">
        <f t="shared" si="86"/>
        <v>1.0120174765796417E-3</v>
      </c>
      <c r="K507">
        <f t="shared" si="87"/>
        <v>0</v>
      </c>
      <c r="L507">
        <f t="shared" si="79"/>
        <v>0.56785312458109827</v>
      </c>
      <c r="M507">
        <f>IF(AND(MOD(C507,12)=1,D507&lt;='[1]Product parameters'!$C$2),I506*[1]model_point!$G$2,0)</f>
        <v>0</v>
      </c>
      <c r="N507">
        <f t="shared" si="80"/>
        <v>0</v>
      </c>
      <c r="O507">
        <f>[2]results_sample_product_cf!G506</f>
        <v>0</v>
      </c>
      <c r="P507">
        <f>[2]results_sample_product_cf!H506</f>
        <v>0</v>
      </c>
      <c r="Q507">
        <f t="shared" si="81"/>
        <v>0</v>
      </c>
      <c r="R507">
        <f t="shared" si="77"/>
        <v>0</v>
      </c>
    </row>
    <row r="508" spans="1:18" x14ac:dyDescent="0.3">
      <c r="A508">
        <f t="shared" si="82"/>
        <v>505</v>
      </c>
      <c r="B508">
        <f t="shared" si="83"/>
        <v>43</v>
      </c>
      <c r="C508">
        <f t="shared" si="84"/>
        <v>510</v>
      </c>
      <c r="D508">
        <f t="shared" si="78"/>
        <v>43</v>
      </c>
      <c r="E508">
        <f>[1]model_point!$C$2+D508-1</f>
        <v>47</v>
      </c>
      <c r="F508">
        <f>VLOOKUP(E508,'[1]202512 BE mortality'!$A:$C,3,0)</f>
        <v>9.1304713855402553E-3</v>
      </c>
      <c r="G508">
        <f>VLOOKUP(D508,'[1]202512 BE lapse'!$C:$D,2,0)</f>
        <v>6.3922952378580242E-3</v>
      </c>
      <c r="H508">
        <f>VLOOKUP($B508,'[1]202512 RFR'!$A:$B,2,0)</f>
        <v>0.02</v>
      </c>
      <c r="I508">
        <f t="shared" si="85"/>
        <v>1.3224762039696343</v>
      </c>
      <c r="J508">
        <f t="shared" si="86"/>
        <v>1.0112442189080062E-3</v>
      </c>
      <c r="K508">
        <f t="shared" si="87"/>
        <v>0</v>
      </c>
      <c r="L508">
        <f t="shared" si="79"/>
        <v>0.56691681536909055</v>
      </c>
      <c r="M508">
        <f>IF(AND(MOD(C508,12)=1,D508&lt;='[1]Product parameters'!$C$2),I507*[1]model_point!$G$2,0)</f>
        <v>0</v>
      </c>
      <c r="N508">
        <f t="shared" si="80"/>
        <v>0</v>
      </c>
      <c r="O508">
        <f>[2]results_sample_product_cf!G507</f>
        <v>0</v>
      </c>
      <c r="P508">
        <f>[2]results_sample_product_cf!H507</f>
        <v>0</v>
      </c>
      <c r="Q508">
        <f t="shared" si="81"/>
        <v>0</v>
      </c>
      <c r="R508">
        <f t="shared" si="77"/>
        <v>0</v>
      </c>
    </row>
    <row r="509" spans="1:18" x14ac:dyDescent="0.3">
      <c r="A509">
        <f t="shared" si="82"/>
        <v>506</v>
      </c>
      <c r="B509">
        <f t="shared" si="83"/>
        <v>43</v>
      </c>
      <c r="C509">
        <f t="shared" si="84"/>
        <v>511</v>
      </c>
      <c r="D509">
        <f t="shared" si="78"/>
        <v>43</v>
      </c>
      <c r="E509">
        <f>[1]model_point!$C$2+D509-1</f>
        <v>47</v>
      </c>
      <c r="F509">
        <f>VLOOKUP(E509,'[1]202512 BE mortality'!$A:$C,3,0)</f>
        <v>9.1304713855402553E-3</v>
      </c>
      <c r="G509">
        <f>VLOOKUP(D509,'[1]202512 BE lapse'!$C:$D,2,0)</f>
        <v>6.3922952378580242E-3</v>
      </c>
      <c r="H509">
        <f>VLOOKUP($B509,'[1]202512 RFR'!$A:$B,2,0)</f>
        <v>0.02</v>
      </c>
      <c r="I509">
        <f t="shared" si="85"/>
        <v>1.3214657324175707</v>
      </c>
      <c r="J509">
        <f t="shared" si="86"/>
        <v>1.0104715520635457E-3</v>
      </c>
      <c r="K509">
        <f t="shared" si="87"/>
        <v>0</v>
      </c>
      <c r="L509">
        <f t="shared" si="79"/>
        <v>0.56598204999809121</v>
      </c>
      <c r="M509">
        <f>IF(AND(MOD(C509,12)=1,D509&lt;='[1]Product parameters'!$C$2),I508*[1]model_point!$G$2,0)</f>
        <v>0</v>
      </c>
      <c r="N509">
        <f t="shared" si="80"/>
        <v>0</v>
      </c>
      <c r="O509">
        <f>[2]results_sample_product_cf!G508</f>
        <v>0</v>
      </c>
      <c r="P509">
        <f>[2]results_sample_product_cf!H508</f>
        <v>0</v>
      </c>
      <c r="Q509">
        <f t="shared" si="81"/>
        <v>0</v>
      </c>
      <c r="R509">
        <f t="shared" si="77"/>
        <v>0</v>
      </c>
    </row>
    <row r="510" spans="1:18" x14ac:dyDescent="0.3">
      <c r="A510">
        <f t="shared" si="82"/>
        <v>507</v>
      </c>
      <c r="B510">
        <f t="shared" si="83"/>
        <v>43</v>
      </c>
      <c r="C510">
        <f t="shared" si="84"/>
        <v>512</v>
      </c>
      <c r="D510">
        <f t="shared" si="78"/>
        <v>43</v>
      </c>
      <c r="E510">
        <f>[1]model_point!$C$2+D510-1</f>
        <v>47</v>
      </c>
      <c r="F510">
        <f>VLOOKUP(E510,'[1]202512 BE mortality'!$A:$C,3,0)</f>
        <v>9.1304713855402553E-3</v>
      </c>
      <c r="G510">
        <f>VLOOKUP(D510,'[1]202512 BE lapse'!$C:$D,2,0)</f>
        <v>6.3922952378580242E-3</v>
      </c>
      <c r="H510">
        <f>VLOOKUP($B510,'[1]202512 RFR'!$A:$B,2,0)</f>
        <v>0.02</v>
      </c>
      <c r="I510">
        <f t="shared" si="85"/>
        <v>1.3204560329419759</v>
      </c>
      <c r="J510">
        <f t="shared" si="86"/>
        <v>1.0096994755948237E-3</v>
      </c>
      <c r="K510">
        <f t="shared" si="87"/>
        <v>0</v>
      </c>
      <c r="L510">
        <f t="shared" si="79"/>
        <v>0.56504882592252559</v>
      </c>
      <c r="M510">
        <f>IF(AND(MOD(C510,12)=1,D510&lt;='[1]Product parameters'!$C$2),I509*[1]model_point!$G$2,0)</f>
        <v>0</v>
      </c>
      <c r="N510">
        <f t="shared" si="80"/>
        <v>0</v>
      </c>
      <c r="O510">
        <f>[2]results_sample_product_cf!G509</f>
        <v>0</v>
      </c>
      <c r="P510">
        <f>[2]results_sample_product_cf!H509</f>
        <v>0</v>
      </c>
      <c r="Q510">
        <f t="shared" si="81"/>
        <v>0</v>
      </c>
      <c r="R510">
        <f t="shared" si="77"/>
        <v>0</v>
      </c>
    </row>
    <row r="511" spans="1:18" x14ac:dyDescent="0.3">
      <c r="A511">
        <f t="shared" si="82"/>
        <v>508</v>
      </c>
      <c r="B511">
        <f t="shared" si="83"/>
        <v>43</v>
      </c>
      <c r="C511">
        <f t="shared" si="84"/>
        <v>513</v>
      </c>
      <c r="D511">
        <f t="shared" si="78"/>
        <v>43</v>
      </c>
      <c r="E511">
        <f>[1]model_point!$C$2+D511-1</f>
        <v>47</v>
      </c>
      <c r="F511">
        <f>VLOOKUP(E511,'[1]202512 BE mortality'!$A:$C,3,0)</f>
        <v>9.1304713855402553E-3</v>
      </c>
      <c r="G511">
        <f>VLOOKUP(D511,'[1]202512 BE lapse'!$C:$D,2,0)</f>
        <v>6.3922952378580242E-3</v>
      </c>
      <c r="H511">
        <f>VLOOKUP($B511,'[1]202512 RFR'!$A:$B,2,0)</f>
        <v>0.02</v>
      </c>
      <c r="I511">
        <f t="shared" si="85"/>
        <v>1.3194471049529251</v>
      </c>
      <c r="J511">
        <f t="shared" si="86"/>
        <v>1.0089279890507486E-3</v>
      </c>
      <c r="K511">
        <f t="shared" si="87"/>
        <v>0</v>
      </c>
      <c r="L511">
        <f t="shared" si="79"/>
        <v>0.56411714060101625</v>
      </c>
      <c r="M511">
        <f>IF(AND(MOD(C511,12)=1,D511&lt;='[1]Product parameters'!$C$2),I510*[1]model_point!$G$2,0)</f>
        <v>0</v>
      </c>
      <c r="N511">
        <f t="shared" si="80"/>
        <v>0</v>
      </c>
      <c r="O511">
        <f>[2]results_sample_product_cf!G510</f>
        <v>0</v>
      </c>
      <c r="P511">
        <f>[2]results_sample_product_cf!H510</f>
        <v>0</v>
      </c>
      <c r="Q511">
        <f t="shared" si="81"/>
        <v>0</v>
      </c>
      <c r="R511">
        <f t="shared" si="77"/>
        <v>0</v>
      </c>
    </row>
    <row r="512" spans="1:18" x14ac:dyDescent="0.3">
      <c r="A512">
        <f t="shared" si="82"/>
        <v>509</v>
      </c>
      <c r="B512">
        <f t="shared" si="83"/>
        <v>43</v>
      </c>
      <c r="C512">
        <f t="shared" si="84"/>
        <v>514</v>
      </c>
      <c r="D512">
        <f t="shared" si="78"/>
        <v>43</v>
      </c>
      <c r="E512">
        <f>[1]model_point!$C$2+D512-1</f>
        <v>47</v>
      </c>
      <c r="F512">
        <f>VLOOKUP(E512,'[1]202512 BE mortality'!$A:$C,3,0)</f>
        <v>9.1304713855402553E-3</v>
      </c>
      <c r="G512">
        <f>VLOOKUP(D512,'[1]202512 BE lapse'!$C:$D,2,0)</f>
        <v>6.3922952378580242E-3</v>
      </c>
      <c r="H512">
        <f>VLOOKUP($B512,'[1]202512 RFR'!$A:$B,2,0)</f>
        <v>0.02</v>
      </c>
      <c r="I512">
        <f t="shared" si="85"/>
        <v>1.3184389478609444</v>
      </c>
      <c r="J512">
        <f t="shared" si="86"/>
        <v>1.0081570919805735E-3</v>
      </c>
      <c r="K512">
        <f t="shared" si="87"/>
        <v>0</v>
      </c>
      <c r="L512">
        <f t="shared" si="79"/>
        <v>0.56318699149637619</v>
      </c>
      <c r="M512">
        <f>IF(AND(MOD(C512,12)=1,D512&lt;='[1]Product parameters'!$C$2),I511*[1]model_point!$G$2,0)</f>
        <v>0</v>
      </c>
      <c r="N512">
        <f t="shared" si="80"/>
        <v>0</v>
      </c>
      <c r="O512">
        <f>[2]results_sample_product_cf!G511</f>
        <v>0</v>
      </c>
      <c r="P512">
        <f>[2]results_sample_product_cf!H511</f>
        <v>0</v>
      </c>
      <c r="Q512">
        <f t="shared" si="81"/>
        <v>0</v>
      </c>
      <c r="R512">
        <f t="shared" si="77"/>
        <v>0</v>
      </c>
    </row>
    <row r="513" spans="1:18" x14ac:dyDescent="0.3">
      <c r="A513">
        <f t="shared" si="82"/>
        <v>510</v>
      </c>
      <c r="B513">
        <f t="shared" si="83"/>
        <v>43</v>
      </c>
      <c r="C513">
        <f t="shared" si="84"/>
        <v>515</v>
      </c>
      <c r="D513">
        <f t="shared" si="78"/>
        <v>43</v>
      </c>
      <c r="E513">
        <f>[1]model_point!$C$2+D513-1</f>
        <v>47</v>
      </c>
      <c r="F513">
        <f>VLOOKUP(E513,'[1]202512 BE mortality'!$A:$C,3,0)</f>
        <v>9.1304713855402553E-3</v>
      </c>
      <c r="G513">
        <f>VLOOKUP(D513,'[1]202512 BE lapse'!$C:$D,2,0)</f>
        <v>6.3922952378580242E-3</v>
      </c>
      <c r="H513">
        <f>VLOOKUP($B513,'[1]202512 RFR'!$A:$B,2,0)</f>
        <v>0.02</v>
      </c>
      <c r="I513">
        <f t="shared" si="85"/>
        <v>1.3174315610770104</v>
      </c>
      <c r="J513">
        <f t="shared" si="86"/>
        <v>1.0073867839338958E-3</v>
      </c>
      <c r="K513">
        <f t="shared" si="87"/>
        <v>0</v>
      </c>
      <c r="L513">
        <f t="shared" si="79"/>
        <v>0.5622583760756017</v>
      </c>
      <c r="M513">
        <f>IF(AND(MOD(C513,12)=1,D513&lt;='[1]Product parameters'!$C$2),I512*[1]model_point!$G$2,0)</f>
        <v>0</v>
      </c>
      <c r="N513">
        <f t="shared" si="80"/>
        <v>0</v>
      </c>
      <c r="O513">
        <f>[2]results_sample_product_cf!G512</f>
        <v>0</v>
      </c>
      <c r="P513">
        <f>[2]results_sample_product_cf!H512</f>
        <v>0</v>
      </c>
      <c r="Q513">
        <f t="shared" si="81"/>
        <v>0</v>
      </c>
      <c r="R513">
        <f t="shared" si="77"/>
        <v>0</v>
      </c>
    </row>
    <row r="514" spans="1:18" x14ac:dyDescent="0.3">
      <c r="A514">
        <f t="shared" si="82"/>
        <v>511</v>
      </c>
      <c r="B514">
        <f t="shared" si="83"/>
        <v>43</v>
      </c>
      <c r="C514">
        <f t="shared" si="84"/>
        <v>516</v>
      </c>
      <c r="D514">
        <f t="shared" si="78"/>
        <v>43</v>
      </c>
      <c r="E514">
        <f>[1]model_point!$C$2+D514-1</f>
        <v>47</v>
      </c>
      <c r="F514">
        <f>VLOOKUP(E514,'[1]202512 BE mortality'!$A:$C,3,0)</f>
        <v>9.1304713855402553E-3</v>
      </c>
      <c r="G514">
        <f>VLOOKUP(D514,'[1]202512 BE lapse'!$C:$D,2,0)</f>
        <v>6.3922952378580242E-3</v>
      </c>
      <c r="H514">
        <f>VLOOKUP($B514,'[1]202512 RFR'!$A:$B,2,0)</f>
        <v>0.02</v>
      </c>
      <c r="I514">
        <f t="shared" si="85"/>
        <v>1.3080099671119407</v>
      </c>
      <c r="J514">
        <f t="shared" si="86"/>
        <v>1.0066170644606571E-3</v>
      </c>
      <c r="K514">
        <f t="shared" si="87"/>
        <v>8.4149769006089375E-3</v>
      </c>
      <c r="L514">
        <f t="shared" si="79"/>
        <v>0.56133129180986585</v>
      </c>
      <c r="M514">
        <f>IF(AND(MOD(C514,12)=1,D514&lt;='[1]Product parameters'!$C$2),I513*[1]model_point!$G$2,0)</f>
        <v>0</v>
      </c>
      <c r="N514">
        <f t="shared" si="80"/>
        <v>0</v>
      </c>
      <c r="O514">
        <f>[2]results_sample_product_cf!G513</f>
        <v>0</v>
      </c>
      <c r="P514">
        <f>[2]results_sample_product_cf!H513</f>
        <v>0</v>
      </c>
      <c r="Q514">
        <f t="shared" si="81"/>
        <v>0</v>
      </c>
      <c r="R514">
        <f t="shared" si="77"/>
        <v>0</v>
      </c>
    </row>
    <row r="515" spans="1:18" x14ac:dyDescent="0.3">
      <c r="A515">
        <f t="shared" si="82"/>
        <v>512</v>
      </c>
      <c r="B515">
        <f t="shared" si="83"/>
        <v>43</v>
      </c>
      <c r="C515">
        <f t="shared" si="84"/>
        <v>517</v>
      </c>
      <c r="D515">
        <f t="shared" si="78"/>
        <v>44</v>
      </c>
      <c r="E515">
        <f>[1]model_point!$C$2+D515-1</f>
        <v>48</v>
      </c>
      <c r="F515">
        <f>VLOOKUP(E515,'[1]202512 BE mortality'!$A:$C,3,0)</f>
        <v>6.6357166337434395E-3</v>
      </c>
      <c r="G515">
        <f>VLOOKUP(D515,'[1]202512 BE lapse'!$C:$D,2,0)</f>
        <v>6.4745359650994127E-3</v>
      </c>
      <c r="H515">
        <f>VLOOKUP($B515,'[1]202512 RFR'!$A:$B,2,0)</f>
        <v>0.02</v>
      </c>
      <c r="I515">
        <f t="shared" si="85"/>
        <v>1.3072844592969965</v>
      </c>
      <c r="J515">
        <f t="shared" si="86"/>
        <v>7.2550781494409443E-4</v>
      </c>
      <c r="K515">
        <f t="shared" si="87"/>
        <v>0</v>
      </c>
      <c r="L515">
        <f t="shared" si="79"/>
        <v>0.56040573617451117</v>
      </c>
      <c r="M515">
        <f>IF(AND(MOD(C515,12)=1,D515&lt;='[1]Product parameters'!$C$2),I514*[1]model_point!$G$2,0)</f>
        <v>0</v>
      </c>
      <c r="N515">
        <f t="shared" si="80"/>
        <v>0</v>
      </c>
      <c r="O515">
        <f>[2]results_sample_product_cf!G514</f>
        <v>0</v>
      </c>
      <c r="P515">
        <f>[2]results_sample_product_cf!H514</f>
        <v>0</v>
      </c>
      <c r="Q515">
        <f t="shared" si="81"/>
        <v>0</v>
      </c>
      <c r="R515">
        <f t="shared" ref="R515:R578" si="88">ROUND(N515-P515,6)</f>
        <v>0</v>
      </c>
    </row>
    <row r="516" spans="1:18" x14ac:dyDescent="0.3">
      <c r="A516">
        <f t="shared" si="82"/>
        <v>513</v>
      </c>
      <c r="B516">
        <f t="shared" si="83"/>
        <v>43</v>
      </c>
      <c r="C516">
        <f t="shared" si="84"/>
        <v>518</v>
      </c>
      <c r="D516">
        <f t="shared" ref="D516:D579" si="89">TRUNC((C516-1)/12,0)+1</f>
        <v>44</v>
      </c>
      <c r="E516">
        <f>[1]model_point!$C$2+D516-1</f>
        <v>48</v>
      </c>
      <c r="F516">
        <f>VLOOKUP(E516,'[1]202512 BE mortality'!$A:$C,3,0)</f>
        <v>6.6357166337434395E-3</v>
      </c>
      <c r="G516">
        <f>VLOOKUP(D516,'[1]202512 BE lapse'!$C:$D,2,0)</f>
        <v>6.4745359650994127E-3</v>
      </c>
      <c r="H516">
        <f>VLOOKUP($B516,'[1]202512 RFR'!$A:$B,2,0)</f>
        <v>0.02</v>
      </c>
      <c r="I516">
        <f t="shared" si="85"/>
        <v>1.3065593538961033</v>
      </c>
      <c r="J516">
        <f t="shared" si="86"/>
        <v>7.2510540089314711E-4</v>
      </c>
      <c r="K516">
        <f t="shared" si="87"/>
        <v>0</v>
      </c>
      <c r="L516">
        <f t="shared" ref="L516:L579" si="90">L515/(1+H516)^(1/12)</f>
        <v>0.55948170664904318</v>
      </c>
      <c r="M516">
        <f>IF(AND(MOD(C516,12)=1,D516&lt;='[1]Product parameters'!$C$2),I515*[1]model_point!$G$2,0)</f>
        <v>0</v>
      </c>
      <c r="N516">
        <f t="shared" ref="N516:N579" si="91">SUMPRODUCT(L516:L1715,M517:M1716)/L516</f>
        <v>0</v>
      </c>
      <c r="O516">
        <f>[2]results_sample_product_cf!G515</f>
        <v>0</v>
      </c>
      <c r="P516">
        <f>[2]results_sample_product_cf!H515</f>
        <v>0</v>
      </c>
      <c r="Q516">
        <f t="shared" ref="Q516:Q579" si="92">ROUND(M516-O516,6)</f>
        <v>0</v>
      </c>
      <c r="R516">
        <f t="shared" si="88"/>
        <v>0</v>
      </c>
    </row>
    <row r="517" spans="1:18" x14ac:dyDescent="0.3">
      <c r="A517">
        <f t="shared" ref="A517:A580" si="93">A516+1</f>
        <v>514</v>
      </c>
      <c r="B517">
        <f t="shared" ref="B517:B580" si="94">INT((A517-1)/12)+1</f>
        <v>43</v>
      </c>
      <c r="C517">
        <f t="shared" ref="C517:C580" si="95">C516+1</f>
        <v>519</v>
      </c>
      <c r="D517">
        <f t="shared" si="89"/>
        <v>44</v>
      </c>
      <c r="E517">
        <f>[1]model_point!$C$2+D517-1</f>
        <v>48</v>
      </c>
      <c r="F517">
        <f>VLOOKUP(E517,'[1]202512 BE mortality'!$A:$C,3,0)</f>
        <v>6.6357166337434395E-3</v>
      </c>
      <c r="G517">
        <f>VLOOKUP(D517,'[1]202512 BE lapse'!$C:$D,2,0)</f>
        <v>6.4745359650994127E-3</v>
      </c>
      <c r="H517">
        <f>VLOOKUP($B517,'[1]202512 RFR'!$A:$B,2,0)</f>
        <v>0.02</v>
      </c>
      <c r="I517">
        <f t="shared" ref="I517:I580" si="96">I516-J517-K517</f>
        <v>1.3058346506860561</v>
      </c>
      <c r="J517">
        <f t="shared" ref="J517:J580" si="97">I516*(1-(1-F517)^(1/12))</f>
        <v>7.2470321004733287E-4</v>
      </c>
      <c r="K517">
        <f t="shared" ref="K517:K580" si="98">(I516-J517)*IF(MOD(C517,12)=0,G517,0)</f>
        <v>0</v>
      </c>
      <c r="L517">
        <f t="shared" si="90"/>
        <v>0.55855920071712328</v>
      </c>
      <c r="M517">
        <f>IF(AND(MOD(C517,12)=1,D517&lt;='[1]Product parameters'!$C$2),I516*[1]model_point!$G$2,0)</f>
        <v>0</v>
      </c>
      <c r="N517">
        <f t="shared" si="91"/>
        <v>0</v>
      </c>
      <c r="O517">
        <f>[2]results_sample_product_cf!G516</f>
        <v>0</v>
      </c>
      <c r="P517">
        <f>[2]results_sample_product_cf!H516</f>
        <v>0</v>
      </c>
      <c r="Q517">
        <f t="shared" si="92"/>
        <v>0</v>
      </c>
      <c r="R517">
        <f t="shared" si="88"/>
        <v>0</v>
      </c>
    </row>
    <row r="518" spans="1:18" x14ac:dyDescent="0.3">
      <c r="A518">
        <f t="shared" si="93"/>
        <v>515</v>
      </c>
      <c r="B518">
        <f t="shared" si="94"/>
        <v>43</v>
      </c>
      <c r="C518">
        <f t="shared" si="95"/>
        <v>520</v>
      </c>
      <c r="D518">
        <f t="shared" si="89"/>
        <v>44</v>
      </c>
      <c r="E518">
        <f>[1]model_point!$C$2+D518-1</f>
        <v>48</v>
      </c>
      <c r="F518">
        <f>VLOOKUP(E518,'[1]202512 BE mortality'!$A:$C,3,0)</f>
        <v>6.6357166337434395E-3</v>
      </c>
      <c r="G518">
        <f>VLOOKUP(D518,'[1]202512 BE lapse'!$C:$D,2,0)</f>
        <v>6.4745359650994127E-3</v>
      </c>
      <c r="H518">
        <f>VLOOKUP($B518,'[1]202512 RFR'!$A:$B,2,0)</f>
        <v>0.02</v>
      </c>
      <c r="I518">
        <f t="shared" si="96"/>
        <v>1.3051103494437732</v>
      </c>
      <c r="J518">
        <f t="shared" si="97"/>
        <v>7.2430124228284765E-4</v>
      </c>
      <c r="K518">
        <f t="shared" si="98"/>
        <v>0</v>
      </c>
      <c r="L518">
        <f t="shared" si="90"/>
        <v>0.55763821586656193</v>
      </c>
      <c r="M518">
        <f>IF(AND(MOD(C518,12)=1,D518&lt;='[1]Product parameters'!$C$2),I517*[1]model_point!$G$2,0)</f>
        <v>0</v>
      </c>
      <c r="N518">
        <f t="shared" si="91"/>
        <v>0</v>
      </c>
      <c r="O518">
        <f>[2]results_sample_product_cf!G517</f>
        <v>0</v>
      </c>
      <c r="P518">
        <f>[2]results_sample_product_cf!H517</f>
        <v>0</v>
      </c>
      <c r="Q518">
        <f t="shared" si="92"/>
        <v>0</v>
      </c>
      <c r="R518">
        <f t="shared" si="88"/>
        <v>0</v>
      </c>
    </row>
    <row r="519" spans="1:18" x14ac:dyDescent="0.3">
      <c r="A519">
        <f t="shared" si="93"/>
        <v>516</v>
      </c>
      <c r="B519">
        <f t="shared" si="94"/>
        <v>43</v>
      </c>
      <c r="C519">
        <f t="shared" si="95"/>
        <v>521</v>
      </c>
      <c r="D519">
        <f t="shared" si="89"/>
        <v>44</v>
      </c>
      <c r="E519">
        <f>[1]model_point!$C$2+D519-1</f>
        <v>48</v>
      </c>
      <c r="F519">
        <f>VLOOKUP(E519,'[1]202512 BE mortality'!$A:$C,3,0)</f>
        <v>6.6357166337434395E-3</v>
      </c>
      <c r="G519">
        <f>VLOOKUP(D519,'[1]202512 BE lapse'!$C:$D,2,0)</f>
        <v>6.4745359650994127E-3</v>
      </c>
      <c r="H519">
        <f>VLOOKUP($B519,'[1]202512 RFR'!$A:$B,2,0)</f>
        <v>0.02</v>
      </c>
      <c r="I519">
        <f t="shared" si="96"/>
        <v>1.3043864499462974</v>
      </c>
      <c r="J519">
        <f t="shared" si="97"/>
        <v>7.238994974759559E-4</v>
      </c>
      <c r="K519">
        <f t="shared" si="98"/>
        <v>0</v>
      </c>
      <c r="L519">
        <f t="shared" si="90"/>
        <v>0.55671874958931178</v>
      </c>
      <c r="M519">
        <f>IF(AND(MOD(C519,12)=1,D519&lt;='[1]Product parameters'!$C$2),I518*[1]model_point!$G$2,0)</f>
        <v>0</v>
      </c>
      <c r="N519">
        <f t="shared" si="91"/>
        <v>0</v>
      </c>
      <c r="O519">
        <f>[2]results_sample_product_cf!G518</f>
        <v>0</v>
      </c>
      <c r="P519">
        <f>[2]results_sample_product_cf!H518</f>
        <v>0</v>
      </c>
      <c r="Q519">
        <f t="shared" si="92"/>
        <v>0</v>
      </c>
      <c r="R519">
        <f t="shared" si="88"/>
        <v>0</v>
      </c>
    </row>
    <row r="520" spans="1:18" x14ac:dyDescent="0.3">
      <c r="A520">
        <f t="shared" si="93"/>
        <v>517</v>
      </c>
      <c r="B520">
        <f t="shared" si="94"/>
        <v>44</v>
      </c>
      <c r="C520">
        <f t="shared" si="95"/>
        <v>522</v>
      </c>
      <c r="D520">
        <f t="shared" si="89"/>
        <v>44</v>
      </c>
      <c r="E520">
        <f>[1]model_point!$C$2+D520-1</f>
        <v>48</v>
      </c>
      <c r="F520">
        <f>VLOOKUP(E520,'[1]202512 BE mortality'!$A:$C,3,0)</f>
        <v>6.6357166337434395E-3</v>
      </c>
      <c r="G520">
        <f>VLOOKUP(D520,'[1]202512 BE lapse'!$C:$D,2,0)</f>
        <v>6.4745359650994127E-3</v>
      </c>
      <c r="H520">
        <f>VLOOKUP($B520,'[1]202512 RFR'!$A:$B,2,0)</f>
        <v>0.02</v>
      </c>
      <c r="I520">
        <f t="shared" si="96"/>
        <v>1.3036629519707943</v>
      </c>
      <c r="J520">
        <f t="shared" si="97"/>
        <v>7.234979755029907E-4</v>
      </c>
      <c r="K520">
        <f t="shared" si="98"/>
        <v>0</v>
      </c>
      <c r="L520">
        <f t="shared" si="90"/>
        <v>0.5558007993814611</v>
      </c>
      <c r="M520">
        <f>IF(AND(MOD(C520,12)=1,D520&lt;='[1]Product parameters'!$C$2),I519*[1]model_point!$G$2,0)</f>
        <v>0</v>
      </c>
      <c r="N520">
        <f t="shared" si="91"/>
        <v>0</v>
      </c>
      <c r="O520">
        <f>[2]results_sample_product_cf!G519</f>
        <v>0</v>
      </c>
      <c r="P520">
        <f>[2]results_sample_product_cf!H519</f>
        <v>0</v>
      </c>
      <c r="Q520">
        <f t="shared" si="92"/>
        <v>0</v>
      </c>
      <c r="R520">
        <f t="shared" si="88"/>
        <v>0</v>
      </c>
    </row>
    <row r="521" spans="1:18" x14ac:dyDescent="0.3">
      <c r="A521">
        <f t="shared" si="93"/>
        <v>518</v>
      </c>
      <c r="B521">
        <f t="shared" si="94"/>
        <v>44</v>
      </c>
      <c r="C521">
        <f t="shared" si="95"/>
        <v>523</v>
      </c>
      <c r="D521">
        <f t="shared" si="89"/>
        <v>44</v>
      </c>
      <c r="E521">
        <f>[1]model_point!$C$2+D521-1</f>
        <v>48</v>
      </c>
      <c r="F521">
        <f>VLOOKUP(E521,'[1]202512 BE mortality'!$A:$C,3,0)</f>
        <v>6.6357166337434395E-3</v>
      </c>
      <c r="G521">
        <f>VLOOKUP(D521,'[1]202512 BE lapse'!$C:$D,2,0)</f>
        <v>6.4745359650994127E-3</v>
      </c>
      <c r="H521">
        <f>VLOOKUP($B521,'[1]202512 RFR'!$A:$B,2,0)</f>
        <v>0.02</v>
      </c>
      <c r="I521">
        <f t="shared" si="96"/>
        <v>1.3029398552945539</v>
      </c>
      <c r="J521">
        <f t="shared" si="97"/>
        <v>7.2309667624035387E-4</v>
      </c>
      <c r="K521">
        <f t="shared" si="98"/>
        <v>0</v>
      </c>
      <c r="L521">
        <f t="shared" si="90"/>
        <v>0.5548843627432265</v>
      </c>
      <c r="M521">
        <f>IF(AND(MOD(C521,12)=1,D521&lt;='[1]Product parameters'!$C$2),I520*[1]model_point!$G$2,0)</f>
        <v>0</v>
      </c>
      <c r="N521">
        <f t="shared" si="91"/>
        <v>0</v>
      </c>
      <c r="O521">
        <f>[2]results_sample_product_cf!G520</f>
        <v>0</v>
      </c>
      <c r="P521">
        <f>[2]results_sample_product_cf!H520</f>
        <v>0</v>
      </c>
      <c r="Q521">
        <f t="shared" si="92"/>
        <v>0</v>
      </c>
      <c r="R521">
        <f t="shared" si="88"/>
        <v>0</v>
      </c>
    </row>
    <row r="522" spans="1:18" x14ac:dyDescent="0.3">
      <c r="A522">
        <f t="shared" si="93"/>
        <v>519</v>
      </c>
      <c r="B522">
        <f t="shared" si="94"/>
        <v>44</v>
      </c>
      <c r="C522">
        <f t="shared" si="95"/>
        <v>524</v>
      </c>
      <c r="D522">
        <f t="shared" si="89"/>
        <v>44</v>
      </c>
      <c r="E522">
        <f>[1]model_point!$C$2+D522-1</f>
        <v>48</v>
      </c>
      <c r="F522">
        <f>VLOOKUP(E522,'[1]202512 BE mortality'!$A:$C,3,0)</f>
        <v>6.6357166337434395E-3</v>
      </c>
      <c r="G522">
        <f>VLOOKUP(D522,'[1]202512 BE lapse'!$C:$D,2,0)</f>
        <v>6.4745359650994127E-3</v>
      </c>
      <c r="H522">
        <f>VLOOKUP($B522,'[1]202512 RFR'!$A:$B,2,0)</f>
        <v>0.02</v>
      </c>
      <c r="I522">
        <f t="shared" si="96"/>
        <v>1.3022171596949894</v>
      </c>
      <c r="J522">
        <f t="shared" si="97"/>
        <v>7.2269559956451563E-4</v>
      </c>
      <c r="K522">
        <f t="shared" si="98"/>
        <v>0</v>
      </c>
      <c r="L522">
        <f t="shared" si="90"/>
        <v>0.55396943717894653</v>
      </c>
      <c r="M522">
        <f>IF(AND(MOD(C522,12)=1,D522&lt;='[1]Product parameters'!$C$2),I521*[1]model_point!$G$2,0)</f>
        <v>0</v>
      </c>
      <c r="N522">
        <f t="shared" si="91"/>
        <v>0</v>
      </c>
      <c r="O522">
        <f>[2]results_sample_product_cf!G521</f>
        <v>0</v>
      </c>
      <c r="P522">
        <f>[2]results_sample_product_cf!H521</f>
        <v>0</v>
      </c>
      <c r="Q522">
        <f t="shared" si="92"/>
        <v>0</v>
      </c>
      <c r="R522">
        <f t="shared" si="88"/>
        <v>0</v>
      </c>
    </row>
    <row r="523" spans="1:18" x14ac:dyDescent="0.3">
      <c r="A523">
        <f t="shared" si="93"/>
        <v>520</v>
      </c>
      <c r="B523">
        <f t="shared" si="94"/>
        <v>44</v>
      </c>
      <c r="C523">
        <f t="shared" si="95"/>
        <v>525</v>
      </c>
      <c r="D523">
        <f t="shared" si="89"/>
        <v>44</v>
      </c>
      <c r="E523">
        <f>[1]model_point!$C$2+D523-1</f>
        <v>48</v>
      </c>
      <c r="F523">
        <f>VLOOKUP(E523,'[1]202512 BE mortality'!$A:$C,3,0)</f>
        <v>6.6357166337434395E-3</v>
      </c>
      <c r="G523">
        <f>VLOOKUP(D523,'[1]202512 BE lapse'!$C:$D,2,0)</f>
        <v>6.4745359650994127E-3</v>
      </c>
      <c r="H523">
        <f>VLOOKUP($B523,'[1]202512 RFR'!$A:$B,2,0)</f>
        <v>0.02</v>
      </c>
      <c r="I523">
        <f t="shared" si="96"/>
        <v>1.3014948649496374</v>
      </c>
      <c r="J523">
        <f t="shared" si="97"/>
        <v>7.2229474535201487E-4</v>
      </c>
      <c r="K523">
        <f t="shared" si="98"/>
        <v>0</v>
      </c>
      <c r="L523">
        <f t="shared" si="90"/>
        <v>0.55305602019707467</v>
      </c>
      <c r="M523">
        <f>IF(AND(MOD(C523,12)=1,D523&lt;='[1]Product parameters'!$C$2),I522*[1]model_point!$G$2,0)</f>
        <v>0</v>
      </c>
      <c r="N523">
        <f t="shared" si="91"/>
        <v>0</v>
      </c>
      <c r="O523">
        <f>[2]results_sample_product_cf!G522</f>
        <v>0</v>
      </c>
      <c r="P523">
        <f>[2]results_sample_product_cf!H522</f>
        <v>0</v>
      </c>
      <c r="Q523">
        <f t="shared" si="92"/>
        <v>0</v>
      </c>
      <c r="R523">
        <f t="shared" si="88"/>
        <v>0</v>
      </c>
    </row>
    <row r="524" spans="1:18" x14ac:dyDescent="0.3">
      <c r="A524">
        <f t="shared" si="93"/>
        <v>521</v>
      </c>
      <c r="B524">
        <f t="shared" si="94"/>
        <v>44</v>
      </c>
      <c r="C524">
        <f t="shared" si="95"/>
        <v>526</v>
      </c>
      <c r="D524">
        <f t="shared" si="89"/>
        <v>44</v>
      </c>
      <c r="E524">
        <f>[1]model_point!$C$2+D524-1</f>
        <v>48</v>
      </c>
      <c r="F524">
        <f>VLOOKUP(E524,'[1]202512 BE mortality'!$A:$C,3,0)</f>
        <v>6.6357166337434395E-3</v>
      </c>
      <c r="G524">
        <f>VLOOKUP(D524,'[1]202512 BE lapse'!$C:$D,2,0)</f>
        <v>6.4745359650994127E-3</v>
      </c>
      <c r="H524">
        <f>VLOOKUP($B524,'[1]202512 RFR'!$A:$B,2,0)</f>
        <v>0.02</v>
      </c>
      <c r="I524">
        <f t="shared" si="96"/>
        <v>1.3007729708361579</v>
      </c>
      <c r="J524">
        <f t="shared" si="97"/>
        <v>7.2189411347945895E-4</v>
      </c>
      <c r="K524">
        <f t="shared" si="98"/>
        <v>0</v>
      </c>
      <c r="L524">
        <f t="shared" si="90"/>
        <v>0.55214410931017255</v>
      </c>
      <c r="M524">
        <f>IF(AND(MOD(C524,12)=1,D524&lt;='[1]Product parameters'!$C$2),I523*[1]model_point!$G$2,0)</f>
        <v>0</v>
      </c>
      <c r="N524">
        <f t="shared" si="91"/>
        <v>0</v>
      </c>
      <c r="O524">
        <f>[2]results_sample_product_cf!G523</f>
        <v>0</v>
      </c>
      <c r="P524">
        <f>[2]results_sample_product_cf!H523</f>
        <v>0</v>
      </c>
      <c r="Q524">
        <f t="shared" si="92"/>
        <v>0</v>
      </c>
      <c r="R524">
        <f t="shared" si="88"/>
        <v>0</v>
      </c>
    </row>
    <row r="525" spans="1:18" x14ac:dyDescent="0.3">
      <c r="A525">
        <f t="shared" si="93"/>
        <v>522</v>
      </c>
      <c r="B525">
        <f t="shared" si="94"/>
        <v>44</v>
      </c>
      <c r="C525">
        <f t="shared" si="95"/>
        <v>527</v>
      </c>
      <c r="D525">
        <f t="shared" si="89"/>
        <v>44</v>
      </c>
      <c r="E525">
        <f>[1]model_point!$C$2+D525-1</f>
        <v>48</v>
      </c>
      <c r="F525">
        <f>VLOOKUP(E525,'[1]202512 BE mortality'!$A:$C,3,0)</f>
        <v>6.6357166337434395E-3</v>
      </c>
      <c r="G525">
        <f>VLOOKUP(D525,'[1]202512 BE lapse'!$C:$D,2,0)</f>
        <v>6.4745359650994127E-3</v>
      </c>
      <c r="H525">
        <f>VLOOKUP($B525,'[1]202512 RFR'!$A:$B,2,0)</f>
        <v>0.02</v>
      </c>
      <c r="I525">
        <f t="shared" si="96"/>
        <v>1.3000514771323344</v>
      </c>
      <c r="J525">
        <f t="shared" si="97"/>
        <v>7.2149370382352347E-4</v>
      </c>
      <c r="K525">
        <f t="shared" si="98"/>
        <v>0</v>
      </c>
      <c r="L525">
        <f t="shared" si="90"/>
        <v>0.55123370203490341</v>
      </c>
      <c r="M525">
        <f>IF(AND(MOD(C525,12)=1,D525&lt;='[1]Product parameters'!$C$2),I524*[1]model_point!$G$2,0)</f>
        <v>0</v>
      </c>
      <c r="N525">
        <f t="shared" si="91"/>
        <v>0</v>
      </c>
      <c r="O525">
        <f>[2]results_sample_product_cf!G524</f>
        <v>0</v>
      </c>
      <c r="P525">
        <f>[2]results_sample_product_cf!H524</f>
        <v>0</v>
      </c>
      <c r="Q525">
        <f t="shared" si="92"/>
        <v>0</v>
      </c>
      <c r="R525">
        <f t="shared" si="88"/>
        <v>0</v>
      </c>
    </row>
    <row r="526" spans="1:18" x14ac:dyDescent="0.3">
      <c r="A526">
        <f t="shared" si="93"/>
        <v>523</v>
      </c>
      <c r="B526">
        <f t="shared" si="94"/>
        <v>44</v>
      </c>
      <c r="C526">
        <f t="shared" si="95"/>
        <v>528</v>
      </c>
      <c r="D526">
        <f t="shared" si="89"/>
        <v>44</v>
      </c>
      <c r="E526">
        <f>[1]model_point!$C$2+D526-1</f>
        <v>48</v>
      </c>
      <c r="F526">
        <f>VLOOKUP(E526,'[1]202512 BE mortality'!$A:$C,3,0)</f>
        <v>6.6357166337434395E-3</v>
      </c>
      <c r="G526">
        <f>VLOOKUP(D526,'[1]202512 BE lapse'!$C:$D,2,0)</f>
        <v>6.4745359650994127E-3</v>
      </c>
      <c r="H526">
        <f>VLOOKUP($B526,'[1]202512 RFR'!$A:$B,2,0)</f>
        <v>0.02</v>
      </c>
      <c r="I526">
        <f t="shared" si="96"/>
        <v>1.2909178223168047</v>
      </c>
      <c r="J526">
        <f t="shared" si="97"/>
        <v>7.2109351626095252E-4</v>
      </c>
      <c r="K526">
        <f t="shared" si="98"/>
        <v>8.4125612992686834E-3</v>
      </c>
      <c r="L526">
        <f t="shared" si="90"/>
        <v>0.5503247958920251</v>
      </c>
      <c r="M526">
        <f>IF(AND(MOD(C526,12)=1,D526&lt;='[1]Product parameters'!$C$2),I525*[1]model_point!$G$2,0)</f>
        <v>0</v>
      </c>
      <c r="N526">
        <f t="shared" si="91"/>
        <v>0</v>
      </c>
      <c r="O526">
        <f>[2]results_sample_product_cf!G525</f>
        <v>0</v>
      </c>
      <c r="P526">
        <f>[2]results_sample_product_cf!H525</f>
        <v>0</v>
      </c>
      <c r="Q526">
        <f t="shared" si="92"/>
        <v>0</v>
      </c>
      <c r="R526">
        <f t="shared" si="88"/>
        <v>0</v>
      </c>
    </row>
    <row r="527" spans="1:18" x14ac:dyDescent="0.3">
      <c r="A527">
        <f t="shared" si="93"/>
        <v>524</v>
      </c>
      <c r="B527">
        <f t="shared" si="94"/>
        <v>44</v>
      </c>
      <c r="C527">
        <f t="shared" si="95"/>
        <v>529</v>
      </c>
      <c r="D527">
        <f t="shared" si="89"/>
        <v>45</v>
      </c>
      <c r="E527">
        <f>[1]model_point!$C$2+D527-1</f>
        <v>49</v>
      </c>
      <c r="F527">
        <f>VLOOKUP(E527,'[1]202512 BE mortality'!$A:$C,3,0)</f>
        <v>1.8748133276354716E-4</v>
      </c>
      <c r="G527">
        <f>VLOOKUP(D527,'[1]202512 BE lapse'!$C:$D,2,0)</f>
        <v>9.1317441734963603E-3</v>
      </c>
      <c r="H527">
        <f>VLOOKUP($B527,'[1]202512 RFR'!$A:$B,2,0)</f>
        <v>0.02</v>
      </c>
      <c r="I527">
        <f t="shared" si="96"/>
        <v>1.290897652000714</v>
      </c>
      <c r="J527">
        <f t="shared" si="97"/>
        <v>2.0170316090629536E-5</v>
      </c>
      <c r="K527">
        <f t="shared" si="98"/>
        <v>0</v>
      </c>
      <c r="L527">
        <f t="shared" si="90"/>
        <v>0.54941738840638332</v>
      </c>
      <c r="M527">
        <f>IF(AND(MOD(C527,12)=1,D527&lt;='[1]Product parameters'!$C$2),I526*[1]model_point!$G$2,0)</f>
        <v>0</v>
      </c>
      <c r="N527">
        <f t="shared" si="91"/>
        <v>0</v>
      </c>
      <c r="O527">
        <f>[2]results_sample_product_cf!G526</f>
        <v>0</v>
      </c>
      <c r="P527">
        <f>[2]results_sample_product_cf!H526</f>
        <v>0</v>
      </c>
      <c r="Q527">
        <f t="shared" si="92"/>
        <v>0</v>
      </c>
      <c r="R527">
        <f t="shared" si="88"/>
        <v>0</v>
      </c>
    </row>
    <row r="528" spans="1:18" x14ac:dyDescent="0.3">
      <c r="A528">
        <f t="shared" si="93"/>
        <v>525</v>
      </c>
      <c r="B528">
        <f t="shared" si="94"/>
        <v>44</v>
      </c>
      <c r="C528">
        <f t="shared" si="95"/>
        <v>530</v>
      </c>
      <c r="D528">
        <f t="shared" si="89"/>
        <v>45</v>
      </c>
      <c r="E528">
        <f>[1]model_point!$C$2+D528-1</f>
        <v>49</v>
      </c>
      <c r="F528">
        <f>VLOOKUP(E528,'[1]202512 BE mortality'!$A:$C,3,0)</f>
        <v>1.8748133276354716E-4</v>
      </c>
      <c r="G528">
        <f>VLOOKUP(D528,'[1]202512 BE lapse'!$C:$D,2,0)</f>
        <v>9.1317441734963603E-3</v>
      </c>
      <c r="H528">
        <f>VLOOKUP($B528,'[1]202512 RFR'!$A:$B,2,0)</f>
        <v>0.02</v>
      </c>
      <c r="I528">
        <f t="shared" si="96"/>
        <v>1.2908774819997804</v>
      </c>
      <c r="J528">
        <f t="shared" si="97"/>
        <v>2.0170000933735611E-5</v>
      </c>
      <c r="K528">
        <f t="shared" si="98"/>
        <v>0</v>
      </c>
      <c r="L528">
        <f t="shared" si="90"/>
        <v>0.54851147710690495</v>
      </c>
      <c r="M528">
        <f>IF(AND(MOD(C528,12)=1,D528&lt;='[1]Product parameters'!$C$2),I527*[1]model_point!$G$2,0)</f>
        <v>0</v>
      </c>
      <c r="N528">
        <f t="shared" si="91"/>
        <v>0</v>
      </c>
      <c r="O528">
        <f>[2]results_sample_product_cf!G527</f>
        <v>0</v>
      </c>
      <c r="P528">
        <f>[2]results_sample_product_cf!H527</f>
        <v>0</v>
      </c>
      <c r="Q528">
        <f t="shared" si="92"/>
        <v>0</v>
      </c>
      <c r="R528">
        <f t="shared" si="88"/>
        <v>0</v>
      </c>
    </row>
    <row r="529" spans="1:18" x14ac:dyDescent="0.3">
      <c r="A529">
        <f t="shared" si="93"/>
        <v>526</v>
      </c>
      <c r="B529">
        <f t="shared" si="94"/>
        <v>44</v>
      </c>
      <c r="C529">
        <f t="shared" si="95"/>
        <v>531</v>
      </c>
      <c r="D529">
        <f t="shared" si="89"/>
        <v>45</v>
      </c>
      <c r="E529">
        <f>[1]model_point!$C$2+D529-1</f>
        <v>49</v>
      </c>
      <c r="F529">
        <f>VLOOKUP(E529,'[1]202512 BE mortality'!$A:$C,3,0)</f>
        <v>1.8748133276354716E-4</v>
      </c>
      <c r="G529">
        <f>VLOOKUP(D529,'[1]202512 BE lapse'!$C:$D,2,0)</f>
        <v>9.1317441734963603E-3</v>
      </c>
      <c r="H529">
        <f>VLOOKUP($B529,'[1]202512 RFR'!$A:$B,2,0)</f>
        <v>0.02</v>
      </c>
      <c r="I529">
        <f t="shared" si="96"/>
        <v>1.2908573123139986</v>
      </c>
      <c r="J529">
        <f t="shared" si="97"/>
        <v>2.0169685781765945E-5</v>
      </c>
      <c r="K529">
        <f t="shared" si="98"/>
        <v>0</v>
      </c>
      <c r="L529">
        <f t="shared" si="90"/>
        <v>0.54760705952659128</v>
      </c>
      <c r="M529">
        <f>IF(AND(MOD(C529,12)=1,D529&lt;='[1]Product parameters'!$C$2),I528*[1]model_point!$G$2,0)</f>
        <v>0</v>
      </c>
      <c r="N529">
        <f t="shared" si="91"/>
        <v>0</v>
      </c>
      <c r="O529">
        <f>[2]results_sample_product_cf!G528</f>
        <v>0</v>
      </c>
      <c r="P529">
        <f>[2]results_sample_product_cf!H528</f>
        <v>0</v>
      </c>
      <c r="Q529">
        <f t="shared" si="92"/>
        <v>0</v>
      </c>
      <c r="R529">
        <f t="shared" si="88"/>
        <v>0</v>
      </c>
    </row>
    <row r="530" spans="1:18" x14ac:dyDescent="0.3">
      <c r="A530">
        <f t="shared" si="93"/>
        <v>527</v>
      </c>
      <c r="B530">
        <f t="shared" si="94"/>
        <v>44</v>
      </c>
      <c r="C530">
        <f t="shared" si="95"/>
        <v>532</v>
      </c>
      <c r="D530">
        <f t="shared" si="89"/>
        <v>45</v>
      </c>
      <c r="E530">
        <f>[1]model_point!$C$2+D530-1</f>
        <v>49</v>
      </c>
      <c r="F530">
        <f>VLOOKUP(E530,'[1]202512 BE mortality'!$A:$C,3,0)</f>
        <v>1.8748133276354716E-4</v>
      </c>
      <c r="G530">
        <f>VLOOKUP(D530,'[1]202512 BE lapse'!$C:$D,2,0)</f>
        <v>9.1317441734963603E-3</v>
      </c>
      <c r="H530">
        <f>VLOOKUP($B530,'[1]202512 RFR'!$A:$B,2,0)</f>
        <v>0.02</v>
      </c>
      <c r="I530">
        <f t="shared" si="96"/>
        <v>1.2908371429433638</v>
      </c>
      <c r="J530">
        <f t="shared" si="97"/>
        <v>2.0169370634720458E-5</v>
      </c>
      <c r="K530">
        <f t="shared" si="98"/>
        <v>0</v>
      </c>
      <c r="L530">
        <f t="shared" si="90"/>
        <v>0.54670413320251154</v>
      </c>
      <c r="M530">
        <f>IF(AND(MOD(C530,12)=1,D530&lt;='[1]Product parameters'!$C$2),I529*[1]model_point!$G$2,0)</f>
        <v>0</v>
      </c>
      <c r="N530">
        <f t="shared" si="91"/>
        <v>0</v>
      </c>
      <c r="O530">
        <f>[2]results_sample_product_cf!G529</f>
        <v>0</v>
      </c>
      <c r="P530">
        <f>[2]results_sample_product_cf!H529</f>
        <v>0</v>
      </c>
      <c r="Q530">
        <f t="shared" si="92"/>
        <v>0</v>
      </c>
      <c r="R530">
        <f t="shared" si="88"/>
        <v>0</v>
      </c>
    </row>
    <row r="531" spans="1:18" x14ac:dyDescent="0.3">
      <c r="A531">
        <f t="shared" si="93"/>
        <v>528</v>
      </c>
      <c r="B531">
        <f t="shared" si="94"/>
        <v>44</v>
      </c>
      <c r="C531">
        <f t="shared" si="95"/>
        <v>533</v>
      </c>
      <c r="D531">
        <f t="shared" si="89"/>
        <v>45</v>
      </c>
      <c r="E531">
        <f>[1]model_point!$C$2+D531-1</f>
        <v>49</v>
      </c>
      <c r="F531">
        <f>VLOOKUP(E531,'[1]202512 BE mortality'!$A:$C,3,0)</f>
        <v>1.8748133276354716E-4</v>
      </c>
      <c r="G531">
        <f>VLOOKUP(D531,'[1]202512 BE lapse'!$C:$D,2,0)</f>
        <v>9.1317441734963603E-3</v>
      </c>
      <c r="H531">
        <f>VLOOKUP($B531,'[1]202512 RFR'!$A:$B,2,0)</f>
        <v>0.02</v>
      </c>
      <c r="I531">
        <f t="shared" si="96"/>
        <v>1.2908169738878712</v>
      </c>
      <c r="J531">
        <f t="shared" si="97"/>
        <v>2.0169055492599078E-5</v>
      </c>
      <c r="K531">
        <f t="shared" si="98"/>
        <v>0</v>
      </c>
      <c r="L531">
        <f t="shared" si="90"/>
        <v>0.54580269567579576</v>
      </c>
      <c r="M531">
        <f>IF(AND(MOD(C531,12)=1,D531&lt;='[1]Product parameters'!$C$2),I530*[1]model_point!$G$2,0)</f>
        <v>0</v>
      </c>
      <c r="N531">
        <f t="shared" si="91"/>
        <v>0</v>
      </c>
      <c r="O531">
        <f>[2]results_sample_product_cf!G530</f>
        <v>0</v>
      </c>
      <c r="P531">
        <f>[2]results_sample_product_cf!H530</f>
        <v>0</v>
      </c>
      <c r="Q531">
        <f t="shared" si="92"/>
        <v>0</v>
      </c>
      <c r="R531">
        <f t="shared" si="88"/>
        <v>0</v>
      </c>
    </row>
    <row r="532" spans="1:18" x14ac:dyDescent="0.3">
      <c r="A532">
        <f t="shared" si="93"/>
        <v>529</v>
      </c>
      <c r="B532">
        <f t="shared" si="94"/>
        <v>45</v>
      </c>
      <c r="C532">
        <f t="shared" si="95"/>
        <v>534</v>
      </c>
      <c r="D532">
        <f t="shared" si="89"/>
        <v>45</v>
      </c>
      <c r="E532">
        <f>[1]model_point!$C$2+D532-1</f>
        <v>49</v>
      </c>
      <c r="F532">
        <f>VLOOKUP(E532,'[1]202512 BE mortality'!$A:$C,3,0)</f>
        <v>1.8748133276354716E-4</v>
      </c>
      <c r="G532">
        <f>VLOOKUP(D532,'[1]202512 BE lapse'!$C:$D,2,0)</f>
        <v>9.1317441734963603E-3</v>
      </c>
      <c r="H532">
        <f>VLOOKUP($B532,'[1]202512 RFR'!$A:$B,2,0)</f>
        <v>0.02</v>
      </c>
      <c r="I532">
        <f t="shared" si="96"/>
        <v>1.2907968051475158</v>
      </c>
      <c r="J532">
        <f t="shared" si="97"/>
        <v>2.0168740355401728E-5</v>
      </c>
      <c r="K532">
        <f t="shared" si="98"/>
        <v>0</v>
      </c>
      <c r="L532">
        <f t="shared" si="90"/>
        <v>0.54490274449162834</v>
      </c>
      <c r="M532">
        <f>IF(AND(MOD(C532,12)=1,D532&lt;='[1]Product parameters'!$C$2),I531*[1]model_point!$G$2,0)</f>
        <v>0</v>
      </c>
      <c r="N532">
        <f t="shared" si="91"/>
        <v>0</v>
      </c>
      <c r="O532">
        <f>[2]results_sample_product_cf!G531</f>
        <v>0</v>
      </c>
      <c r="P532">
        <f>[2]results_sample_product_cf!H531</f>
        <v>0</v>
      </c>
      <c r="Q532">
        <f t="shared" si="92"/>
        <v>0</v>
      </c>
      <c r="R532">
        <f t="shared" si="88"/>
        <v>0</v>
      </c>
    </row>
    <row r="533" spans="1:18" x14ac:dyDescent="0.3">
      <c r="A533">
        <f t="shared" si="93"/>
        <v>530</v>
      </c>
      <c r="B533">
        <f t="shared" si="94"/>
        <v>45</v>
      </c>
      <c r="C533">
        <f t="shared" si="95"/>
        <v>535</v>
      </c>
      <c r="D533">
        <f t="shared" si="89"/>
        <v>45</v>
      </c>
      <c r="E533">
        <f>[1]model_point!$C$2+D533-1</f>
        <v>49</v>
      </c>
      <c r="F533">
        <f>VLOOKUP(E533,'[1]202512 BE mortality'!$A:$C,3,0)</f>
        <v>1.8748133276354716E-4</v>
      </c>
      <c r="G533">
        <f>VLOOKUP(D533,'[1]202512 BE lapse'!$C:$D,2,0)</f>
        <v>9.1317441734963603E-3</v>
      </c>
      <c r="H533">
        <f>VLOOKUP($B533,'[1]202512 RFR'!$A:$B,2,0)</f>
        <v>0.02</v>
      </c>
      <c r="I533">
        <f t="shared" si="96"/>
        <v>1.2907766367222926</v>
      </c>
      <c r="J533">
        <f t="shared" si="97"/>
        <v>2.0168425223128329E-5</v>
      </c>
      <c r="K533">
        <f t="shared" si="98"/>
        <v>0</v>
      </c>
      <c r="L533">
        <f t="shared" si="90"/>
        <v>0.54400427719924149</v>
      </c>
      <c r="M533">
        <f>IF(AND(MOD(C533,12)=1,D533&lt;='[1]Product parameters'!$C$2),I532*[1]model_point!$G$2,0)</f>
        <v>0</v>
      </c>
      <c r="N533">
        <f t="shared" si="91"/>
        <v>0</v>
      </c>
      <c r="O533">
        <f>[2]results_sample_product_cf!G532</f>
        <v>0</v>
      </c>
      <c r="P533">
        <f>[2]results_sample_product_cf!H532</f>
        <v>0</v>
      </c>
      <c r="Q533">
        <f t="shared" si="92"/>
        <v>0</v>
      </c>
      <c r="R533">
        <f t="shared" si="88"/>
        <v>0</v>
      </c>
    </row>
    <row r="534" spans="1:18" x14ac:dyDescent="0.3">
      <c r="A534">
        <f t="shared" si="93"/>
        <v>531</v>
      </c>
      <c r="B534">
        <f t="shared" si="94"/>
        <v>45</v>
      </c>
      <c r="C534">
        <f t="shared" si="95"/>
        <v>536</v>
      </c>
      <c r="D534">
        <f t="shared" si="89"/>
        <v>45</v>
      </c>
      <c r="E534">
        <f>[1]model_point!$C$2+D534-1</f>
        <v>49</v>
      </c>
      <c r="F534">
        <f>VLOOKUP(E534,'[1]202512 BE mortality'!$A:$C,3,0)</f>
        <v>1.8748133276354716E-4</v>
      </c>
      <c r="G534">
        <f>VLOOKUP(D534,'[1]202512 BE lapse'!$C:$D,2,0)</f>
        <v>9.1317441734963603E-3</v>
      </c>
      <c r="H534">
        <f>VLOOKUP($B534,'[1]202512 RFR'!$A:$B,2,0)</f>
        <v>0.02</v>
      </c>
      <c r="I534">
        <f t="shared" si="96"/>
        <v>1.2907564686121968</v>
      </c>
      <c r="J534">
        <f t="shared" si="97"/>
        <v>2.0168110095778801E-5</v>
      </c>
      <c r="K534">
        <f t="shared" si="98"/>
        <v>0</v>
      </c>
      <c r="L534">
        <f t="shared" si="90"/>
        <v>0.54310729135190816</v>
      </c>
      <c r="M534">
        <f>IF(AND(MOD(C534,12)=1,D534&lt;='[1]Product parameters'!$C$2),I533*[1]model_point!$G$2,0)</f>
        <v>0</v>
      </c>
      <c r="N534">
        <f t="shared" si="91"/>
        <v>0</v>
      </c>
      <c r="O534">
        <f>[2]results_sample_product_cf!G533</f>
        <v>0</v>
      </c>
      <c r="P534">
        <f>[2]results_sample_product_cf!H533</f>
        <v>0</v>
      </c>
      <c r="Q534">
        <f t="shared" si="92"/>
        <v>0</v>
      </c>
      <c r="R534">
        <f t="shared" si="88"/>
        <v>0</v>
      </c>
    </row>
    <row r="535" spans="1:18" x14ac:dyDescent="0.3">
      <c r="A535">
        <f t="shared" si="93"/>
        <v>532</v>
      </c>
      <c r="B535">
        <f t="shared" si="94"/>
        <v>45</v>
      </c>
      <c r="C535">
        <f t="shared" si="95"/>
        <v>537</v>
      </c>
      <c r="D535">
        <f t="shared" si="89"/>
        <v>45</v>
      </c>
      <c r="E535">
        <f>[1]model_point!$C$2+D535-1</f>
        <v>49</v>
      </c>
      <c r="F535">
        <f>VLOOKUP(E535,'[1]202512 BE mortality'!$A:$C,3,0)</f>
        <v>1.8748133276354716E-4</v>
      </c>
      <c r="G535">
        <f>VLOOKUP(D535,'[1]202512 BE lapse'!$C:$D,2,0)</f>
        <v>9.1317441734963603E-3</v>
      </c>
      <c r="H535">
        <f>VLOOKUP($B535,'[1]202512 RFR'!$A:$B,2,0)</f>
        <v>0.02</v>
      </c>
      <c r="I535">
        <f t="shared" si="96"/>
        <v>1.2907363008172235</v>
      </c>
      <c r="J535">
        <f t="shared" si="97"/>
        <v>2.0167794973353075E-5</v>
      </c>
      <c r="K535">
        <f t="shared" si="98"/>
        <v>0</v>
      </c>
      <c r="L535">
        <f t="shared" si="90"/>
        <v>0.54221178450693575</v>
      </c>
      <c r="M535">
        <f>IF(AND(MOD(C535,12)=1,D535&lt;='[1]Product parameters'!$C$2),I534*[1]model_point!$G$2,0)</f>
        <v>0</v>
      </c>
      <c r="N535">
        <f t="shared" si="91"/>
        <v>0</v>
      </c>
      <c r="O535">
        <f>[2]results_sample_product_cf!G534</f>
        <v>0</v>
      </c>
      <c r="P535">
        <f>[2]results_sample_product_cf!H534</f>
        <v>0</v>
      </c>
      <c r="Q535">
        <f t="shared" si="92"/>
        <v>0</v>
      </c>
      <c r="R535">
        <f t="shared" si="88"/>
        <v>0</v>
      </c>
    </row>
    <row r="536" spans="1:18" x14ac:dyDescent="0.3">
      <c r="A536">
        <f t="shared" si="93"/>
        <v>533</v>
      </c>
      <c r="B536">
        <f t="shared" si="94"/>
        <v>45</v>
      </c>
      <c r="C536">
        <f t="shared" si="95"/>
        <v>538</v>
      </c>
      <c r="D536">
        <f t="shared" si="89"/>
        <v>45</v>
      </c>
      <c r="E536">
        <f>[1]model_point!$C$2+D536-1</f>
        <v>49</v>
      </c>
      <c r="F536">
        <f>VLOOKUP(E536,'[1]202512 BE mortality'!$A:$C,3,0)</f>
        <v>1.8748133276354716E-4</v>
      </c>
      <c r="G536">
        <f>VLOOKUP(D536,'[1]202512 BE lapse'!$C:$D,2,0)</f>
        <v>9.1317441734963603E-3</v>
      </c>
      <c r="H536">
        <f>VLOOKUP($B536,'[1]202512 RFR'!$A:$B,2,0)</f>
        <v>0.02</v>
      </c>
      <c r="I536">
        <f t="shared" si="96"/>
        <v>1.2907161333373676</v>
      </c>
      <c r="J536">
        <f t="shared" si="97"/>
        <v>2.0167479855851071E-5</v>
      </c>
      <c r="K536">
        <f t="shared" si="98"/>
        <v>0</v>
      </c>
      <c r="L536">
        <f t="shared" si="90"/>
        <v>0.5413177542256592</v>
      </c>
      <c r="M536">
        <f>IF(AND(MOD(C536,12)=1,D536&lt;='[1]Product parameters'!$C$2),I535*[1]model_point!$G$2,0)</f>
        <v>0</v>
      </c>
      <c r="N536">
        <f t="shared" si="91"/>
        <v>0</v>
      </c>
      <c r="O536">
        <f>[2]results_sample_product_cf!G535</f>
        <v>0</v>
      </c>
      <c r="P536">
        <f>[2]results_sample_product_cf!H535</f>
        <v>0</v>
      </c>
      <c r="Q536">
        <f t="shared" si="92"/>
        <v>0</v>
      </c>
      <c r="R536">
        <f t="shared" si="88"/>
        <v>0</v>
      </c>
    </row>
    <row r="537" spans="1:18" x14ac:dyDescent="0.3">
      <c r="A537">
        <f t="shared" si="93"/>
        <v>534</v>
      </c>
      <c r="B537">
        <f t="shared" si="94"/>
        <v>45</v>
      </c>
      <c r="C537">
        <f t="shared" si="95"/>
        <v>539</v>
      </c>
      <c r="D537">
        <f t="shared" si="89"/>
        <v>45</v>
      </c>
      <c r="E537">
        <f>[1]model_point!$C$2+D537-1</f>
        <v>49</v>
      </c>
      <c r="F537">
        <f>VLOOKUP(E537,'[1]202512 BE mortality'!$A:$C,3,0)</f>
        <v>1.8748133276354716E-4</v>
      </c>
      <c r="G537">
        <f>VLOOKUP(D537,'[1]202512 BE lapse'!$C:$D,2,0)</f>
        <v>9.1317441734963603E-3</v>
      </c>
      <c r="H537">
        <f>VLOOKUP($B537,'[1]202512 RFR'!$A:$B,2,0)</f>
        <v>0.02</v>
      </c>
      <c r="I537">
        <f t="shared" si="96"/>
        <v>1.2906959661726243</v>
      </c>
      <c r="J537">
        <f t="shared" si="97"/>
        <v>2.0167164743272706E-5</v>
      </c>
      <c r="K537">
        <f t="shared" si="98"/>
        <v>0</v>
      </c>
      <c r="L537">
        <f t="shared" si="90"/>
        <v>0.54042519807343459</v>
      </c>
      <c r="M537">
        <f>IF(AND(MOD(C537,12)=1,D537&lt;='[1]Product parameters'!$C$2),I536*[1]model_point!$G$2,0)</f>
        <v>0</v>
      </c>
      <c r="N537">
        <f t="shared" si="91"/>
        <v>0</v>
      </c>
      <c r="O537">
        <f>[2]results_sample_product_cf!G536</f>
        <v>0</v>
      </c>
      <c r="P537">
        <f>[2]results_sample_product_cf!H536</f>
        <v>0</v>
      </c>
      <c r="Q537">
        <f t="shared" si="92"/>
        <v>0</v>
      </c>
      <c r="R537">
        <f t="shared" si="88"/>
        <v>0</v>
      </c>
    </row>
    <row r="538" spans="1:18" x14ac:dyDescent="0.3">
      <c r="A538">
        <f t="shared" si="93"/>
        <v>535</v>
      </c>
      <c r="B538">
        <f t="shared" si="94"/>
        <v>45</v>
      </c>
      <c r="C538">
        <f t="shared" si="95"/>
        <v>540</v>
      </c>
      <c r="D538">
        <f t="shared" si="89"/>
        <v>45</v>
      </c>
      <c r="E538">
        <f>[1]model_point!$C$2+D538-1</f>
        <v>49</v>
      </c>
      <c r="F538">
        <f>VLOOKUP(E538,'[1]202512 BE mortality'!$A:$C,3,0)</f>
        <v>1.8748133276354716E-4</v>
      </c>
      <c r="G538">
        <f>VLOOKUP(D538,'[1]202512 BE lapse'!$C:$D,2,0)</f>
        <v>9.1317441734963603E-3</v>
      </c>
      <c r="H538">
        <f>VLOOKUP($B538,'[1]202512 RFR'!$A:$B,2,0)</f>
        <v>0.02</v>
      </c>
      <c r="I538">
        <f t="shared" si="96"/>
        <v>1.2788896781126482</v>
      </c>
      <c r="J538">
        <f t="shared" si="97"/>
        <v>2.016684963561791E-5</v>
      </c>
      <c r="K538">
        <f t="shared" si="98"/>
        <v>1.178612121034046E-2</v>
      </c>
      <c r="L538">
        <f t="shared" si="90"/>
        <v>0.53953411361963233</v>
      </c>
      <c r="M538">
        <f>IF(AND(MOD(C538,12)=1,D538&lt;='[1]Product parameters'!$C$2),I537*[1]model_point!$G$2,0)</f>
        <v>0</v>
      </c>
      <c r="N538">
        <f t="shared" si="91"/>
        <v>0</v>
      </c>
      <c r="O538">
        <f>[2]results_sample_product_cf!G537</f>
        <v>0</v>
      </c>
      <c r="P538">
        <f>[2]results_sample_product_cf!H537</f>
        <v>0</v>
      </c>
      <c r="Q538">
        <f t="shared" si="92"/>
        <v>0</v>
      </c>
      <c r="R538">
        <f t="shared" si="88"/>
        <v>0</v>
      </c>
    </row>
    <row r="539" spans="1:18" x14ac:dyDescent="0.3">
      <c r="A539">
        <f t="shared" si="93"/>
        <v>536</v>
      </c>
      <c r="B539">
        <f t="shared" si="94"/>
        <v>45</v>
      </c>
      <c r="C539">
        <f t="shared" si="95"/>
        <v>541</v>
      </c>
      <c r="D539">
        <f t="shared" si="89"/>
        <v>46</v>
      </c>
      <c r="E539">
        <f>[1]model_point!$C$2+D539-1</f>
        <v>50</v>
      </c>
      <c r="F539">
        <f>VLOOKUP(E539,'[1]202512 BE mortality'!$A:$C,3,0)</f>
        <v>8.7211098324946126E-3</v>
      </c>
      <c r="G539">
        <f>VLOOKUP(D539,'[1]202512 BE lapse'!$C:$D,2,0)</f>
        <v>8.6031611095778188E-3</v>
      </c>
      <c r="H539">
        <f>VLOOKUP($B539,'[1]202512 RFR'!$A:$B,2,0)</f>
        <v>0.02</v>
      </c>
      <c r="I539">
        <f t="shared" si="96"/>
        <v>1.2779564973473168</v>
      </c>
      <c r="J539">
        <f t="shared" si="97"/>
        <v>9.3318076533154622E-4</v>
      </c>
      <c r="K539">
        <f t="shared" si="98"/>
        <v>0</v>
      </c>
      <c r="L539">
        <f t="shared" si="90"/>
        <v>0.53864449843763051</v>
      </c>
      <c r="M539">
        <f>IF(AND(MOD(C539,12)=1,D539&lt;='[1]Product parameters'!$C$2),I538*[1]model_point!$G$2,0)</f>
        <v>0</v>
      </c>
      <c r="N539">
        <f t="shared" si="91"/>
        <v>0</v>
      </c>
      <c r="O539">
        <f>[2]results_sample_product_cf!G538</f>
        <v>0</v>
      </c>
      <c r="P539">
        <f>[2]results_sample_product_cf!H538</f>
        <v>0</v>
      </c>
      <c r="Q539">
        <f t="shared" si="92"/>
        <v>0</v>
      </c>
      <c r="R539">
        <f t="shared" si="88"/>
        <v>0</v>
      </c>
    </row>
    <row r="540" spans="1:18" x14ac:dyDescent="0.3">
      <c r="A540">
        <f t="shared" si="93"/>
        <v>537</v>
      </c>
      <c r="B540">
        <f t="shared" si="94"/>
        <v>45</v>
      </c>
      <c r="C540">
        <f t="shared" si="95"/>
        <v>542</v>
      </c>
      <c r="D540">
        <f t="shared" si="89"/>
        <v>46</v>
      </c>
      <c r="E540">
        <f>[1]model_point!$C$2+D540-1</f>
        <v>50</v>
      </c>
      <c r="F540">
        <f>VLOOKUP(E540,'[1]202512 BE mortality'!$A:$C,3,0)</f>
        <v>8.7211098324946126E-3</v>
      </c>
      <c r="G540">
        <f>VLOOKUP(D540,'[1]202512 BE lapse'!$C:$D,2,0)</f>
        <v>8.6031611095778188E-3</v>
      </c>
      <c r="H540">
        <f>VLOOKUP($B540,'[1]202512 RFR'!$A:$B,2,0)</f>
        <v>0.02</v>
      </c>
      <c r="I540">
        <f t="shared" si="96"/>
        <v>1.2770239975057238</v>
      </c>
      <c r="J540">
        <f t="shared" si="97"/>
        <v>9.3249984159301874E-4</v>
      </c>
      <c r="K540">
        <f t="shared" si="98"/>
        <v>0</v>
      </c>
      <c r="L540">
        <f t="shared" si="90"/>
        <v>0.5377563501048086</v>
      </c>
      <c r="M540">
        <f>IF(AND(MOD(C540,12)=1,D540&lt;='[1]Product parameters'!$C$2),I539*[1]model_point!$G$2,0)</f>
        <v>0</v>
      </c>
      <c r="N540">
        <f t="shared" si="91"/>
        <v>0</v>
      </c>
      <c r="O540">
        <f>[2]results_sample_product_cf!G539</f>
        <v>0</v>
      </c>
      <c r="P540">
        <f>[2]results_sample_product_cf!H539</f>
        <v>0</v>
      </c>
      <c r="Q540">
        <f t="shared" si="92"/>
        <v>0</v>
      </c>
      <c r="R540">
        <f t="shared" si="88"/>
        <v>0</v>
      </c>
    </row>
    <row r="541" spans="1:18" x14ac:dyDescent="0.3">
      <c r="A541">
        <f t="shared" si="93"/>
        <v>538</v>
      </c>
      <c r="B541">
        <f t="shared" si="94"/>
        <v>45</v>
      </c>
      <c r="C541">
        <f t="shared" si="95"/>
        <v>543</v>
      </c>
      <c r="D541">
        <f t="shared" si="89"/>
        <v>46</v>
      </c>
      <c r="E541">
        <f>[1]model_point!$C$2+D541-1</f>
        <v>50</v>
      </c>
      <c r="F541">
        <f>VLOOKUP(E541,'[1]202512 BE mortality'!$A:$C,3,0)</f>
        <v>8.7211098324946126E-3</v>
      </c>
      <c r="G541">
        <f>VLOOKUP(D541,'[1]202512 BE lapse'!$C:$D,2,0)</f>
        <v>8.6031611095778188E-3</v>
      </c>
      <c r="H541">
        <f>VLOOKUP($B541,'[1]202512 RFR'!$A:$B,2,0)</f>
        <v>0.02</v>
      </c>
      <c r="I541">
        <f t="shared" si="96"/>
        <v>1.2760921780910126</v>
      </c>
      <c r="J541">
        <f t="shared" si="97"/>
        <v>9.3181941471121498E-4</v>
      </c>
      <c r="K541">
        <f t="shared" si="98"/>
        <v>0</v>
      </c>
      <c r="L541">
        <f t="shared" si="90"/>
        <v>0.53686966620254029</v>
      </c>
      <c r="M541">
        <f>IF(AND(MOD(C541,12)=1,D541&lt;='[1]Product parameters'!$C$2),I540*[1]model_point!$G$2,0)</f>
        <v>0</v>
      </c>
      <c r="N541">
        <f t="shared" si="91"/>
        <v>0</v>
      </c>
      <c r="O541">
        <f>[2]results_sample_product_cf!G540</f>
        <v>0</v>
      </c>
      <c r="P541">
        <f>[2]results_sample_product_cf!H540</f>
        <v>0</v>
      </c>
      <c r="Q541">
        <f t="shared" si="92"/>
        <v>0</v>
      </c>
      <c r="R541">
        <f t="shared" si="88"/>
        <v>0</v>
      </c>
    </row>
    <row r="542" spans="1:18" x14ac:dyDescent="0.3">
      <c r="A542">
        <f t="shared" si="93"/>
        <v>539</v>
      </c>
      <c r="B542">
        <f t="shared" si="94"/>
        <v>45</v>
      </c>
      <c r="C542">
        <f t="shared" si="95"/>
        <v>544</v>
      </c>
      <c r="D542">
        <f t="shared" si="89"/>
        <v>46</v>
      </c>
      <c r="E542">
        <f>[1]model_point!$C$2+D542-1</f>
        <v>50</v>
      </c>
      <c r="F542">
        <f>VLOOKUP(E542,'[1]202512 BE mortality'!$A:$C,3,0)</f>
        <v>8.7211098324946126E-3</v>
      </c>
      <c r="G542">
        <f>VLOOKUP(D542,'[1]202512 BE lapse'!$C:$D,2,0)</f>
        <v>8.6031611095778188E-3</v>
      </c>
      <c r="H542">
        <f>VLOOKUP($B542,'[1]202512 RFR'!$A:$B,2,0)</f>
        <v>0.02</v>
      </c>
      <c r="I542">
        <f t="shared" si="96"/>
        <v>1.2751610386066889</v>
      </c>
      <c r="J542">
        <f t="shared" si="97"/>
        <v>9.3113948432358817E-4</v>
      </c>
      <c r="K542">
        <f t="shared" si="98"/>
        <v>0</v>
      </c>
      <c r="L542">
        <f t="shared" si="90"/>
        <v>0.53598444431618752</v>
      </c>
      <c r="M542">
        <f>IF(AND(MOD(C542,12)=1,D542&lt;='[1]Product parameters'!$C$2),I541*[1]model_point!$G$2,0)</f>
        <v>0</v>
      </c>
      <c r="N542">
        <f t="shared" si="91"/>
        <v>0</v>
      </c>
      <c r="O542">
        <f>[2]results_sample_product_cf!G541</f>
        <v>0</v>
      </c>
      <c r="P542">
        <f>[2]results_sample_product_cf!H541</f>
        <v>0</v>
      </c>
      <c r="Q542">
        <f t="shared" si="92"/>
        <v>0</v>
      </c>
      <c r="R542">
        <f t="shared" si="88"/>
        <v>0</v>
      </c>
    </row>
    <row r="543" spans="1:18" x14ac:dyDescent="0.3">
      <c r="A543">
        <f t="shared" si="93"/>
        <v>540</v>
      </c>
      <c r="B543">
        <f t="shared" si="94"/>
        <v>45</v>
      </c>
      <c r="C543">
        <f t="shared" si="95"/>
        <v>545</v>
      </c>
      <c r="D543">
        <f t="shared" si="89"/>
        <v>46</v>
      </c>
      <c r="E543">
        <f>[1]model_point!$C$2+D543-1</f>
        <v>50</v>
      </c>
      <c r="F543">
        <f>VLOOKUP(E543,'[1]202512 BE mortality'!$A:$C,3,0)</f>
        <v>8.7211098324946126E-3</v>
      </c>
      <c r="G543">
        <f>VLOOKUP(D543,'[1]202512 BE lapse'!$C:$D,2,0)</f>
        <v>8.6031611095778188E-3</v>
      </c>
      <c r="H543">
        <f>VLOOKUP($B543,'[1]202512 RFR'!$A:$B,2,0)</f>
        <v>0.02</v>
      </c>
      <c r="I543">
        <f t="shared" si="96"/>
        <v>1.274230578556621</v>
      </c>
      <c r="J543">
        <f t="shared" si="97"/>
        <v>9.3046005006785636E-4</v>
      </c>
      <c r="K543">
        <f t="shared" si="98"/>
        <v>0</v>
      </c>
      <c r="L543">
        <f t="shared" si="90"/>
        <v>0.53510068203509364</v>
      </c>
      <c r="M543">
        <f>IF(AND(MOD(C543,12)=1,D543&lt;='[1]Product parameters'!$C$2),I542*[1]model_point!$G$2,0)</f>
        <v>0</v>
      </c>
      <c r="N543">
        <f t="shared" si="91"/>
        <v>0</v>
      </c>
      <c r="O543">
        <f>[2]results_sample_product_cf!G542</f>
        <v>0</v>
      </c>
      <c r="P543">
        <f>[2]results_sample_product_cf!H542</f>
        <v>0</v>
      </c>
      <c r="Q543">
        <f t="shared" si="92"/>
        <v>0</v>
      </c>
      <c r="R543">
        <f t="shared" si="88"/>
        <v>0</v>
      </c>
    </row>
    <row r="544" spans="1:18" x14ac:dyDescent="0.3">
      <c r="A544">
        <f t="shared" si="93"/>
        <v>541</v>
      </c>
      <c r="B544">
        <f t="shared" si="94"/>
        <v>46</v>
      </c>
      <c r="C544">
        <f t="shared" si="95"/>
        <v>546</v>
      </c>
      <c r="D544">
        <f t="shared" si="89"/>
        <v>46</v>
      </c>
      <c r="E544">
        <f>[1]model_point!$C$2+D544-1</f>
        <v>50</v>
      </c>
      <c r="F544">
        <f>VLOOKUP(E544,'[1]202512 BE mortality'!$A:$C,3,0)</f>
        <v>8.7211098324946126E-3</v>
      </c>
      <c r="G544">
        <f>VLOOKUP(D544,'[1]202512 BE lapse'!$C:$D,2,0)</f>
        <v>8.6031611095778188E-3</v>
      </c>
      <c r="H544">
        <f>VLOOKUP($B544,'[1]202512 RFR'!$A:$B,2,0)</f>
        <v>0.02</v>
      </c>
      <c r="I544">
        <f t="shared" si="96"/>
        <v>1.273300797445039</v>
      </c>
      <c r="J544">
        <f t="shared" si="97"/>
        <v>9.2978111158200185E-4</v>
      </c>
      <c r="K544">
        <f t="shared" si="98"/>
        <v>0</v>
      </c>
      <c r="L544">
        <f t="shared" si="90"/>
        <v>0.53421837695257657</v>
      </c>
      <c r="M544">
        <f>IF(AND(MOD(C544,12)=1,D544&lt;='[1]Product parameters'!$C$2),I543*[1]model_point!$G$2,0)</f>
        <v>0</v>
      </c>
      <c r="N544">
        <f t="shared" si="91"/>
        <v>0</v>
      </c>
      <c r="O544">
        <f>[2]results_sample_product_cf!G543</f>
        <v>0</v>
      </c>
      <c r="P544">
        <f>[2]results_sample_product_cf!H543</f>
        <v>0</v>
      </c>
      <c r="Q544">
        <f t="shared" si="92"/>
        <v>0</v>
      </c>
      <c r="R544">
        <f t="shared" si="88"/>
        <v>0</v>
      </c>
    </row>
    <row r="545" spans="1:18" x14ac:dyDescent="0.3">
      <c r="A545">
        <f t="shared" si="93"/>
        <v>542</v>
      </c>
      <c r="B545">
        <f t="shared" si="94"/>
        <v>46</v>
      </c>
      <c r="C545">
        <f t="shared" si="95"/>
        <v>547</v>
      </c>
      <c r="D545">
        <f t="shared" si="89"/>
        <v>46</v>
      </c>
      <c r="E545">
        <f>[1]model_point!$C$2+D545-1</f>
        <v>50</v>
      </c>
      <c r="F545">
        <f>VLOOKUP(E545,'[1]202512 BE mortality'!$A:$C,3,0)</f>
        <v>8.7211098324946126E-3</v>
      </c>
      <c r="G545">
        <f>VLOOKUP(D545,'[1]202512 BE lapse'!$C:$D,2,0)</f>
        <v>8.6031611095778188E-3</v>
      </c>
      <c r="H545">
        <f>VLOOKUP($B545,'[1]202512 RFR'!$A:$B,2,0)</f>
        <v>0.02</v>
      </c>
      <c r="I545">
        <f t="shared" si="96"/>
        <v>1.2723716947765347</v>
      </c>
      <c r="J545">
        <f t="shared" si="97"/>
        <v>9.2910266850427094E-4</v>
      </c>
      <c r="K545">
        <f t="shared" si="98"/>
        <v>0</v>
      </c>
      <c r="L545">
        <f t="shared" si="90"/>
        <v>0.53333752666592271</v>
      </c>
      <c r="M545">
        <f>IF(AND(MOD(C545,12)=1,D545&lt;='[1]Product parameters'!$C$2),I544*[1]model_point!$G$2,0)</f>
        <v>0</v>
      </c>
      <c r="N545">
        <f t="shared" si="91"/>
        <v>0</v>
      </c>
      <c r="O545">
        <f>[2]results_sample_product_cf!G544</f>
        <v>0</v>
      </c>
      <c r="P545">
        <f>[2]results_sample_product_cf!H544</f>
        <v>0</v>
      </c>
      <c r="Q545">
        <f t="shared" si="92"/>
        <v>0</v>
      </c>
      <c r="R545">
        <f t="shared" si="88"/>
        <v>0</v>
      </c>
    </row>
    <row r="546" spans="1:18" x14ac:dyDescent="0.3">
      <c r="A546">
        <f t="shared" si="93"/>
        <v>543</v>
      </c>
      <c r="B546">
        <f t="shared" si="94"/>
        <v>46</v>
      </c>
      <c r="C546">
        <f t="shared" si="95"/>
        <v>548</v>
      </c>
      <c r="D546">
        <f t="shared" si="89"/>
        <v>46</v>
      </c>
      <c r="E546">
        <f>[1]model_point!$C$2+D546-1</f>
        <v>50</v>
      </c>
      <c r="F546">
        <f>VLOOKUP(E546,'[1]202512 BE mortality'!$A:$C,3,0)</f>
        <v>8.7211098324946126E-3</v>
      </c>
      <c r="G546">
        <f>VLOOKUP(D546,'[1]202512 BE lapse'!$C:$D,2,0)</f>
        <v>8.6031611095778188E-3</v>
      </c>
      <c r="H546">
        <f>VLOOKUP($B546,'[1]202512 RFR'!$A:$B,2,0)</f>
        <v>0.02</v>
      </c>
      <c r="I546">
        <f t="shared" si="96"/>
        <v>1.2714432700560614</v>
      </c>
      <c r="J546">
        <f t="shared" si="97"/>
        <v>9.2842472047317424E-4</v>
      </c>
      <c r="K546">
        <f t="shared" si="98"/>
        <v>0</v>
      </c>
      <c r="L546">
        <f t="shared" si="90"/>
        <v>0.53245812877638021</v>
      </c>
      <c r="M546">
        <f>IF(AND(MOD(C546,12)=1,D546&lt;='[1]Product parameters'!$C$2),I545*[1]model_point!$G$2,0)</f>
        <v>0</v>
      </c>
      <c r="N546">
        <f t="shared" si="91"/>
        <v>0</v>
      </c>
      <c r="O546">
        <f>[2]results_sample_product_cf!G545</f>
        <v>0</v>
      </c>
      <c r="P546">
        <f>[2]results_sample_product_cf!H545</f>
        <v>0</v>
      </c>
      <c r="Q546">
        <f t="shared" si="92"/>
        <v>0</v>
      </c>
      <c r="R546">
        <f t="shared" si="88"/>
        <v>0</v>
      </c>
    </row>
    <row r="547" spans="1:18" x14ac:dyDescent="0.3">
      <c r="A547">
        <f t="shared" si="93"/>
        <v>544</v>
      </c>
      <c r="B547">
        <f t="shared" si="94"/>
        <v>46</v>
      </c>
      <c r="C547">
        <f t="shared" si="95"/>
        <v>549</v>
      </c>
      <c r="D547">
        <f t="shared" si="89"/>
        <v>46</v>
      </c>
      <c r="E547">
        <f>[1]model_point!$C$2+D547-1</f>
        <v>50</v>
      </c>
      <c r="F547">
        <f>VLOOKUP(E547,'[1]202512 BE mortality'!$A:$C,3,0)</f>
        <v>8.7211098324946126E-3</v>
      </c>
      <c r="G547">
        <f>VLOOKUP(D547,'[1]202512 BE lapse'!$C:$D,2,0)</f>
        <v>8.6031611095778188E-3</v>
      </c>
      <c r="H547">
        <f>VLOOKUP($B547,'[1]202512 RFR'!$A:$B,2,0)</f>
        <v>0.02</v>
      </c>
      <c r="I547">
        <f t="shared" si="96"/>
        <v>1.270515522788934</v>
      </c>
      <c r="J547">
        <f t="shared" si="97"/>
        <v>9.2774726712748564E-4</v>
      </c>
      <c r="K547">
        <f t="shared" si="98"/>
        <v>0</v>
      </c>
      <c r="L547">
        <f t="shared" si="90"/>
        <v>0.53158018088915227</v>
      </c>
      <c r="M547">
        <f>IF(AND(MOD(C547,12)=1,D547&lt;='[1]Product parameters'!$C$2),I546*[1]model_point!$G$2,0)</f>
        <v>0</v>
      </c>
      <c r="N547">
        <f t="shared" si="91"/>
        <v>0</v>
      </c>
      <c r="O547">
        <f>[2]results_sample_product_cf!G546</f>
        <v>0</v>
      </c>
      <c r="P547">
        <f>[2]results_sample_product_cf!H546</f>
        <v>0</v>
      </c>
      <c r="Q547">
        <f t="shared" si="92"/>
        <v>0</v>
      </c>
      <c r="R547">
        <f t="shared" si="88"/>
        <v>0</v>
      </c>
    </row>
    <row r="548" spans="1:18" x14ac:dyDescent="0.3">
      <c r="A548">
        <f t="shared" si="93"/>
        <v>545</v>
      </c>
      <c r="B548">
        <f t="shared" si="94"/>
        <v>46</v>
      </c>
      <c r="C548">
        <f t="shared" si="95"/>
        <v>550</v>
      </c>
      <c r="D548">
        <f t="shared" si="89"/>
        <v>46</v>
      </c>
      <c r="E548">
        <f>[1]model_point!$C$2+D548-1</f>
        <v>50</v>
      </c>
      <c r="F548">
        <f>VLOOKUP(E548,'[1]202512 BE mortality'!$A:$C,3,0)</f>
        <v>8.7211098324946126E-3</v>
      </c>
      <c r="G548">
        <f>VLOOKUP(D548,'[1]202512 BE lapse'!$C:$D,2,0)</f>
        <v>8.6031611095778188E-3</v>
      </c>
      <c r="H548">
        <f>VLOOKUP($B548,'[1]202512 RFR'!$A:$B,2,0)</f>
        <v>0.02</v>
      </c>
      <c r="I548">
        <f t="shared" si="96"/>
        <v>1.2695884524808276</v>
      </c>
      <c r="J548">
        <f t="shared" si="97"/>
        <v>9.2707030810624321E-4</v>
      </c>
      <c r="K548">
        <f t="shared" si="98"/>
        <v>0</v>
      </c>
      <c r="L548">
        <f t="shared" si="90"/>
        <v>0.5307036806133909</v>
      </c>
      <c r="M548">
        <f>IF(AND(MOD(C548,12)=1,D548&lt;='[1]Product parameters'!$C$2),I547*[1]model_point!$G$2,0)</f>
        <v>0</v>
      </c>
      <c r="N548">
        <f t="shared" si="91"/>
        <v>0</v>
      </c>
      <c r="O548">
        <f>[2]results_sample_product_cf!G547</f>
        <v>0</v>
      </c>
      <c r="P548">
        <f>[2]results_sample_product_cf!H547</f>
        <v>0</v>
      </c>
      <c r="Q548">
        <f t="shared" si="92"/>
        <v>0</v>
      </c>
      <c r="R548">
        <f t="shared" si="88"/>
        <v>0</v>
      </c>
    </row>
    <row r="549" spans="1:18" x14ac:dyDescent="0.3">
      <c r="A549">
        <f t="shared" si="93"/>
        <v>546</v>
      </c>
      <c r="B549">
        <f t="shared" si="94"/>
        <v>46</v>
      </c>
      <c r="C549">
        <f t="shared" si="95"/>
        <v>551</v>
      </c>
      <c r="D549">
        <f t="shared" si="89"/>
        <v>46</v>
      </c>
      <c r="E549">
        <f>[1]model_point!$C$2+D549-1</f>
        <v>50</v>
      </c>
      <c r="F549">
        <f>VLOOKUP(E549,'[1]202512 BE mortality'!$A:$C,3,0)</f>
        <v>8.7211098324946126E-3</v>
      </c>
      <c r="G549">
        <f>VLOOKUP(D549,'[1]202512 BE lapse'!$C:$D,2,0)</f>
        <v>8.6031611095778188E-3</v>
      </c>
      <c r="H549">
        <f>VLOOKUP($B549,'[1]202512 RFR'!$A:$B,2,0)</f>
        <v>0.02</v>
      </c>
      <c r="I549">
        <f t="shared" si="96"/>
        <v>1.2686620586377788</v>
      </c>
      <c r="J549">
        <f t="shared" si="97"/>
        <v>9.2639384304874775E-4</v>
      </c>
      <c r="K549">
        <f t="shared" si="98"/>
        <v>0</v>
      </c>
      <c r="L549">
        <f t="shared" si="90"/>
        <v>0.52982862556219035</v>
      </c>
      <c r="M549">
        <f>IF(AND(MOD(C549,12)=1,D549&lt;='[1]Product parameters'!$C$2),I548*[1]model_point!$G$2,0)</f>
        <v>0</v>
      </c>
      <c r="N549">
        <f t="shared" si="91"/>
        <v>0</v>
      </c>
      <c r="O549">
        <f>[2]results_sample_product_cf!G548</f>
        <v>0</v>
      </c>
      <c r="P549">
        <f>[2]results_sample_product_cf!H548</f>
        <v>0</v>
      </c>
      <c r="Q549">
        <f t="shared" si="92"/>
        <v>0</v>
      </c>
      <c r="R549">
        <f t="shared" si="88"/>
        <v>0</v>
      </c>
    </row>
    <row r="550" spans="1:18" x14ac:dyDescent="0.3">
      <c r="A550">
        <f t="shared" si="93"/>
        <v>547</v>
      </c>
      <c r="B550">
        <f t="shared" si="94"/>
        <v>46</v>
      </c>
      <c r="C550">
        <f t="shared" si="95"/>
        <v>552</v>
      </c>
      <c r="D550">
        <f t="shared" si="89"/>
        <v>46</v>
      </c>
      <c r="E550">
        <f>[1]model_point!$C$2+D550-1</f>
        <v>50</v>
      </c>
      <c r="F550">
        <f>VLOOKUP(E550,'[1]202512 BE mortality'!$A:$C,3,0)</f>
        <v>8.7211098324946126E-3</v>
      </c>
      <c r="G550">
        <f>VLOOKUP(D550,'[1]202512 BE lapse'!$C:$D,2,0)</f>
        <v>8.6031611095778188E-3</v>
      </c>
      <c r="H550">
        <f>VLOOKUP($B550,'[1]202512 RFR'!$A:$B,2,0)</f>
        <v>0.02</v>
      </c>
      <c r="I550">
        <f t="shared" si="96"/>
        <v>1.2568298007821062</v>
      </c>
      <c r="J550">
        <f t="shared" si="97"/>
        <v>9.2571787159456372E-4</v>
      </c>
      <c r="K550">
        <f t="shared" si="98"/>
        <v>1.0906539984078131E-2</v>
      </c>
      <c r="L550">
        <f t="shared" si="90"/>
        <v>0.52895501335258022</v>
      </c>
      <c r="M550">
        <f>IF(AND(MOD(C550,12)=1,D550&lt;='[1]Product parameters'!$C$2),I549*[1]model_point!$G$2,0)</f>
        <v>0</v>
      </c>
      <c r="N550">
        <f t="shared" si="91"/>
        <v>0</v>
      </c>
      <c r="O550">
        <f>[2]results_sample_product_cf!G549</f>
        <v>0</v>
      </c>
      <c r="P550">
        <f>[2]results_sample_product_cf!H549</f>
        <v>0</v>
      </c>
      <c r="Q550">
        <f t="shared" si="92"/>
        <v>0</v>
      </c>
      <c r="R550">
        <f t="shared" si="88"/>
        <v>0</v>
      </c>
    </row>
    <row r="551" spans="1:18" x14ac:dyDescent="0.3">
      <c r="A551">
        <f t="shared" si="93"/>
        <v>548</v>
      </c>
      <c r="B551">
        <f t="shared" si="94"/>
        <v>46</v>
      </c>
      <c r="C551">
        <f t="shared" si="95"/>
        <v>553</v>
      </c>
      <c r="D551">
        <f t="shared" si="89"/>
        <v>47</v>
      </c>
      <c r="E551">
        <f>[1]model_point!$C$2+D551-1</f>
        <v>51</v>
      </c>
      <c r="F551">
        <f>VLOOKUP(E551,'[1]202512 BE mortality'!$A:$C,3,0)</f>
        <v>7.8903214180853637E-3</v>
      </c>
      <c r="G551">
        <f>VLOOKUP(D551,'[1]202512 BE lapse'!$C:$D,2,0)</f>
        <v>9.4642277099071803E-3</v>
      </c>
      <c r="H551">
        <f>VLOOKUP($B551,'[1]202512 RFR'!$A:$B,2,0)</f>
        <v>0.02</v>
      </c>
      <c r="I551">
        <f t="shared" si="96"/>
        <v>1.2560003977832421</v>
      </c>
      <c r="J551">
        <f t="shared" si="97"/>
        <v>8.2940299886398428E-4</v>
      </c>
      <c r="K551">
        <f t="shared" si="98"/>
        <v>0</v>
      </c>
      <c r="L551">
        <f t="shared" si="90"/>
        <v>0.52808284160551966</v>
      </c>
      <c r="M551">
        <f>IF(AND(MOD(C551,12)=1,D551&lt;='[1]Product parameters'!$C$2),I550*[1]model_point!$G$2,0)</f>
        <v>0</v>
      </c>
      <c r="N551">
        <f t="shared" si="91"/>
        <v>0</v>
      </c>
      <c r="O551">
        <f>[2]results_sample_product_cf!G550</f>
        <v>0</v>
      </c>
      <c r="P551">
        <f>[2]results_sample_product_cf!H550</f>
        <v>0</v>
      </c>
      <c r="Q551">
        <f t="shared" si="92"/>
        <v>0</v>
      </c>
      <c r="R551">
        <f t="shared" si="88"/>
        <v>0</v>
      </c>
    </row>
    <row r="552" spans="1:18" x14ac:dyDescent="0.3">
      <c r="A552">
        <f t="shared" si="93"/>
        <v>549</v>
      </c>
      <c r="B552">
        <f t="shared" si="94"/>
        <v>46</v>
      </c>
      <c r="C552">
        <f t="shared" si="95"/>
        <v>554</v>
      </c>
      <c r="D552">
        <f t="shared" si="89"/>
        <v>47</v>
      </c>
      <c r="E552">
        <f>[1]model_point!$C$2+D552-1</f>
        <v>51</v>
      </c>
      <c r="F552">
        <f>VLOOKUP(E552,'[1]202512 BE mortality'!$A:$C,3,0)</f>
        <v>7.8903214180853637E-3</v>
      </c>
      <c r="G552">
        <f>VLOOKUP(D552,'[1]202512 BE lapse'!$C:$D,2,0)</f>
        <v>9.4642277099071803E-3</v>
      </c>
      <c r="H552">
        <f>VLOOKUP($B552,'[1]202512 RFR'!$A:$B,2,0)</f>
        <v>0.02</v>
      </c>
      <c r="I552">
        <f t="shared" si="96"/>
        <v>1.2551715421212841</v>
      </c>
      <c r="J552">
        <f t="shared" si="97"/>
        <v>8.2885566195798753E-4</v>
      </c>
      <c r="K552">
        <f t="shared" si="98"/>
        <v>0</v>
      </c>
      <c r="L552">
        <f t="shared" si="90"/>
        <v>0.52721210794589024</v>
      </c>
      <c r="M552">
        <f>IF(AND(MOD(C552,12)=1,D552&lt;='[1]Product parameters'!$C$2),I551*[1]model_point!$G$2,0)</f>
        <v>0</v>
      </c>
      <c r="N552">
        <f t="shared" si="91"/>
        <v>0</v>
      </c>
      <c r="O552">
        <f>[2]results_sample_product_cf!G551</f>
        <v>0</v>
      </c>
      <c r="P552">
        <f>[2]results_sample_product_cf!H551</f>
        <v>0</v>
      </c>
      <c r="Q552">
        <f t="shared" si="92"/>
        <v>0</v>
      </c>
      <c r="R552">
        <f t="shared" si="88"/>
        <v>0</v>
      </c>
    </row>
    <row r="553" spans="1:18" x14ac:dyDescent="0.3">
      <c r="A553">
        <f t="shared" si="93"/>
        <v>550</v>
      </c>
      <c r="B553">
        <f t="shared" si="94"/>
        <v>46</v>
      </c>
      <c r="C553">
        <f t="shared" si="95"/>
        <v>555</v>
      </c>
      <c r="D553">
        <f t="shared" si="89"/>
        <v>47</v>
      </c>
      <c r="E553">
        <f>[1]model_point!$C$2+D553-1</f>
        <v>51</v>
      </c>
      <c r="F553">
        <f>VLOOKUP(E553,'[1]202512 BE mortality'!$A:$C,3,0)</f>
        <v>7.8903214180853637E-3</v>
      </c>
      <c r="G553">
        <f>VLOOKUP(D553,'[1]202512 BE lapse'!$C:$D,2,0)</f>
        <v>9.4642277099071803E-3</v>
      </c>
      <c r="H553">
        <f>VLOOKUP($B553,'[1]202512 RFR'!$A:$B,2,0)</f>
        <v>0.02</v>
      </c>
      <c r="I553">
        <f t="shared" si="96"/>
        <v>1.2543432334350353</v>
      </c>
      <c r="J553">
        <f t="shared" si="97"/>
        <v>8.2830868624876619E-4</v>
      </c>
      <c r="K553">
        <f t="shared" si="98"/>
        <v>0</v>
      </c>
      <c r="L553">
        <f t="shared" si="90"/>
        <v>0.52634281000248995</v>
      </c>
      <c r="M553">
        <f>IF(AND(MOD(C553,12)=1,D553&lt;='[1]Product parameters'!$C$2),I552*[1]model_point!$G$2,0)</f>
        <v>0</v>
      </c>
      <c r="N553">
        <f t="shared" si="91"/>
        <v>0</v>
      </c>
      <c r="O553">
        <f>[2]results_sample_product_cf!G552</f>
        <v>0</v>
      </c>
      <c r="P553">
        <f>[2]results_sample_product_cf!H552</f>
        <v>0</v>
      </c>
      <c r="Q553">
        <f t="shared" si="92"/>
        <v>0</v>
      </c>
      <c r="R553">
        <f t="shared" si="88"/>
        <v>0</v>
      </c>
    </row>
    <row r="554" spans="1:18" x14ac:dyDescent="0.3">
      <c r="A554">
        <f t="shared" si="93"/>
        <v>551</v>
      </c>
      <c r="B554">
        <f t="shared" si="94"/>
        <v>46</v>
      </c>
      <c r="C554">
        <f t="shared" si="95"/>
        <v>556</v>
      </c>
      <c r="D554">
        <f t="shared" si="89"/>
        <v>47</v>
      </c>
      <c r="E554">
        <f>[1]model_point!$C$2+D554-1</f>
        <v>51</v>
      </c>
      <c r="F554">
        <f>VLOOKUP(E554,'[1]202512 BE mortality'!$A:$C,3,0)</f>
        <v>7.8903214180853637E-3</v>
      </c>
      <c r="G554">
        <f>VLOOKUP(D554,'[1]202512 BE lapse'!$C:$D,2,0)</f>
        <v>9.4642277099071803E-3</v>
      </c>
      <c r="H554">
        <f>VLOOKUP($B554,'[1]202512 RFR'!$A:$B,2,0)</f>
        <v>0.02</v>
      </c>
      <c r="I554">
        <f t="shared" si="96"/>
        <v>1.2535154713635372</v>
      </c>
      <c r="J554">
        <f t="shared" si="97"/>
        <v>8.2776207149796034E-4</v>
      </c>
      <c r="K554">
        <f t="shared" si="98"/>
        <v>0</v>
      </c>
      <c r="L554">
        <f t="shared" si="90"/>
        <v>0.52547494540802653</v>
      </c>
      <c r="M554">
        <f>IF(AND(MOD(C554,12)=1,D554&lt;='[1]Product parameters'!$C$2),I553*[1]model_point!$G$2,0)</f>
        <v>0</v>
      </c>
      <c r="N554">
        <f t="shared" si="91"/>
        <v>0</v>
      </c>
      <c r="O554">
        <f>[2]results_sample_product_cf!G553</f>
        <v>0</v>
      </c>
      <c r="P554">
        <f>[2]results_sample_product_cf!H553</f>
        <v>0</v>
      </c>
      <c r="Q554">
        <f t="shared" si="92"/>
        <v>0</v>
      </c>
      <c r="R554">
        <f t="shared" si="88"/>
        <v>0</v>
      </c>
    </row>
    <row r="555" spans="1:18" x14ac:dyDescent="0.3">
      <c r="A555">
        <f t="shared" si="93"/>
        <v>552</v>
      </c>
      <c r="B555">
        <f t="shared" si="94"/>
        <v>46</v>
      </c>
      <c r="C555">
        <f t="shared" si="95"/>
        <v>557</v>
      </c>
      <c r="D555">
        <f t="shared" si="89"/>
        <v>47</v>
      </c>
      <c r="E555">
        <f>[1]model_point!$C$2+D555-1</f>
        <v>51</v>
      </c>
      <c r="F555">
        <f>VLOOKUP(E555,'[1]202512 BE mortality'!$A:$C,3,0)</f>
        <v>7.8903214180853637E-3</v>
      </c>
      <c r="G555">
        <f>VLOOKUP(D555,'[1]202512 BE lapse'!$C:$D,2,0)</f>
        <v>9.4642277099071803E-3</v>
      </c>
      <c r="H555">
        <f>VLOOKUP($B555,'[1]202512 RFR'!$A:$B,2,0)</f>
        <v>0.02</v>
      </c>
      <c r="I555">
        <f t="shared" si="96"/>
        <v>1.2526882555460699</v>
      </c>
      <c r="J555">
        <f t="shared" si="97"/>
        <v>8.2721581746736752E-4</v>
      </c>
      <c r="K555">
        <f t="shared" si="98"/>
        <v>0</v>
      </c>
      <c r="L555">
        <f t="shared" si="90"/>
        <v>0.52460851179911094</v>
      </c>
      <c r="M555">
        <f>IF(AND(MOD(C555,12)=1,D555&lt;='[1]Product parameters'!$C$2),I554*[1]model_point!$G$2,0)</f>
        <v>0</v>
      </c>
      <c r="N555">
        <f t="shared" si="91"/>
        <v>0</v>
      </c>
      <c r="O555">
        <f>[2]results_sample_product_cf!G554</f>
        <v>0</v>
      </c>
      <c r="P555">
        <f>[2]results_sample_product_cf!H554</f>
        <v>0</v>
      </c>
      <c r="Q555">
        <f t="shared" si="92"/>
        <v>0</v>
      </c>
      <c r="R555">
        <f t="shared" si="88"/>
        <v>0</v>
      </c>
    </row>
    <row r="556" spans="1:18" x14ac:dyDescent="0.3">
      <c r="A556">
        <f t="shared" si="93"/>
        <v>553</v>
      </c>
      <c r="B556">
        <f t="shared" si="94"/>
        <v>47</v>
      </c>
      <c r="C556">
        <f t="shared" si="95"/>
        <v>558</v>
      </c>
      <c r="D556">
        <f t="shared" si="89"/>
        <v>47</v>
      </c>
      <c r="E556">
        <f>[1]model_point!$C$2+D556-1</f>
        <v>51</v>
      </c>
      <c r="F556">
        <f>VLOOKUP(E556,'[1]202512 BE mortality'!$A:$C,3,0)</f>
        <v>7.8903214180853637E-3</v>
      </c>
      <c r="G556">
        <f>VLOOKUP(D556,'[1]202512 BE lapse'!$C:$D,2,0)</f>
        <v>9.4642277099071803E-3</v>
      </c>
      <c r="H556">
        <f>VLOOKUP($B556,'[1]202512 RFR'!$A:$B,2,0)</f>
        <v>0.02</v>
      </c>
      <c r="I556">
        <f t="shared" si="96"/>
        <v>1.2518615856221509</v>
      </c>
      <c r="J556">
        <f t="shared" si="97"/>
        <v>8.2666992391894258E-4</v>
      </c>
      <c r="K556">
        <f t="shared" si="98"/>
        <v>0</v>
      </c>
      <c r="L556">
        <f t="shared" si="90"/>
        <v>0.52374350681625115</v>
      </c>
      <c r="M556">
        <f>IF(AND(MOD(C556,12)=1,D556&lt;='[1]Product parameters'!$C$2),I555*[1]model_point!$G$2,0)</f>
        <v>0</v>
      </c>
      <c r="N556">
        <f t="shared" si="91"/>
        <v>0</v>
      </c>
      <c r="O556">
        <f>[2]results_sample_product_cf!G555</f>
        <v>0</v>
      </c>
      <c r="P556">
        <f>[2]results_sample_product_cf!H555</f>
        <v>0</v>
      </c>
      <c r="Q556">
        <f t="shared" si="92"/>
        <v>0</v>
      </c>
      <c r="R556">
        <f t="shared" si="88"/>
        <v>0</v>
      </c>
    </row>
    <row r="557" spans="1:18" x14ac:dyDescent="0.3">
      <c r="A557">
        <f t="shared" si="93"/>
        <v>554</v>
      </c>
      <c r="B557">
        <f t="shared" si="94"/>
        <v>47</v>
      </c>
      <c r="C557">
        <f t="shared" si="95"/>
        <v>559</v>
      </c>
      <c r="D557">
        <f t="shared" si="89"/>
        <v>47</v>
      </c>
      <c r="E557">
        <f>[1]model_point!$C$2+D557-1</f>
        <v>51</v>
      </c>
      <c r="F557">
        <f>VLOOKUP(E557,'[1]202512 BE mortality'!$A:$C,3,0)</f>
        <v>7.8903214180853637E-3</v>
      </c>
      <c r="G557">
        <f>VLOOKUP(D557,'[1]202512 BE lapse'!$C:$D,2,0)</f>
        <v>9.4642277099071803E-3</v>
      </c>
      <c r="H557">
        <f>VLOOKUP($B557,'[1]202512 RFR'!$A:$B,2,0)</f>
        <v>0.02</v>
      </c>
      <c r="I557">
        <f t="shared" si="96"/>
        <v>1.2510354612315362</v>
      </c>
      <c r="J557">
        <f t="shared" si="97"/>
        <v>8.2612439061479726E-4</v>
      </c>
      <c r="K557">
        <f t="shared" si="98"/>
        <v>0</v>
      </c>
      <c r="L557">
        <f t="shared" si="90"/>
        <v>0.52287992810384543</v>
      </c>
      <c r="M557">
        <f>IF(AND(MOD(C557,12)=1,D557&lt;='[1]Product parameters'!$C$2),I556*[1]model_point!$G$2,0)</f>
        <v>0</v>
      </c>
      <c r="N557">
        <f t="shared" si="91"/>
        <v>0</v>
      </c>
      <c r="O557">
        <f>[2]results_sample_product_cf!G556</f>
        <v>0</v>
      </c>
      <c r="P557">
        <f>[2]results_sample_product_cf!H556</f>
        <v>0</v>
      </c>
      <c r="Q557">
        <f t="shared" si="92"/>
        <v>0</v>
      </c>
      <c r="R557">
        <f t="shared" si="88"/>
        <v>0</v>
      </c>
    </row>
    <row r="558" spans="1:18" x14ac:dyDescent="0.3">
      <c r="A558">
        <f t="shared" si="93"/>
        <v>555</v>
      </c>
      <c r="B558">
        <f t="shared" si="94"/>
        <v>47</v>
      </c>
      <c r="C558">
        <f t="shared" si="95"/>
        <v>560</v>
      </c>
      <c r="D558">
        <f t="shared" si="89"/>
        <v>47</v>
      </c>
      <c r="E558">
        <f>[1]model_point!$C$2+D558-1</f>
        <v>51</v>
      </c>
      <c r="F558">
        <f>VLOOKUP(E558,'[1]202512 BE mortality'!$A:$C,3,0)</f>
        <v>7.8903214180853637E-3</v>
      </c>
      <c r="G558">
        <f>VLOOKUP(D558,'[1]202512 BE lapse'!$C:$D,2,0)</f>
        <v>9.4642277099071803E-3</v>
      </c>
      <c r="H558">
        <f>VLOOKUP($B558,'[1]202512 RFR'!$A:$B,2,0)</f>
        <v>0.02</v>
      </c>
      <c r="I558">
        <f t="shared" si="96"/>
        <v>1.2502098820142189</v>
      </c>
      <c r="J558">
        <f t="shared" si="97"/>
        <v>8.2557921731720026E-4</v>
      </c>
      <c r="K558">
        <f t="shared" si="98"/>
        <v>0</v>
      </c>
      <c r="L558">
        <f t="shared" si="90"/>
        <v>0.52201777331017629</v>
      </c>
      <c r="M558">
        <f>IF(AND(MOD(C558,12)=1,D558&lt;='[1]Product parameters'!$C$2),I557*[1]model_point!$G$2,0)</f>
        <v>0</v>
      </c>
      <c r="N558">
        <f t="shared" si="91"/>
        <v>0</v>
      </c>
      <c r="O558">
        <f>[2]results_sample_product_cf!G557</f>
        <v>0</v>
      </c>
      <c r="P558">
        <f>[2]results_sample_product_cf!H557</f>
        <v>0</v>
      </c>
      <c r="Q558">
        <f t="shared" si="92"/>
        <v>0</v>
      </c>
      <c r="R558">
        <f t="shared" si="88"/>
        <v>0</v>
      </c>
    </row>
    <row r="559" spans="1:18" x14ac:dyDescent="0.3">
      <c r="A559">
        <f t="shared" si="93"/>
        <v>556</v>
      </c>
      <c r="B559">
        <f t="shared" si="94"/>
        <v>47</v>
      </c>
      <c r="C559">
        <f t="shared" si="95"/>
        <v>561</v>
      </c>
      <c r="D559">
        <f t="shared" si="89"/>
        <v>47</v>
      </c>
      <c r="E559">
        <f>[1]model_point!$C$2+D559-1</f>
        <v>51</v>
      </c>
      <c r="F559">
        <f>VLOOKUP(E559,'[1]202512 BE mortality'!$A:$C,3,0)</f>
        <v>7.8903214180853637E-3</v>
      </c>
      <c r="G559">
        <f>VLOOKUP(D559,'[1]202512 BE lapse'!$C:$D,2,0)</f>
        <v>9.4642277099071803E-3</v>
      </c>
      <c r="H559">
        <f>VLOOKUP($B559,'[1]202512 RFR'!$A:$B,2,0)</f>
        <v>0.02</v>
      </c>
      <c r="I559">
        <f t="shared" si="96"/>
        <v>1.2493848476104303</v>
      </c>
      <c r="J559">
        <f t="shared" si="97"/>
        <v>8.2503440378857722E-4</v>
      </c>
      <c r="K559">
        <f t="shared" si="98"/>
        <v>0</v>
      </c>
      <c r="L559">
        <f t="shared" si="90"/>
        <v>0.52115704008740382</v>
      </c>
      <c r="M559">
        <f>IF(AND(MOD(C559,12)=1,D559&lt;='[1]Product parameters'!$C$2),I558*[1]model_point!$G$2,0)</f>
        <v>0</v>
      </c>
      <c r="N559">
        <f t="shared" si="91"/>
        <v>0</v>
      </c>
      <c r="O559">
        <f>[2]results_sample_product_cf!G558</f>
        <v>0</v>
      </c>
      <c r="P559">
        <f>[2]results_sample_product_cf!H558</f>
        <v>0</v>
      </c>
      <c r="Q559">
        <f t="shared" si="92"/>
        <v>0</v>
      </c>
      <c r="R559">
        <f t="shared" si="88"/>
        <v>0</v>
      </c>
    </row>
    <row r="560" spans="1:18" x14ac:dyDescent="0.3">
      <c r="A560">
        <f t="shared" si="93"/>
        <v>557</v>
      </c>
      <c r="B560">
        <f t="shared" si="94"/>
        <v>47</v>
      </c>
      <c r="C560">
        <f t="shared" si="95"/>
        <v>562</v>
      </c>
      <c r="D560">
        <f t="shared" si="89"/>
        <v>47</v>
      </c>
      <c r="E560">
        <f>[1]model_point!$C$2+D560-1</f>
        <v>51</v>
      </c>
      <c r="F560">
        <f>VLOOKUP(E560,'[1]202512 BE mortality'!$A:$C,3,0)</f>
        <v>7.8903214180853637E-3</v>
      </c>
      <c r="G560">
        <f>VLOOKUP(D560,'[1]202512 BE lapse'!$C:$D,2,0)</f>
        <v>9.4642277099071803E-3</v>
      </c>
      <c r="H560">
        <f>VLOOKUP($B560,'[1]202512 RFR'!$A:$B,2,0)</f>
        <v>0.02</v>
      </c>
      <c r="I560">
        <f t="shared" si="96"/>
        <v>1.2485603576606388</v>
      </c>
      <c r="J560">
        <f t="shared" si="97"/>
        <v>8.244899497915106E-4</v>
      </c>
      <c r="K560">
        <f t="shared" si="98"/>
        <v>0</v>
      </c>
      <c r="L560">
        <f t="shared" si="90"/>
        <v>0.52029772609155944</v>
      </c>
      <c r="M560">
        <f>IF(AND(MOD(C560,12)=1,D560&lt;='[1]Product parameters'!$C$2),I559*[1]model_point!$G$2,0)</f>
        <v>0</v>
      </c>
      <c r="N560">
        <f t="shared" si="91"/>
        <v>0</v>
      </c>
      <c r="O560">
        <f>[2]results_sample_product_cf!G559</f>
        <v>0</v>
      </c>
      <c r="P560">
        <f>[2]results_sample_product_cf!H559</f>
        <v>0</v>
      </c>
      <c r="Q560">
        <f t="shared" si="92"/>
        <v>0</v>
      </c>
      <c r="R560">
        <f t="shared" si="88"/>
        <v>0</v>
      </c>
    </row>
    <row r="561" spans="1:18" x14ac:dyDescent="0.3">
      <c r="A561">
        <f t="shared" si="93"/>
        <v>558</v>
      </c>
      <c r="B561">
        <f t="shared" si="94"/>
        <v>47</v>
      </c>
      <c r="C561">
        <f t="shared" si="95"/>
        <v>563</v>
      </c>
      <c r="D561">
        <f t="shared" si="89"/>
        <v>47</v>
      </c>
      <c r="E561">
        <f>[1]model_point!$C$2+D561-1</f>
        <v>51</v>
      </c>
      <c r="F561">
        <f>VLOOKUP(E561,'[1]202512 BE mortality'!$A:$C,3,0)</f>
        <v>7.8903214180853637E-3</v>
      </c>
      <c r="G561">
        <f>VLOOKUP(D561,'[1]202512 BE lapse'!$C:$D,2,0)</f>
        <v>9.4642277099071803E-3</v>
      </c>
      <c r="H561">
        <f>VLOOKUP($B561,'[1]202512 RFR'!$A:$B,2,0)</f>
        <v>0.02</v>
      </c>
      <c r="I561">
        <f t="shared" si="96"/>
        <v>1.2477364118055501</v>
      </c>
      <c r="J561">
        <f t="shared" si="97"/>
        <v>8.2394585508873959E-4</v>
      </c>
      <c r="K561">
        <f t="shared" si="98"/>
        <v>0</v>
      </c>
      <c r="L561">
        <f t="shared" si="90"/>
        <v>0.51943982898253926</v>
      </c>
      <c r="M561">
        <f>IF(AND(MOD(C561,12)=1,D561&lt;='[1]Product parameters'!$C$2),I560*[1]model_point!$G$2,0)</f>
        <v>0</v>
      </c>
      <c r="N561">
        <f t="shared" si="91"/>
        <v>0</v>
      </c>
      <c r="O561">
        <f>[2]results_sample_product_cf!G560</f>
        <v>0</v>
      </c>
      <c r="P561">
        <f>[2]results_sample_product_cf!H560</f>
        <v>0</v>
      </c>
      <c r="Q561">
        <f t="shared" si="92"/>
        <v>0</v>
      </c>
      <c r="R561">
        <f t="shared" si="88"/>
        <v>0</v>
      </c>
    </row>
    <row r="562" spans="1:18" x14ac:dyDescent="0.3">
      <c r="A562">
        <f t="shared" si="93"/>
        <v>559</v>
      </c>
      <c r="B562">
        <f t="shared" si="94"/>
        <v>47</v>
      </c>
      <c r="C562">
        <f t="shared" si="95"/>
        <v>564</v>
      </c>
      <c r="D562">
        <f t="shared" si="89"/>
        <v>47</v>
      </c>
      <c r="E562">
        <f>[1]model_point!$C$2+D562-1</f>
        <v>51</v>
      </c>
      <c r="F562">
        <f>VLOOKUP(E562,'[1]202512 BE mortality'!$A:$C,3,0)</f>
        <v>7.8903214180853637E-3</v>
      </c>
      <c r="G562">
        <f>VLOOKUP(D562,'[1]202512 BE lapse'!$C:$D,2,0)</f>
        <v>9.4642277099071803E-3</v>
      </c>
      <c r="H562">
        <f>VLOOKUP($B562,'[1]202512 RFR'!$A:$B,2,0)</f>
        <v>0.02</v>
      </c>
      <c r="I562">
        <f t="shared" si="96"/>
        <v>1.235111941027992</v>
      </c>
      <c r="J562">
        <f t="shared" si="97"/>
        <v>8.2340211944315978E-4</v>
      </c>
      <c r="K562">
        <f t="shared" si="98"/>
        <v>1.1801068658115014E-2</v>
      </c>
      <c r="L562">
        <f t="shared" si="90"/>
        <v>0.51858334642409798</v>
      </c>
      <c r="M562">
        <f>IF(AND(MOD(C562,12)=1,D562&lt;='[1]Product parameters'!$C$2),I561*[1]model_point!$G$2,0)</f>
        <v>0</v>
      </c>
      <c r="N562">
        <f t="shared" si="91"/>
        <v>0</v>
      </c>
      <c r="O562">
        <f>[2]results_sample_product_cf!G561</f>
        <v>0</v>
      </c>
      <c r="P562">
        <f>[2]results_sample_product_cf!H561</f>
        <v>0</v>
      </c>
      <c r="Q562">
        <f t="shared" si="92"/>
        <v>0</v>
      </c>
      <c r="R562">
        <f t="shared" si="88"/>
        <v>0</v>
      </c>
    </row>
    <row r="563" spans="1:18" x14ac:dyDescent="0.3">
      <c r="A563">
        <f t="shared" si="93"/>
        <v>560</v>
      </c>
      <c r="B563">
        <f t="shared" si="94"/>
        <v>47</v>
      </c>
      <c r="C563">
        <f t="shared" si="95"/>
        <v>565</v>
      </c>
      <c r="D563">
        <f t="shared" si="89"/>
        <v>48</v>
      </c>
      <c r="E563">
        <f>[1]model_point!$C$2+D563-1</f>
        <v>52</v>
      </c>
      <c r="F563">
        <f>VLOOKUP(E563,'[1]202512 BE mortality'!$A:$C,3,0)</f>
        <v>1.9729682329314023E-3</v>
      </c>
      <c r="G563">
        <f>VLOOKUP(D563,'[1]202512 BE lapse'!$C:$D,2,0)</f>
        <v>3.9450843480516064E-3</v>
      </c>
      <c r="H563">
        <f>VLOOKUP($B563,'[1]202512 RFR'!$A:$B,2,0)</f>
        <v>0.02</v>
      </c>
      <c r="I563">
        <f t="shared" si="96"/>
        <v>1.2349086874462454</v>
      </c>
      <c r="J563">
        <f t="shared" si="97"/>
        <v>2.0325358174667012E-4</v>
      </c>
      <c r="K563">
        <f t="shared" si="98"/>
        <v>0</v>
      </c>
      <c r="L563">
        <f t="shared" si="90"/>
        <v>0.51772827608384253</v>
      </c>
      <c r="M563">
        <f>IF(AND(MOD(C563,12)=1,D563&lt;='[1]Product parameters'!$C$2),I562*[1]model_point!$G$2,0)</f>
        <v>0</v>
      </c>
      <c r="N563">
        <f t="shared" si="91"/>
        <v>0</v>
      </c>
      <c r="O563">
        <f>[2]results_sample_product_cf!G562</f>
        <v>0</v>
      </c>
      <c r="P563">
        <f>[2]results_sample_product_cf!H562</f>
        <v>0</v>
      </c>
      <c r="Q563">
        <f t="shared" si="92"/>
        <v>0</v>
      </c>
      <c r="R563">
        <f t="shared" si="88"/>
        <v>0</v>
      </c>
    </row>
    <row r="564" spans="1:18" x14ac:dyDescent="0.3">
      <c r="A564">
        <f t="shared" si="93"/>
        <v>561</v>
      </c>
      <c r="B564">
        <f t="shared" si="94"/>
        <v>47</v>
      </c>
      <c r="C564">
        <f t="shared" si="95"/>
        <v>566</v>
      </c>
      <c r="D564">
        <f t="shared" si="89"/>
        <v>48</v>
      </c>
      <c r="E564">
        <f>[1]model_point!$C$2+D564-1</f>
        <v>52</v>
      </c>
      <c r="F564">
        <f>VLOOKUP(E564,'[1]202512 BE mortality'!$A:$C,3,0)</f>
        <v>1.9729682329314023E-3</v>
      </c>
      <c r="G564">
        <f>VLOOKUP(D564,'[1]202512 BE lapse'!$C:$D,2,0)</f>
        <v>3.9450843480516064E-3</v>
      </c>
      <c r="H564">
        <f>VLOOKUP($B564,'[1]202512 RFR'!$A:$B,2,0)</f>
        <v>0.02</v>
      </c>
      <c r="I564">
        <f t="shared" si="96"/>
        <v>1.234705467312494</v>
      </c>
      <c r="J564">
        <f t="shared" si="97"/>
        <v>2.032201337512937E-4</v>
      </c>
      <c r="K564">
        <f t="shared" si="98"/>
        <v>0</v>
      </c>
      <c r="L564">
        <f t="shared" si="90"/>
        <v>0.51687461563322545</v>
      </c>
      <c r="M564">
        <f>IF(AND(MOD(C564,12)=1,D564&lt;='[1]Product parameters'!$C$2),I563*[1]model_point!$G$2,0)</f>
        <v>0</v>
      </c>
      <c r="N564">
        <f t="shared" si="91"/>
        <v>0</v>
      </c>
      <c r="O564">
        <f>[2]results_sample_product_cf!G563</f>
        <v>0</v>
      </c>
      <c r="P564">
        <f>[2]results_sample_product_cf!H563</f>
        <v>0</v>
      </c>
      <c r="Q564">
        <f t="shared" si="92"/>
        <v>0</v>
      </c>
      <c r="R564">
        <f t="shared" si="88"/>
        <v>0</v>
      </c>
    </row>
    <row r="565" spans="1:18" x14ac:dyDescent="0.3">
      <c r="A565">
        <f t="shared" si="93"/>
        <v>562</v>
      </c>
      <c r="B565">
        <f t="shared" si="94"/>
        <v>47</v>
      </c>
      <c r="C565">
        <f t="shared" si="95"/>
        <v>567</v>
      </c>
      <c r="D565">
        <f t="shared" si="89"/>
        <v>48</v>
      </c>
      <c r="E565">
        <f>[1]model_point!$C$2+D565-1</f>
        <v>52</v>
      </c>
      <c r="F565">
        <f>VLOOKUP(E565,'[1]202512 BE mortality'!$A:$C,3,0)</f>
        <v>1.9729682329314023E-3</v>
      </c>
      <c r="G565">
        <f>VLOOKUP(D565,'[1]202512 BE lapse'!$C:$D,2,0)</f>
        <v>3.9450843480516064E-3</v>
      </c>
      <c r="H565">
        <f>VLOOKUP($B565,'[1]202512 RFR'!$A:$B,2,0)</f>
        <v>0.02</v>
      </c>
      <c r="I565">
        <f t="shared" si="96"/>
        <v>1.2345022806212338</v>
      </c>
      <c r="J565">
        <f t="shared" si="97"/>
        <v>2.0318669126021582E-4</v>
      </c>
      <c r="K565">
        <f t="shared" si="98"/>
        <v>0</v>
      </c>
      <c r="L565">
        <f t="shared" si="90"/>
        <v>0.51602236274753888</v>
      </c>
      <c r="M565">
        <f>IF(AND(MOD(C565,12)=1,D565&lt;='[1]Product parameters'!$C$2),I564*[1]model_point!$G$2,0)</f>
        <v>0</v>
      </c>
      <c r="N565">
        <f t="shared" si="91"/>
        <v>0</v>
      </c>
      <c r="O565">
        <f>[2]results_sample_product_cf!G564</f>
        <v>0</v>
      </c>
      <c r="P565">
        <f>[2]results_sample_product_cf!H564</f>
        <v>0</v>
      </c>
      <c r="Q565">
        <f t="shared" si="92"/>
        <v>0</v>
      </c>
      <c r="R565">
        <f t="shared" si="88"/>
        <v>0</v>
      </c>
    </row>
    <row r="566" spans="1:18" x14ac:dyDescent="0.3">
      <c r="A566">
        <f t="shared" si="93"/>
        <v>563</v>
      </c>
      <c r="B566">
        <f t="shared" si="94"/>
        <v>47</v>
      </c>
      <c r="C566">
        <f t="shared" si="95"/>
        <v>568</v>
      </c>
      <c r="D566">
        <f t="shared" si="89"/>
        <v>48</v>
      </c>
      <c r="E566">
        <f>[1]model_point!$C$2+D566-1</f>
        <v>52</v>
      </c>
      <c r="F566">
        <f>VLOOKUP(E566,'[1]202512 BE mortality'!$A:$C,3,0)</f>
        <v>1.9729682329314023E-3</v>
      </c>
      <c r="G566">
        <f>VLOOKUP(D566,'[1]202512 BE lapse'!$C:$D,2,0)</f>
        <v>3.9450843480516064E-3</v>
      </c>
      <c r="H566">
        <f>VLOOKUP($B566,'[1]202512 RFR'!$A:$B,2,0)</f>
        <v>0.02</v>
      </c>
      <c r="I566">
        <f t="shared" si="96"/>
        <v>1.2342991273669612</v>
      </c>
      <c r="J566">
        <f t="shared" si="97"/>
        <v>2.0315325427253071E-4</v>
      </c>
      <c r="K566">
        <f t="shared" si="98"/>
        <v>0</v>
      </c>
      <c r="L566">
        <f t="shared" si="90"/>
        <v>0.51517151510590808</v>
      </c>
      <c r="M566">
        <f>IF(AND(MOD(C566,12)=1,D566&lt;='[1]Product parameters'!$C$2),I565*[1]model_point!$G$2,0)</f>
        <v>0</v>
      </c>
      <c r="N566">
        <f t="shared" si="91"/>
        <v>0</v>
      </c>
      <c r="O566">
        <f>[2]results_sample_product_cf!G565</f>
        <v>0</v>
      </c>
      <c r="P566">
        <f>[2]results_sample_product_cf!H565</f>
        <v>0</v>
      </c>
      <c r="Q566">
        <f t="shared" si="92"/>
        <v>0</v>
      </c>
      <c r="R566">
        <f t="shared" si="88"/>
        <v>0</v>
      </c>
    </row>
    <row r="567" spans="1:18" x14ac:dyDescent="0.3">
      <c r="A567">
        <f t="shared" si="93"/>
        <v>564</v>
      </c>
      <c r="B567">
        <f t="shared" si="94"/>
        <v>47</v>
      </c>
      <c r="C567">
        <f t="shared" si="95"/>
        <v>569</v>
      </c>
      <c r="D567">
        <f t="shared" si="89"/>
        <v>48</v>
      </c>
      <c r="E567">
        <f>[1]model_point!$C$2+D567-1</f>
        <v>52</v>
      </c>
      <c r="F567">
        <f>VLOOKUP(E567,'[1]202512 BE mortality'!$A:$C,3,0)</f>
        <v>1.9729682329314023E-3</v>
      </c>
      <c r="G567">
        <f>VLOOKUP(D567,'[1]202512 BE lapse'!$C:$D,2,0)</f>
        <v>3.9450843480516064E-3</v>
      </c>
      <c r="H567">
        <f>VLOOKUP($B567,'[1]202512 RFR'!$A:$B,2,0)</f>
        <v>0.02</v>
      </c>
      <c r="I567">
        <f t="shared" si="96"/>
        <v>1.2340960075441738</v>
      </c>
      <c r="J567">
        <f t="shared" si="97"/>
        <v>2.0311982278733268E-4</v>
      </c>
      <c r="K567">
        <f t="shared" si="98"/>
        <v>0</v>
      </c>
      <c r="L567">
        <f t="shared" si="90"/>
        <v>0.51432207039128497</v>
      </c>
      <c r="M567">
        <f>IF(AND(MOD(C567,12)=1,D567&lt;='[1]Product parameters'!$C$2),I566*[1]model_point!$G$2,0)</f>
        <v>0</v>
      </c>
      <c r="N567">
        <f t="shared" si="91"/>
        <v>0</v>
      </c>
      <c r="O567">
        <f>[2]results_sample_product_cf!G566</f>
        <v>0</v>
      </c>
      <c r="P567">
        <f>[2]results_sample_product_cf!H566</f>
        <v>0</v>
      </c>
      <c r="Q567">
        <f t="shared" si="92"/>
        <v>0</v>
      </c>
      <c r="R567">
        <f t="shared" si="88"/>
        <v>0</v>
      </c>
    </row>
    <row r="568" spans="1:18" x14ac:dyDescent="0.3">
      <c r="A568">
        <f t="shared" si="93"/>
        <v>565</v>
      </c>
      <c r="B568">
        <f t="shared" si="94"/>
        <v>48</v>
      </c>
      <c r="C568">
        <f t="shared" si="95"/>
        <v>570</v>
      </c>
      <c r="D568">
        <f t="shared" si="89"/>
        <v>48</v>
      </c>
      <c r="E568">
        <f>[1]model_point!$C$2+D568-1</f>
        <v>52</v>
      </c>
      <c r="F568">
        <f>VLOOKUP(E568,'[1]202512 BE mortality'!$A:$C,3,0)</f>
        <v>1.9729682329314023E-3</v>
      </c>
      <c r="G568">
        <f>VLOOKUP(D568,'[1]202512 BE lapse'!$C:$D,2,0)</f>
        <v>3.9450843480516064E-3</v>
      </c>
      <c r="H568">
        <f>VLOOKUP($B568,'[1]202512 RFR'!$A:$B,2,0)</f>
        <v>0.02</v>
      </c>
      <c r="I568">
        <f t="shared" si="96"/>
        <v>1.2338929211473701</v>
      </c>
      <c r="J568">
        <f t="shared" si="97"/>
        <v>2.0308639680371624E-4</v>
      </c>
      <c r="K568">
        <f t="shared" si="98"/>
        <v>0</v>
      </c>
      <c r="L568">
        <f t="shared" si="90"/>
        <v>0.51347402629044203</v>
      </c>
      <c r="M568">
        <f>IF(AND(MOD(C568,12)=1,D568&lt;='[1]Product parameters'!$C$2),I567*[1]model_point!$G$2,0)</f>
        <v>0</v>
      </c>
      <c r="N568">
        <f t="shared" si="91"/>
        <v>0</v>
      </c>
      <c r="O568">
        <f>[2]results_sample_product_cf!G567</f>
        <v>0</v>
      </c>
      <c r="P568">
        <f>[2]results_sample_product_cf!H567</f>
        <v>0</v>
      </c>
      <c r="Q568">
        <f t="shared" si="92"/>
        <v>0</v>
      </c>
      <c r="R568">
        <f t="shared" si="88"/>
        <v>0</v>
      </c>
    </row>
    <row r="569" spans="1:18" x14ac:dyDescent="0.3">
      <c r="A569">
        <f t="shared" si="93"/>
        <v>566</v>
      </c>
      <c r="B569">
        <f t="shared" si="94"/>
        <v>48</v>
      </c>
      <c r="C569">
        <f t="shared" si="95"/>
        <v>571</v>
      </c>
      <c r="D569">
        <f t="shared" si="89"/>
        <v>48</v>
      </c>
      <c r="E569">
        <f>[1]model_point!$C$2+D569-1</f>
        <v>52</v>
      </c>
      <c r="F569">
        <f>VLOOKUP(E569,'[1]202512 BE mortality'!$A:$C,3,0)</f>
        <v>1.9729682329314023E-3</v>
      </c>
      <c r="G569">
        <f>VLOOKUP(D569,'[1]202512 BE lapse'!$C:$D,2,0)</f>
        <v>3.9450843480516064E-3</v>
      </c>
      <c r="H569">
        <f>VLOOKUP($B569,'[1]202512 RFR'!$A:$B,2,0)</f>
        <v>0.02</v>
      </c>
      <c r="I569">
        <f t="shared" si="96"/>
        <v>1.2336898681710493</v>
      </c>
      <c r="J569">
        <f t="shared" si="97"/>
        <v>2.0305297632077602E-4</v>
      </c>
      <c r="K569">
        <f t="shared" si="98"/>
        <v>0</v>
      </c>
      <c r="L569">
        <f t="shared" si="90"/>
        <v>0.51262738049396583</v>
      </c>
      <c r="M569">
        <f>IF(AND(MOD(C569,12)=1,D569&lt;='[1]Product parameters'!$C$2),I568*[1]model_point!$G$2,0)</f>
        <v>0</v>
      </c>
      <c r="N569">
        <f t="shared" si="91"/>
        <v>0</v>
      </c>
      <c r="O569">
        <f>[2]results_sample_product_cf!G568</f>
        <v>0</v>
      </c>
      <c r="P569">
        <f>[2]results_sample_product_cf!H568</f>
        <v>0</v>
      </c>
      <c r="Q569">
        <f t="shared" si="92"/>
        <v>0</v>
      </c>
      <c r="R569">
        <f t="shared" si="88"/>
        <v>0</v>
      </c>
    </row>
    <row r="570" spans="1:18" x14ac:dyDescent="0.3">
      <c r="A570">
        <f t="shared" si="93"/>
        <v>567</v>
      </c>
      <c r="B570">
        <f t="shared" si="94"/>
        <v>48</v>
      </c>
      <c r="C570">
        <f t="shared" si="95"/>
        <v>572</v>
      </c>
      <c r="D570">
        <f t="shared" si="89"/>
        <v>48</v>
      </c>
      <c r="E570">
        <f>[1]model_point!$C$2+D570-1</f>
        <v>52</v>
      </c>
      <c r="F570">
        <f>VLOOKUP(E570,'[1]202512 BE mortality'!$A:$C,3,0)</f>
        <v>1.9729682329314023E-3</v>
      </c>
      <c r="G570">
        <f>VLOOKUP(D570,'[1]202512 BE lapse'!$C:$D,2,0)</f>
        <v>3.9450843480516064E-3</v>
      </c>
      <c r="H570">
        <f>VLOOKUP($B570,'[1]202512 RFR'!$A:$B,2,0)</f>
        <v>0.02</v>
      </c>
      <c r="I570">
        <f t="shared" si="96"/>
        <v>1.2334868486097117</v>
      </c>
      <c r="J570">
        <f t="shared" si="97"/>
        <v>2.0301956133760682E-4</v>
      </c>
      <c r="K570">
        <f t="shared" si="98"/>
        <v>0</v>
      </c>
      <c r="L570">
        <f t="shared" si="90"/>
        <v>0.511782130696251</v>
      </c>
      <c r="M570">
        <f>IF(AND(MOD(C570,12)=1,D570&lt;='[1]Product parameters'!$C$2),I569*[1]model_point!$G$2,0)</f>
        <v>0</v>
      </c>
      <c r="N570">
        <f t="shared" si="91"/>
        <v>0</v>
      </c>
      <c r="O570">
        <f>[2]results_sample_product_cf!G569</f>
        <v>0</v>
      </c>
      <c r="P570">
        <f>[2]results_sample_product_cf!H569</f>
        <v>0</v>
      </c>
      <c r="Q570">
        <f t="shared" si="92"/>
        <v>0</v>
      </c>
      <c r="R570">
        <f t="shared" si="88"/>
        <v>0</v>
      </c>
    </row>
    <row r="571" spans="1:18" x14ac:dyDescent="0.3">
      <c r="A571">
        <f t="shared" si="93"/>
        <v>568</v>
      </c>
      <c r="B571">
        <f t="shared" si="94"/>
        <v>48</v>
      </c>
      <c r="C571">
        <f t="shared" si="95"/>
        <v>573</v>
      </c>
      <c r="D571">
        <f t="shared" si="89"/>
        <v>48</v>
      </c>
      <c r="E571">
        <f>[1]model_point!$C$2+D571-1</f>
        <v>52</v>
      </c>
      <c r="F571">
        <f>VLOOKUP(E571,'[1]202512 BE mortality'!$A:$C,3,0)</f>
        <v>1.9729682329314023E-3</v>
      </c>
      <c r="G571">
        <f>VLOOKUP(D571,'[1]202512 BE lapse'!$C:$D,2,0)</f>
        <v>3.9450843480516064E-3</v>
      </c>
      <c r="H571">
        <f>VLOOKUP($B571,'[1]202512 RFR'!$A:$B,2,0)</f>
        <v>0.02</v>
      </c>
      <c r="I571">
        <f t="shared" si="96"/>
        <v>1.2332838624578584</v>
      </c>
      <c r="J571">
        <f t="shared" si="97"/>
        <v>2.0298615185330358E-4</v>
      </c>
      <c r="K571">
        <f t="shared" si="98"/>
        <v>0</v>
      </c>
      <c r="L571">
        <f t="shared" si="90"/>
        <v>0.51093827459549368</v>
      </c>
      <c r="M571">
        <f>IF(AND(MOD(C571,12)=1,D571&lt;='[1]Product parameters'!$C$2),I570*[1]model_point!$G$2,0)</f>
        <v>0</v>
      </c>
      <c r="N571">
        <f t="shared" si="91"/>
        <v>0</v>
      </c>
      <c r="O571">
        <f>[2]results_sample_product_cf!G570</f>
        <v>0</v>
      </c>
      <c r="P571">
        <f>[2]results_sample_product_cf!H570</f>
        <v>0</v>
      </c>
      <c r="Q571">
        <f t="shared" si="92"/>
        <v>0</v>
      </c>
      <c r="R571">
        <f t="shared" si="88"/>
        <v>0</v>
      </c>
    </row>
    <row r="572" spans="1:18" x14ac:dyDescent="0.3">
      <c r="A572">
        <f t="shared" si="93"/>
        <v>569</v>
      </c>
      <c r="B572">
        <f t="shared" si="94"/>
        <v>48</v>
      </c>
      <c r="C572">
        <f t="shared" si="95"/>
        <v>574</v>
      </c>
      <c r="D572">
        <f t="shared" si="89"/>
        <v>48</v>
      </c>
      <c r="E572">
        <f>[1]model_point!$C$2+D572-1</f>
        <v>52</v>
      </c>
      <c r="F572">
        <f>VLOOKUP(E572,'[1]202512 BE mortality'!$A:$C,3,0)</f>
        <v>1.9729682329314023E-3</v>
      </c>
      <c r="G572">
        <f>VLOOKUP(D572,'[1]202512 BE lapse'!$C:$D,2,0)</f>
        <v>3.9450843480516064E-3</v>
      </c>
      <c r="H572">
        <f>VLOOKUP($B572,'[1]202512 RFR'!$A:$B,2,0)</f>
        <v>0.02</v>
      </c>
      <c r="I572">
        <f t="shared" si="96"/>
        <v>1.2330809097099915</v>
      </c>
      <c r="J572">
        <f t="shared" si="97"/>
        <v>2.029527478669614E-4</v>
      </c>
      <c r="K572">
        <f t="shared" si="98"/>
        <v>0</v>
      </c>
      <c r="L572">
        <f t="shared" si="90"/>
        <v>0.51009580989368541</v>
      </c>
      <c r="M572">
        <f>IF(AND(MOD(C572,12)=1,D572&lt;='[1]Product parameters'!$C$2),I571*[1]model_point!$G$2,0)</f>
        <v>0</v>
      </c>
      <c r="N572">
        <f t="shared" si="91"/>
        <v>0</v>
      </c>
      <c r="O572">
        <f>[2]results_sample_product_cf!G571</f>
        <v>0</v>
      </c>
      <c r="P572">
        <f>[2]results_sample_product_cf!H571</f>
        <v>0</v>
      </c>
      <c r="Q572">
        <f t="shared" si="92"/>
        <v>0</v>
      </c>
      <c r="R572">
        <f t="shared" si="88"/>
        <v>0</v>
      </c>
    </row>
    <row r="573" spans="1:18" x14ac:dyDescent="0.3">
      <c r="A573">
        <f t="shared" si="93"/>
        <v>570</v>
      </c>
      <c r="B573">
        <f t="shared" si="94"/>
        <v>48</v>
      </c>
      <c r="C573">
        <f t="shared" si="95"/>
        <v>575</v>
      </c>
      <c r="D573">
        <f t="shared" si="89"/>
        <v>48</v>
      </c>
      <c r="E573">
        <f>[1]model_point!$C$2+D573-1</f>
        <v>52</v>
      </c>
      <c r="F573">
        <f>VLOOKUP(E573,'[1]202512 BE mortality'!$A:$C,3,0)</f>
        <v>1.9729682329314023E-3</v>
      </c>
      <c r="G573">
        <f>VLOOKUP(D573,'[1]202512 BE lapse'!$C:$D,2,0)</f>
        <v>3.9450843480516064E-3</v>
      </c>
      <c r="H573">
        <f>VLOOKUP($B573,'[1]202512 RFR'!$A:$B,2,0)</f>
        <v>0.02</v>
      </c>
      <c r="I573">
        <f t="shared" si="96"/>
        <v>1.2328779903606137</v>
      </c>
      <c r="J573">
        <f t="shared" si="97"/>
        <v>2.0291934937767555E-4</v>
      </c>
      <c r="K573">
        <f t="shared" si="98"/>
        <v>0</v>
      </c>
      <c r="L573">
        <f t="shared" si="90"/>
        <v>0.50925473429660684</v>
      </c>
      <c r="M573">
        <f>IF(AND(MOD(C573,12)=1,D573&lt;='[1]Product parameters'!$C$2),I572*[1]model_point!$G$2,0)</f>
        <v>0</v>
      </c>
      <c r="N573">
        <f t="shared" si="91"/>
        <v>0</v>
      </c>
      <c r="O573">
        <f>[2]results_sample_product_cf!G572</f>
        <v>0</v>
      </c>
      <c r="P573">
        <f>[2]results_sample_product_cf!H572</f>
        <v>0</v>
      </c>
      <c r="Q573">
        <f t="shared" si="92"/>
        <v>0</v>
      </c>
      <c r="R573">
        <f t="shared" si="88"/>
        <v>0</v>
      </c>
    </row>
    <row r="574" spans="1:18" x14ac:dyDescent="0.3">
      <c r="A574">
        <f t="shared" si="93"/>
        <v>571</v>
      </c>
      <c r="B574">
        <f t="shared" si="94"/>
        <v>48</v>
      </c>
      <c r="C574">
        <f t="shared" si="95"/>
        <v>576</v>
      </c>
      <c r="D574">
        <f t="shared" si="89"/>
        <v>48</v>
      </c>
      <c r="E574">
        <f>[1]model_point!$C$2+D574-1</f>
        <v>52</v>
      </c>
      <c r="F574">
        <f>VLOOKUP(E574,'[1]202512 BE mortality'!$A:$C,3,0)</f>
        <v>1.9729682329314023E-3</v>
      </c>
      <c r="G574">
        <f>VLOOKUP(D574,'[1]202512 BE lapse'!$C:$D,2,0)</f>
        <v>3.9450843480516064E-3</v>
      </c>
      <c r="H574">
        <f>VLOOKUP($B574,'[1]202512 RFR'!$A:$B,2,0)</f>
        <v>0.02</v>
      </c>
      <c r="I574">
        <f t="shared" si="96"/>
        <v>1.2278120971436113</v>
      </c>
      <c r="J574">
        <f t="shared" si="97"/>
        <v>2.0288595638454134E-4</v>
      </c>
      <c r="K574">
        <f t="shared" si="98"/>
        <v>4.8630072606180045E-3</v>
      </c>
      <c r="L574">
        <f t="shared" si="90"/>
        <v>0.50841504551382133</v>
      </c>
      <c r="M574">
        <f>IF(AND(MOD(C574,12)=1,D574&lt;='[1]Product parameters'!$C$2),I573*[1]model_point!$G$2,0)</f>
        <v>0</v>
      </c>
      <c r="N574">
        <f t="shared" si="91"/>
        <v>0</v>
      </c>
      <c r="O574">
        <f>[2]results_sample_product_cf!G573</f>
        <v>0</v>
      </c>
      <c r="P574">
        <f>[2]results_sample_product_cf!H573</f>
        <v>0</v>
      </c>
      <c r="Q574">
        <f t="shared" si="92"/>
        <v>0</v>
      </c>
      <c r="R574">
        <f t="shared" si="88"/>
        <v>0</v>
      </c>
    </row>
    <row r="575" spans="1:18" x14ac:dyDescent="0.3">
      <c r="A575">
        <f t="shared" si="93"/>
        <v>572</v>
      </c>
      <c r="B575">
        <f t="shared" si="94"/>
        <v>48</v>
      </c>
      <c r="C575">
        <f t="shared" si="95"/>
        <v>577</v>
      </c>
      <c r="D575">
        <f t="shared" si="89"/>
        <v>49</v>
      </c>
      <c r="E575">
        <f>[1]model_point!$C$2+D575-1</f>
        <v>53</v>
      </c>
      <c r="F575">
        <f>VLOOKUP(E575,'[1]202512 BE mortality'!$A:$C,3,0)</f>
        <v>9.8906529385110534E-3</v>
      </c>
      <c r="G575">
        <f>VLOOKUP(D575,'[1]202512 BE lapse'!$C:$D,2,0)</f>
        <v>3.7590943845445656E-3</v>
      </c>
      <c r="H575">
        <f>VLOOKUP($B575,'[1]202512 RFR'!$A:$B,2,0)</f>
        <v>0.02</v>
      </c>
      <c r="I575">
        <f t="shared" si="96"/>
        <v>1.2267954917705359</v>
      </c>
      <c r="J575">
        <f t="shared" si="97"/>
        <v>1.0166053730754476E-3</v>
      </c>
      <c r="K575">
        <f t="shared" si="98"/>
        <v>0</v>
      </c>
      <c r="L575">
        <f t="shared" si="90"/>
        <v>0.50757674125866892</v>
      </c>
      <c r="M575">
        <f>IF(AND(MOD(C575,12)=1,D575&lt;='[1]Product parameters'!$C$2),I574*[1]model_point!$G$2,0)</f>
        <v>0</v>
      </c>
      <c r="N575">
        <f t="shared" si="91"/>
        <v>0</v>
      </c>
      <c r="O575">
        <f>[2]results_sample_product_cf!G574</f>
        <v>0</v>
      </c>
      <c r="P575">
        <f>[2]results_sample_product_cf!H574</f>
        <v>0</v>
      </c>
      <c r="Q575">
        <f t="shared" si="92"/>
        <v>0</v>
      </c>
      <c r="R575">
        <f t="shared" si="88"/>
        <v>0</v>
      </c>
    </row>
    <row r="576" spans="1:18" x14ac:dyDescent="0.3">
      <c r="A576">
        <f t="shared" si="93"/>
        <v>573</v>
      </c>
      <c r="B576">
        <f t="shared" si="94"/>
        <v>48</v>
      </c>
      <c r="C576">
        <f t="shared" si="95"/>
        <v>578</v>
      </c>
      <c r="D576">
        <f t="shared" si="89"/>
        <v>49</v>
      </c>
      <c r="E576">
        <f>[1]model_point!$C$2+D576-1</f>
        <v>53</v>
      </c>
      <c r="F576">
        <f>VLOOKUP(E576,'[1]202512 BE mortality'!$A:$C,3,0)</f>
        <v>9.8906529385110534E-3</v>
      </c>
      <c r="G576">
        <f>VLOOKUP(D576,'[1]202512 BE lapse'!$C:$D,2,0)</f>
        <v>3.7590943845445656E-3</v>
      </c>
      <c r="H576">
        <f>VLOOKUP($B576,'[1]202512 RFR'!$A:$B,2,0)</f>
        <v>0.02</v>
      </c>
      <c r="I576">
        <f t="shared" si="96"/>
        <v>1.2257797281276299</v>
      </c>
      <c r="J576">
        <f t="shared" si="97"/>
        <v>1.0157636429060104E-3</v>
      </c>
      <c r="K576">
        <f t="shared" si="98"/>
        <v>0</v>
      </c>
      <c r="L576">
        <f t="shared" si="90"/>
        <v>0.50673981924826006</v>
      </c>
      <c r="M576">
        <f>IF(AND(MOD(C576,12)=1,D576&lt;='[1]Product parameters'!$C$2),I575*[1]model_point!$G$2,0)</f>
        <v>0</v>
      </c>
      <c r="N576">
        <f t="shared" si="91"/>
        <v>0</v>
      </c>
      <c r="O576">
        <f>[2]results_sample_product_cf!G575</f>
        <v>0</v>
      </c>
      <c r="P576">
        <f>[2]results_sample_product_cf!H575</f>
        <v>0</v>
      </c>
      <c r="Q576">
        <f t="shared" si="92"/>
        <v>0</v>
      </c>
      <c r="R576">
        <f t="shared" si="88"/>
        <v>0</v>
      </c>
    </row>
    <row r="577" spans="1:18" x14ac:dyDescent="0.3">
      <c r="A577">
        <f t="shared" si="93"/>
        <v>574</v>
      </c>
      <c r="B577">
        <f t="shared" si="94"/>
        <v>48</v>
      </c>
      <c r="C577">
        <f t="shared" si="95"/>
        <v>579</v>
      </c>
      <c r="D577">
        <f t="shared" si="89"/>
        <v>49</v>
      </c>
      <c r="E577">
        <f>[1]model_point!$C$2+D577-1</f>
        <v>53</v>
      </c>
      <c r="F577">
        <f>VLOOKUP(E577,'[1]202512 BE mortality'!$A:$C,3,0)</f>
        <v>9.8906529385110534E-3</v>
      </c>
      <c r="G577">
        <f>VLOOKUP(D577,'[1]202512 BE lapse'!$C:$D,2,0)</f>
        <v>3.7590943845445656E-3</v>
      </c>
      <c r="H577">
        <f>VLOOKUP($B577,'[1]202512 RFR'!$A:$B,2,0)</f>
        <v>0.02</v>
      </c>
      <c r="I577">
        <f t="shared" si="96"/>
        <v>1.2247648055179565</v>
      </c>
      <c r="J577">
        <f t="shared" si="97"/>
        <v>1.014922609673356E-3</v>
      </c>
      <c r="K577">
        <f t="shared" si="98"/>
        <v>0</v>
      </c>
      <c r="L577">
        <f t="shared" si="90"/>
        <v>0.50590427720346931</v>
      </c>
      <c r="M577">
        <f>IF(AND(MOD(C577,12)=1,D577&lt;='[1]Product parameters'!$C$2),I576*[1]model_point!$G$2,0)</f>
        <v>0</v>
      </c>
      <c r="N577">
        <f t="shared" si="91"/>
        <v>0</v>
      </c>
      <c r="O577">
        <f>[2]results_sample_product_cf!G576</f>
        <v>0</v>
      </c>
      <c r="P577">
        <f>[2]results_sample_product_cf!H576</f>
        <v>0</v>
      </c>
      <c r="Q577">
        <f t="shared" si="92"/>
        <v>0</v>
      </c>
      <c r="R577">
        <f t="shared" si="88"/>
        <v>0</v>
      </c>
    </row>
    <row r="578" spans="1:18" x14ac:dyDescent="0.3">
      <c r="A578">
        <f t="shared" si="93"/>
        <v>575</v>
      </c>
      <c r="B578">
        <f t="shared" si="94"/>
        <v>48</v>
      </c>
      <c r="C578">
        <f t="shared" si="95"/>
        <v>580</v>
      </c>
      <c r="D578">
        <f t="shared" si="89"/>
        <v>49</v>
      </c>
      <c r="E578">
        <f>[1]model_point!$C$2+D578-1</f>
        <v>53</v>
      </c>
      <c r="F578">
        <f>VLOOKUP(E578,'[1]202512 BE mortality'!$A:$C,3,0)</f>
        <v>9.8906529385110534E-3</v>
      </c>
      <c r="G578">
        <f>VLOOKUP(D578,'[1]202512 BE lapse'!$C:$D,2,0)</f>
        <v>3.7590943845445656E-3</v>
      </c>
      <c r="H578">
        <f>VLOOKUP($B578,'[1]202512 RFR'!$A:$B,2,0)</f>
        <v>0.02</v>
      </c>
      <c r="I578">
        <f t="shared" si="96"/>
        <v>1.2237507232451561</v>
      </c>
      <c r="J578">
        <f t="shared" si="97"/>
        <v>1.0140822728004336E-3</v>
      </c>
      <c r="K578">
        <f t="shared" si="98"/>
        <v>0</v>
      </c>
      <c r="L578">
        <f t="shared" si="90"/>
        <v>0.50507011284892933</v>
      </c>
      <c r="M578">
        <f>IF(AND(MOD(C578,12)=1,D578&lt;='[1]Product parameters'!$C$2),I577*[1]model_point!$G$2,0)</f>
        <v>0</v>
      </c>
      <c r="N578">
        <f t="shared" si="91"/>
        <v>0</v>
      </c>
      <c r="O578">
        <f>[2]results_sample_product_cf!G577</f>
        <v>0</v>
      </c>
      <c r="P578">
        <f>[2]results_sample_product_cf!H577</f>
        <v>0</v>
      </c>
      <c r="Q578">
        <f t="shared" si="92"/>
        <v>0</v>
      </c>
      <c r="R578">
        <f t="shared" si="88"/>
        <v>0</v>
      </c>
    </row>
    <row r="579" spans="1:18" x14ac:dyDescent="0.3">
      <c r="A579">
        <f t="shared" si="93"/>
        <v>576</v>
      </c>
      <c r="B579">
        <f t="shared" si="94"/>
        <v>48</v>
      </c>
      <c r="C579">
        <f t="shared" si="95"/>
        <v>581</v>
      </c>
      <c r="D579">
        <f t="shared" si="89"/>
        <v>49</v>
      </c>
      <c r="E579">
        <f>[1]model_point!$C$2+D579-1</f>
        <v>53</v>
      </c>
      <c r="F579">
        <f>VLOOKUP(E579,'[1]202512 BE mortality'!$A:$C,3,0)</f>
        <v>9.8906529385110534E-3</v>
      </c>
      <c r="G579">
        <f>VLOOKUP(D579,'[1]202512 BE lapse'!$C:$D,2,0)</f>
        <v>3.7590943845445656E-3</v>
      </c>
      <c r="H579">
        <f>VLOOKUP($B579,'[1]202512 RFR'!$A:$B,2,0)</f>
        <v>0.02</v>
      </c>
      <c r="I579">
        <f t="shared" si="96"/>
        <v>1.2227374806134454</v>
      </c>
      <c r="J579">
        <f t="shared" si="97"/>
        <v>1.0132426317106711E-3</v>
      </c>
      <c r="K579">
        <f t="shared" si="98"/>
        <v>0</v>
      </c>
      <c r="L579">
        <f t="shared" si="90"/>
        <v>0.50423732391302434</v>
      </c>
      <c r="M579">
        <f>IF(AND(MOD(C579,12)=1,D579&lt;='[1]Product parameters'!$C$2),I578*[1]model_point!$G$2,0)</f>
        <v>0</v>
      </c>
      <c r="N579">
        <f t="shared" si="91"/>
        <v>0</v>
      </c>
      <c r="O579">
        <f>[2]results_sample_product_cf!G578</f>
        <v>0</v>
      </c>
      <c r="P579">
        <f>[2]results_sample_product_cf!H578</f>
        <v>0</v>
      </c>
      <c r="Q579">
        <f t="shared" si="92"/>
        <v>0</v>
      </c>
      <c r="R579">
        <f t="shared" ref="R579:R642" si="99">ROUND(N579-P579,6)</f>
        <v>0</v>
      </c>
    </row>
    <row r="580" spans="1:18" x14ac:dyDescent="0.3">
      <c r="A580">
        <f t="shared" si="93"/>
        <v>577</v>
      </c>
      <c r="B580">
        <f t="shared" si="94"/>
        <v>49</v>
      </c>
      <c r="C580">
        <f t="shared" si="95"/>
        <v>582</v>
      </c>
      <c r="D580">
        <f t="shared" ref="D580:D643" si="100">TRUNC((C580-1)/12,0)+1</f>
        <v>49</v>
      </c>
      <c r="E580">
        <f>[1]model_point!$C$2+D580-1</f>
        <v>53</v>
      </c>
      <c r="F580">
        <f>VLOOKUP(E580,'[1]202512 BE mortality'!$A:$C,3,0)</f>
        <v>9.8906529385110534E-3</v>
      </c>
      <c r="G580">
        <f>VLOOKUP(D580,'[1]202512 BE lapse'!$C:$D,2,0)</f>
        <v>3.7590943845445656E-3</v>
      </c>
      <c r="H580">
        <f>VLOOKUP($B580,'[1]202512 RFR'!$A:$B,2,0)</f>
        <v>0.02</v>
      </c>
      <c r="I580">
        <f t="shared" si="96"/>
        <v>1.2217250769276176</v>
      </c>
      <c r="J580">
        <f t="shared" si="97"/>
        <v>1.0124036858279724E-3</v>
      </c>
      <c r="K580">
        <f t="shared" si="98"/>
        <v>0</v>
      </c>
      <c r="L580">
        <f t="shared" ref="L580:L643" si="101">L579/(1+H580)^(1/12)</f>
        <v>0.50340590812788411</v>
      </c>
      <c r="M580">
        <f>IF(AND(MOD(C580,12)=1,D580&lt;='[1]Product parameters'!$C$2),I579*[1]model_point!$G$2,0)</f>
        <v>0</v>
      </c>
      <c r="N580">
        <f t="shared" ref="N580:N643" si="102">SUMPRODUCT(L580:L1779,M581:M1780)/L580</f>
        <v>0</v>
      </c>
      <c r="O580">
        <f>[2]results_sample_product_cf!G579</f>
        <v>0</v>
      </c>
      <c r="P580">
        <f>[2]results_sample_product_cf!H579</f>
        <v>0</v>
      </c>
      <c r="Q580">
        <f t="shared" ref="Q580:Q643" si="103">ROUND(M580-O580,6)</f>
        <v>0</v>
      </c>
      <c r="R580">
        <f t="shared" si="99"/>
        <v>0</v>
      </c>
    </row>
    <row r="581" spans="1:18" x14ac:dyDescent="0.3">
      <c r="A581">
        <f t="shared" ref="A581:A644" si="104">A580+1</f>
        <v>578</v>
      </c>
      <c r="B581">
        <f t="shared" ref="B581:B644" si="105">INT((A581-1)/12)+1</f>
        <v>49</v>
      </c>
      <c r="C581">
        <f t="shared" ref="C581:C644" si="106">C580+1</f>
        <v>583</v>
      </c>
      <c r="D581">
        <f t="shared" si="100"/>
        <v>49</v>
      </c>
      <c r="E581">
        <f>[1]model_point!$C$2+D581-1</f>
        <v>53</v>
      </c>
      <c r="F581">
        <f>VLOOKUP(E581,'[1]202512 BE mortality'!$A:$C,3,0)</f>
        <v>9.8906529385110534E-3</v>
      </c>
      <c r="G581">
        <f>VLOOKUP(D581,'[1]202512 BE lapse'!$C:$D,2,0)</f>
        <v>3.7590943845445656E-3</v>
      </c>
      <c r="H581">
        <f>VLOOKUP($B581,'[1]202512 RFR'!$A:$B,2,0)</f>
        <v>0.02</v>
      </c>
      <c r="I581">
        <f t="shared" ref="I581:I644" si="107">I580-J581-K581</f>
        <v>1.2207135114930407</v>
      </c>
      <c r="J581">
        <f t="shared" ref="J581:J644" si="108">I580*(1-(1-F581)^(1/12))</f>
        <v>1.0115654345767195E-3</v>
      </c>
      <c r="K581">
        <f t="shared" ref="K581:K644" si="109">(I580-J581)*IF(MOD(C581,12)=0,G581,0)</f>
        <v>0</v>
      </c>
      <c r="L581">
        <f t="shared" si="101"/>
        <v>0.50257586322937808</v>
      </c>
      <c r="M581">
        <f>IF(AND(MOD(C581,12)=1,D581&lt;='[1]Product parameters'!$C$2),I580*[1]model_point!$G$2,0)</f>
        <v>0</v>
      </c>
      <c r="N581">
        <f t="shared" si="102"/>
        <v>0</v>
      </c>
      <c r="O581">
        <f>[2]results_sample_product_cf!G580</f>
        <v>0</v>
      </c>
      <c r="P581">
        <f>[2]results_sample_product_cf!H580</f>
        <v>0</v>
      </c>
      <c r="Q581">
        <f t="shared" si="103"/>
        <v>0</v>
      </c>
      <c r="R581">
        <f t="shared" si="99"/>
        <v>0</v>
      </c>
    </row>
    <row r="582" spans="1:18" x14ac:dyDescent="0.3">
      <c r="A582">
        <f t="shared" si="104"/>
        <v>579</v>
      </c>
      <c r="B582">
        <f t="shared" si="105"/>
        <v>49</v>
      </c>
      <c r="C582">
        <f t="shared" si="106"/>
        <v>584</v>
      </c>
      <c r="D582">
        <f t="shared" si="100"/>
        <v>49</v>
      </c>
      <c r="E582">
        <f>[1]model_point!$C$2+D582-1</f>
        <v>53</v>
      </c>
      <c r="F582">
        <f>VLOOKUP(E582,'[1]202512 BE mortality'!$A:$C,3,0)</f>
        <v>9.8906529385110534E-3</v>
      </c>
      <c r="G582">
        <f>VLOOKUP(D582,'[1]202512 BE lapse'!$C:$D,2,0)</f>
        <v>3.7590943845445656E-3</v>
      </c>
      <c r="H582">
        <f>VLOOKUP($B582,'[1]202512 RFR'!$A:$B,2,0)</f>
        <v>0.02</v>
      </c>
      <c r="I582">
        <f t="shared" si="107"/>
        <v>1.2197027836156589</v>
      </c>
      <c r="J582">
        <f t="shared" si="108"/>
        <v>1.0107278773817704E-3</v>
      </c>
      <c r="K582">
        <f t="shared" si="109"/>
        <v>0</v>
      </c>
      <c r="L582">
        <f t="shared" si="101"/>
        <v>0.50174718695710863</v>
      </c>
      <c r="M582">
        <f>IF(AND(MOD(C582,12)=1,D582&lt;='[1]Product parameters'!$C$2),I581*[1]model_point!$G$2,0)</f>
        <v>0</v>
      </c>
      <c r="N582">
        <f t="shared" si="102"/>
        <v>0</v>
      </c>
      <c r="O582">
        <f>[2]results_sample_product_cf!G581</f>
        <v>0</v>
      </c>
      <c r="P582">
        <f>[2]results_sample_product_cf!H581</f>
        <v>0</v>
      </c>
      <c r="Q582">
        <f t="shared" si="103"/>
        <v>0</v>
      </c>
      <c r="R582">
        <f t="shared" si="99"/>
        <v>0</v>
      </c>
    </row>
    <row r="583" spans="1:18" x14ac:dyDescent="0.3">
      <c r="A583">
        <f t="shared" si="104"/>
        <v>580</v>
      </c>
      <c r="B583">
        <f t="shared" si="105"/>
        <v>49</v>
      </c>
      <c r="C583">
        <f t="shared" si="106"/>
        <v>585</v>
      </c>
      <c r="D583">
        <f t="shared" si="100"/>
        <v>49</v>
      </c>
      <c r="E583">
        <f>[1]model_point!$C$2+D583-1</f>
        <v>53</v>
      </c>
      <c r="F583">
        <f>VLOOKUP(E583,'[1]202512 BE mortality'!$A:$C,3,0)</f>
        <v>9.8906529385110534E-3</v>
      </c>
      <c r="G583">
        <f>VLOOKUP(D583,'[1]202512 BE lapse'!$C:$D,2,0)</f>
        <v>3.7590943845445656E-3</v>
      </c>
      <c r="H583">
        <f>VLOOKUP($B583,'[1]202512 RFR'!$A:$B,2,0)</f>
        <v>0.02</v>
      </c>
      <c r="I583">
        <f t="shared" si="107"/>
        <v>1.2186928926019904</v>
      </c>
      <c r="J583">
        <f t="shared" si="108"/>
        <v>1.0098910136684598E-3</v>
      </c>
      <c r="K583">
        <f t="shared" si="109"/>
        <v>0</v>
      </c>
      <c r="L583">
        <f t="shared" si="101"/>
        <v>0.50091987705440544</v>
      </c>
      <c r="M583">
        <f>IF(AND(MOD(C583,12)=1,D583&lt;='[1]Product parameters'!$C$2),I582*[1]model_point!$G$2,0)</f>
        <v>0</v>
      </c>
      <c r="N583">
        <f t="shared" si="102"/>
        <v>0</v>
      </c>
      <c r="O583">
        <f>[2]results_sample_product_cf!G582</f>
        <v>0</v>
      </c>
      <c r="P583">
        <f>[2]results_sample_product_cf!H582</f>
        <v>0</v>
      </c>
      <c r="Q583">
        <f t="shared" si="103"/>
        <v>0</v>
      </c>
      <c r="R583">
        <f t="shared" si="99"/>
        <v>0</v>
      </c>
    </row>
    <row r="584" spans="1:18" x14ac:dyDescent="0.3">
      <c r="A584">
        <f t="shared" si="104"/>
        <v>581</v>
      </c>
      <c r="B584">
        <f t="shared" si="105"/>
        <v>49</v>
      </c>
      <c r="C584">
        <f t="shared" si="106"/>
        <v>586</v>
      </c>
      <c r="D584">
        <f t="shared" si="100"/>
        <v>49</v>
      </c>
      <c r="E584">
        <f>[1]model_point!$C$2+D584-1</f>
        <v>53</v>
      </c>
      <c r="F584">
        <f>VLOOKUP(E584,'[1]202512 BE mortality'!$A:$C,3,0)</f>
        <v>9.8906529385110534E-3</v>
      </c>
      <c r="G584">
        <f>VLOOKUP(D584,'[1]202512 BE lapse'!$C:$D,2,0)</f>
        <v>3.7590943845445656E-3</v>
      </c>
      <c r="H584">
        <f>VLOOKUP($B584,'[1]202512 RFR'!$A:$B,2,0)</f>
        <v>0.02</v>
      </c>
      <c r="I584">
        <f t="shared" si="107"/>
        <v>1.2176838377591279</v>
      </c>
      <c r="J584">
        <f t="shared" si="108"/>
        <v>1.0090548428625975E-3</v>
      </c>
      <c r="K584">
        <f t="shared" si="109"/>
        <v>0</v>
      </c>
      <c r="L584">
        <f t="shared" si="101"/>
        <v>0.50009393126831891</v>
      </c>
      <c r="M584">
        <f>IF(AND(MOD(C584,12)=1,D584&lt;='[1]Product parameters'!$C$2),I583*[1]model_point!$G$2,0)</f>
        <v>0</v>
      </c>
      <c r="N584">
        <f t="shared" si="102"/>
        <v>0</v>
      </c>
      <c r="O584">
        <f>[2]results_sample_product_cf!G583</f>
        <v>0</v>
      </c>
      <c r="P584">
        <f>[2]results_sample_product_cf!H583</f>
        <v>0</v>
      </c>
      <c r="Q584">
        <f t="shared" si="103"/>
        <v>0</v>
      </c>
      <c r="R584">
        <f t="shared" si="99"/>
        <v>0</v>
      </c>
    </row>
    <row r="585" spans="1:18" x14ac:dyDescent="0.3">
      <c r="A585">
        <f t="shared" si="104"/>
        <v>582</v>
      </c>
      <c r="B585">
        <f t="shared" si="105"/>
        <v>49</v>
      </c>
      <c r="C585">
        <f t="shared" si="106"/>
        <v>587</v>
      </c>
      <c r="D585">
        <f t="shared" si="100"/>
        <v>49</v>
      </c>
      <c r="E585">
        <f>[1]model_point!$C$2+D585-1</f>
        <v>53</v>
      </c>
      <c r="F585">
        <f>VLOOKUP(E585,'[1]202512 BE mortality'!$A:$C,3,0)</f>
        <v>9.8906529385110534E-3</v>
      </c>
      <c r="G585">
        <f>VLOOKUP(D585,'[1]202512 BE lapse'!$C:$D,2,0)</f>
        <v>3.7590943845445656E-3</v>
      </c>
      <c r="H585">
        <f>VLOOKUP($B585,'[1]202512 RFR'!$A:$B,2,0)</f>
        <v>0.02</v>
      </c>
      <c r="I585">
        <f t="shared" si="107"/>
        <v>1.2166756183947374</v>
      </c>
      <c r="J585">
        <f t="shared" si="108"/>
        <v>1.0082193643904695E-3</v>
      </c>
      <c r="K585">
        <f t="shared" si="109"/>
        <v>0</v>
      </c>
      <c r="L585">
        <f t="shared" si="101"/>
        <v>0.49926934734961437</v>
      </c>
      <c r="M585">
        <f>IF(AND(MOD(C585,12)=1,D585&lt;='[1]Product parameters'!$C$2),I584*[1]model_point!$G$2,0)</f>
        <v>0</v>
      </c>
      <c r="N585">
        <f t="shared" si="102"/>
        <v>0</v>
      </c>
      <c r="O585">
        <f>[2]results_sample_product_cf!G584</f>
        <v>0</v>
      </c>
      <c r="P585">
        <f>[2]results_sample_product_cf!H584</f>
        <v>0</v>
      </c>
      <c r="Q585">
        <f t="shared" si="103"/>
        <v>0</v>
      </c>
      <c r="R585">
        <f t="shared" si="99"/>
        <v>0</v>
      </c>
    </row>
    <row r="586" spans="1:18" x14ac:dyDescent="0.3">
      <c r="A586">
        <f t="shared" si="104"/>
        <v>583</v>
      </c>
      <c r="B586">
        <f t="shared" si="105"/>
        <v>49</v>
      </c>
      <c r="C586">
        <f t="shared" si="106"/>
        <v>588</v>
      </c>
      <c r="D586">
        <f t="shared" si="100"/>
        <v>49</v>
      </c>
      <c r="E586">
        <f>[1]model_point!$C$2+D586-1</f>
        <v>53</v>
      </c>
      <c r="F586">
        <f>VLOOKUP(E586,'[1]202512 BE mortality'!$A:$C,3,0)</f>
        <v>9.8906529385110534E-3</v>
      </c>
      <c r="G586">
        <f>VLOOKUP(D586,'[1]202512 BE lapse'!$C:$D,2,0)</f>
        <v>3.7590943845445656E-3</v>
      </c>
      <c r="H586">
        <f>VLOOKUP($B586,'[1]202512 RFR'!$A:$B,2,0)</f>
        <v>0.02</v>
      </c>
      <c r="I586">
        <f t="shared" si="107"/>
        <v>1.2110984221858476</v>
      </c>
      <c r="J586">
        <f t="shared" si="108"/>
        <v>1.007384577678836E-3</v>
      </c>
      <c r="K586">
        <f t="shared" si="109"/>
        <v>4.5698116312109151E-3</v>
      </c>
      <c r="L586">
        <f t="shared" si="101"/>
        <v>0.49844612305276581</v>
      </c>
      <c r="M586">
        <f>IF(AND(MOD(C586,12)=1,D586&lt;='[1]Product parameters'!$C$2),I585*[1]model_point!$G$2,0)</f>
        <v>0</v>
      </c>
      <c r="N586">
        <f t="shared" si="102"/>
        <v>0</v>
      </c>
      <c r="O586">
        <f>[2]results_sample_product_cf!G585</f>
        <v>0</v>
      </c>
      <c r="P586">
        <f>[2]results_sample_product_cf!H585</f>
        <v>0</v>
      </c>
      <c r="Q586">
        <f t="shared" si="103"/>
        <v>0</v>
      </c>
      <c r="R586">
        <f t="shared" si="99"/>
        <v>0</v>
      </c>
    </row>
    <row r="587" spans="1:18" x14ac:dyDescent="0.3">
      <c r="A587">
        <f t="shared" si="104"/>
        <v>584</v>
      </c>
      <c r="B587">
        <f t="shared" si="105"/>
        <v>49</v>
      </c>
      <c r="C587">
        <f t="shared" si="106"/>
        <v>589</v>
      </c>
      <c r="D587">
        <f t="shared" si="100"/>
        <v>50</v>
      </c>
      <c r="E587">
        <f>[1]model_point!$C$2+D587-1</f>
        <v>54</v>
      </c>
      <c r="F587">
        <f>VLOOKUP(E587,'[1]202512 BE mortality'!$A:$C,3,0)</f>
        <v>7.9881598521639487E-3</v>
      </c>
      <c r="G587">
        <f>VLOOKUP(D587,'[1]202512 BE lapse'!$C:$D,2,0)</f>
        <v>4.1936047295828569E-3</v>
      </c>
      <c r="H587">
        <f>VLOOKUP($B587,'[1]202512 RFR'!$A:$B,2,0)</f>
        <v>0.02</v>
      </c>
      <c r="I587">
        <f t="shared" si="107"/>
        <v>1.210289251344405</v>
      </c>
      <c r="J587">
        <f t="shared" si="108"/>
        <v>8.0917084144264343E-4</v>
      </c>
      <c r="K587">
        <f t="shared" si="109"/>
        <v>0</v>
      </c>
      <c r="L587">
        <f t="shared" si="101"/>
        <v>0.49762425613594974</v>
      </c>
      <c r="M587">
        <f>IF(AND(MOD(C587,12)=1,D587&lt;='[1]Product parameters'!$C$2),I586*[1]model_point!$G$2,0)</f>
        <v>0</v>
      </c>
      <c r="N587">
        <f t="shared" si="102"/>
        <v>0</v>
      </c>
      <c r="O587">
        <f>[2]results_sample_product_cf!G586</f>
        <v>0</v>
      </c>
      <c r="P587">
        <f>[2]results_sample_product_cf!H586</f>
        <v>0</v>
      </c>
      <c r="Q587">
        <f t="shared" si="103"/>
        <v>0</v>
      </c>
      <c r="R587">
        <f t="shared" si="99"/>
        <v>0</v>
      </c>
    </row>
    <row r="588" spans="1:18" x14ac:dyDescent="0.3">
      <c r="A588">
        <f t="shared" si="104"/>
        <v>585</v>
      </c>
      <c r="B588">
        <f t="shared" si="105"/>
        <v>49</v>
      </c>
      <c r="C588">
        <f t="shared" si="106"/>
        <v>590</v>
      </c>
      <c r="D588">
        <f t="shared" si="100"/>
        <v>50</v>
      </c>
      <c r="E588">
        <f>[1]model_point!$C$2+D588-1</f>
        <v>54</v>
      </c>
      <c r="F588">
        <f>VLOOKUP(E588,'[1]202512 BE mortality'!$A:$C,3,0)</f>
        <v>7.9881598521639487E-3</v>
      </c>
      <c r="G588">
        <f>VLOOKUP(D588,'[1]202512 BE lapse'!$C:$D,2,0)</f>
        <v>4.1936047295828569E-3</v>
      </c>
      <c r="H588">
        <f>VLOOKUP($B588,'[1]202512 RFR'!$A:$B,2,0)</f>
        <v>0.02</v>
      </c>
      <c r="I588">
        <f t="shared" si="107"/>
        <v>1.2094806211340445</v>
      </c>
      <c r="J588">
        <f t="shared" si="108"/>
        <v>8.0863021036044018E-4</v>
      </c>
      <c r="K588">
        <f t="shared" si="109"/>
        <v>0</v>
      </c>
      <c r="L588">
        <f t="shared" si="101"/>
        <v>0.49680374436103908</v>
      </c>
      <c r="M588">
        <f>IF(AND(MOD(C588,12)=1,D588&lt;='[1]Product parameters'!$C$2),I587*[1]model_point!$G$2,0)</f>
        <v>0</v>
      </c>
      <c r="N588">
        <f t="shared" si="102"/>
        <v>0</v>
      </c>
      <c r="O588">
        <f>[2]results_sample_product_cf!G587</f>
        <v>0</v>
      </c>
      <c r="P588">
        <f>[2]results_sample_product_cf!H587</f>
        <v>0</v>
      </c>
      <c r="Q588">
        <f t="shared" si="103"/>
        <v>0</v>
      </c>
      <c r="R588">
        <f t="shared" si="99"/>
        <v>0</v>
      </c>
    </row>
    <row r="589" spans="1:18" x14ac:dyDescent="0.3">
      <c r="A589">
        <f t="shared" si="104"/>
        <v>586</v>
      </c>
      <c r="B589">
        <f t="shared" si="105"/>
        <v>49</v>
      </c>
      <c r="C589">
        <f t="shared" si="106"/>
        <v>591</v>
      </c>
      <c r="D589">
        <f t="shared" si="100"/>
        <v>50</v>
      </c>
      <c r="E589">
        <f>[1]model_point!$C$2+D589-1</f>
        <v>54</v>
      </c>
      <c r="F589">
        <f>VLOOKUP(E589,'[1]202512 BE mortality'!$A:$C,3,0)</f>
        <v>7.9881598521639487E-3</v>
      </c>
      <c r="G589">
        <f>VLOOKUP(D589,'[1]202512 BE lapse'!$C:$D,2,0)</f>
        <v>4.1936047295828569E-3</v>
      </c>
      <c r="H589">
        <f>VLOOKUP($B589,'[1]202512 RFR'!$A:$B,2,0)</f>
        <v>0.02</v>
      </c>
      <c r="I589">
        <f t="shared" si="107"/>
        <v>1.2086725311935547</v>
      </c>
      <c r="J589">
        <f t="shared" si="108"/>
        <v>8.0808994048992672E-4</v>
      </c>
      <c r="K589">
        <f t="shared" si="109"/>
        <v>0</v>
      </c>
      <c r="L589">
        <f t="shared" si="101"/>
        <v>0.4959845854935972</v>
      </c>
      <c r="M589">
        <f>IF(AND(MOD(C589,12)=1,D589&lt;='[1]Product parameters'!$C$2),I588*[1]model_point!$G$2,0)</f>
        <v>0</v>
      </c>
      <c r="N589">
        <f t="shared" si="102"/>
        <v>0</v>
      </c>
      <c r="O589">
        <f>[2]results_sample_product_cf!G588</f>
        <v>0</v>
      </c>
      <c r="P589">
        <f>[2]results_sample_product_cf!H588</f>
        <v>0</v>
      </c>
      <c r="Q589">
        <f t="shared" si="103"/>
        <v>0</v>
      </c>
      <c r="R589">
        <f t="shared" si="99"/>
        <v>0</v>
      </c>
    </row>
    <row r="590" spans="1:18" x14ac:dyDescent="0.3">
      <c r="A590">
        <f t="shared" si="104"/>
        <v>587</v>
      </c>
      <c r="B590">
        <f t="shared" si="105"/>
        <v>49</v>
      </c>
      <c r="C590">
        <f t="shared" si="106"/>
        <v>592</v>
      </c>
      <c r="D590">
        <f t="shared" si="100"/>
        <v>50</v>
      </c>
      <c r="E590">
        <f>[1]model_point!$C$2+D590-1</f>
        <v>54</v>
      </c>
      <c r="F590">
        <f>VLOOKUP(E590,'[1]202512 BE mortality'!$A:$C,3,0)</f>
        <v>7.9881598521639487E-3</v>
      </c>
      <c r="G590">
        <f>VLOOKUP(D590,'[1]202512 BE lapse'!$C:$D,2,0)</f>
        <v>4.1936047295828569E-3</v>
      </c>
      <c r="H590">
        <f>VLOOKUP($B590,'[1]202512 RFR'!$A:$B,2,0)</f>
        <v>0.02</v>
      </c>
      <c r="I590">
        <f t="shared" si="107"/>
        <v>1.2078649811619648</v>
      </c>
      <c r="J590">
        <f t="shared" si="108"/>
        <v>8.0755003158976702E-4</v>
      </c>
      <c r="K590">
        <f t="shared" si="109"/>
        <v>0</v>
      </c>
      <c r="L590">
        <f t="shared" si="101"/>
        <v>0.49516677730287167</v>
      </c>
      <c r="M590">
        <f>IF(AND(MOD(C590,12)=1,D590&lt;='[1]Product parameters'!$C$2),I589*[1]model_point!$G$2,0)</f>
        <v>0</v>
      </c>
      <c r="N590">
        <f t="shared" si="102"/>
        <v>0</v>
      </c>
      <c r="O590">
        <f>[2]results_sample_product_cf!G589</f>
        <v>0</v>
      </c>
      <c r="P590">
        <f>[2]results_sample_product_cf!H589</f>
        <v>0</v>
      </c>
      <c r="Q590">
        <f t="shared" si="103"/>
        <v>0</v>
      </c>
      <c r="R590">
        <f t="shared" si="99"/>
        <v>0</v>
      </c>
    </row>
    <row r="591" spans="1:18" x14ac:dyDescent="0.3">
      <c r="A591">
        <f t="shared" si="104"/>
        <v>588</v>
      </c>
      <c r="B591">
        <f t="shared" si="105"/>
        <v>49</v>
      </c>
      <c r="C591">
        <f t="shared" si="106"/>
        <v>593</v>
      </c>
      <c r="D591">
        <f t="shared" si="100"/>
        <v>50</v>
      </c>
      <c r="E591">
        <f>[1]model_point!$C$2+D591-1</f>
        <v>54</v>
      </c>
      <c r="F591">
        <f>VLOOKUP(E591,'[1]202512 BE mortality'!$A:$C,3,0)</f>
        <v>7.9881598521639487E-3</v>
      </c>
      <c r="G591">
        <f>VLOOKUP(D591,'[1]202512 BE lapse'!$C:$D,2,0)</f>
        <v>4.1936047295828569E-3</v>
      </c>
      <c r="H591">
        <f>VLOOKUP($B591,'[1]202512 RFR'!$A:$B,2,0)</f>
        <v>0.02</v>
      </c>
      <c r="I591">
        <f t="shared" si="107"/>
        <v>1.207057970678546</v>
      </c>
      <c r="J591">
        <f t="shared" si="108"/>
        <v>8.0701048341878584E-4</v>
      </c>
      <c r="K591">
        <f t="shared" si="109"/>
        <v>0</v>
      </c>
      <c r="L591">
        <f t="shared" si="101"/>
        <v>0.49435031756178832</v>
      </c>
      <c r="M591">
        <f>IF(AND(MOD(C591,12)=1,D591&lt;='[1]Product parameters'!$C$2),I590*[1]model_point!$G$2,0)</f>
        <v>0</v>
      </c>
      <c r="N591">
        <f t="shared" si="102"/>
        <v>0</v>
      </c>
      <c r="O591">
        <f>[2]results_sample_product_cf!G590</f>
        <v>0</v>
      </c>
      <c r="P591">
        <f>[2]results_sample_product_cf!H590</f>
        <v>0</v>
      </c>
      <c r="Q591">
        <f t="shared" si="103"/>
        <v>0</v>
      </c>
      <c r="R591">
        <f t="shared" si="99"/>
        <v>0</v>
      </c>
    </row>
    <row r="592" spans="1:18" x14ac:dyDescent="0.3">
      <c r="A592">
        <f t="shared" si="104"/>
        <v>589</v>
      </c>
      <c r="B592">
        <f t="shared" si="105"/>
        <v>50</v>
      </c>
      <c r="C592">
        <f t="shared" si="106"/>
        <v>594</v>
      </c>
      <c r="D592">
        <f t="shared" si="100"/>
        <v>50</v>
      </c>
      <c r="E592">
        <f>[1]model_point!$C$2+D592-1</f>
        <v>54</v>
      </c>
      <c r="F592">
        <f>VLOOKUP(E592,'[1]202512 BE mortality'!$A:$C,3,0)</f>
        <v>7.9881598521639487E-3</v>
      </c>
      <c r="G592">
        <f>VLOOKUP(D592,'[1]202512 BE lapse'!$C:$D,2,0)</f>
        <v>4.1936047295828569E-3</v>
      </c>
      <c r="H592">
        <f>VLOOKUP($B592,'[1]202512 RFR'!$A:$B,2,0)</f>
        <v>0.02</v>
      </c>
      <c r="I592">
        <f t="shared" si="107"/>
        <v>1.20625149938281</v>
      </c>
      <c r="J592">
        <f t="shared" si="108"/>
        <v>8.0647129573596947E-4</v>
      </c>
      <c r="K592">
        <f t="shared" si="109"/>
        <v>0</v>
      </c>
      <c r="L592">
        <f t="shared" si="101"/>
        <v>0.49353520404694501</v>
      </c>
      <c r="M592">
        <f>IF(AND(MOD(C592,12)=1,D592&lt;='[1]Product parameters'!$C$2),I591*[1]model_point!$G$2,0)</f>
        <v>0</v>
      </c>
      <c r="N592">
        <f t="shared" si="102"/>
        <v>0</v>
      </c>
      <c r="O592">
        <f>[2]results_sample_product_cf!G591</f>
        <v>0</v>
      </c>
      <c r="P592">
        <f>[2]results_sample_product_cf!H591</f>
        <v>0</v>
      </c>
      <c r="Q592">
        <f t="shared" si="103"/>
        <v>0</v>
      </c>
      <c r="R592">
        <f t="shared" si="99"/>
        <v>0</v>
      </c>
    </row>
    <row r="593" spans="1:18" x14ac:dyDescent="0.3">
      <c r="A593">
        <f t="shared" si="104"/>
        <v>590</v>
      </c>
      <c r="B593">
        <f t="shared" si="105"/>
        <v>50</v>
      </c>
      <c r="C593">
        <f t="shared" si="106"/>
        <v>595</v>
      </c>
      <c r="D593">
        <f t="shared" si="100"/>
        <v>50</v>
      </c>
      <c r="E593">
        <f>[1]model_point!$C$2+D593-1</f>
        <v>54</v>
      </c>
      <c r="F593">
        <f>VLOOKUP(E593,'[1]202512 BE mortality'!$A:$C,3,0)</f>
        <v>7.9881598521639487E-3</v>
      </c>
      <c r="G593">
        <f>VLOOKUP(D593,'[1]202512 BE lapse'!$C:$D,2,0)</f>
        <v>4.1936047295828569E-3</v>
      </c>
      <c r="H593">
        <f>VLOOKUP($B593,'[1]202512 RFR'!$A:$B,2,0)</f>
        <v>0.02</v>
      </c>
      <c r="I593">
        <f t="shared" si="107"/>
        <v>1.2054455669145094</v>
      </c>
      <c r="J593">
        <f t="shared" si="108"/>
        <v>8.0593246830046479E-4</v>
      </c>
      <c r="K593">
        <f t="shared" si="109"/>
        <v>0</v>
      </c>
      <c r="L593">
        <f t="shared" si="101"/>
        <v>0.49272143453860573</v>
      </c>
      <c r="M593">
        <f>IF(AND(MOD(C593,12)=1,D593&lt;='[1]Product parameters'!$C$2),I592*[1]model_point!$G$2,0)</f>
        <v>0</v>
      </c>
      <c r="N593">
        <f t="shared" si="102"/>
        <v>0</v>
      </c>
      <c r="O593">
        <f>[2]results_sample_product_cf!G592</f>
        <v>0</v>
      </c>
      <c r="P593">
        <f>[2]results_sample_product_cf!H592</f>
        <v>0</v>
      </c>
      <c r="Q593">
        <f t="shared" si="103"/>
        <v>0</v>
      </c>
      <c r="R593">
        <f t="shared" si="99"/>
        <v>0</v>
      </c>
    </row>
    <row r="594" spans="1:18" x14ac:dyDescent="0.3">
      <c r="A594">
        <f t="shared" si="104"/>
        <v>591</v>
      </c>
      <c r="B594">
        <f t="shared" si="105"/>
        <v>50</v>
      </c>
      <c r="C594">
        <f t="shared" si="106"/>
        <v>596</v>
      </c>
      <c r="D594">
        <f t="shared" si="100"/>
        <v>50</v>
      </c>
      <c r="E594">
        <f>[1]model_point!$C$2+D594-1</f>
        <v>54</v>
      </c>
      <c r="F594">
        <f>VLOOKUP(E594,'[1]202512 BE mortality'!$A:$C,3,0)</f>
        <v>7.9881598521639487E-3</v>
      </c>
      <c r="G594">
        <f>VLOOKUP(D594,'[1]202512 BE lapse'!$C:$D,2,0)</f>
        <v>4.1936047295828569E-3</v>
      </c>
      <c r="H594">
        <f>VLOOKUP($B594,'[1]202512 RFR'!$A:$B,2,0)</f>
        <v>0.02</v>
      </c>
      <c r="I594">
        <f t="shared" si="107"/>
        <v>1.2046401729136378</v>
      </c>
      <c r="J594">
        <f t="shared" si="108"/>
        <v>8.0539400087158012E-4</v>
      </c>
      <c r="K594">
        <f t="shared" si="109"/>
        <v>0</v>
      </c>
      <c r="L594">
        <f t="shared" si="101"/>
        <v>0.49190900682069455</v>
      </c>
      <c r="M594">
        <f>IF(AND(MOD(C594,12)=1,D594&lt;='[1]Product parameters'!$C$2),I593*[1]model_point!$G$2,0)</f>
        <v>0</v>
      </c>
      <c r="N594">
        <f t="shared" si="102"/>
        <v>0</v>
      </c>
      <c r="O594">
        <f>[2]results_sample_product_cf!G593</f>
        <v>0</v>
      </c>
      <c r="P594">
        <f>[2]results_sample_product_cf!H593</f>
        <v>0</v>
      </c>
      <c r="Q594">
        <f t="shared" si="103"/>
        <v>0</v>
      </c>
      <c r="R594">
        <f t="shared" si="99"/>
        <v>0</v>
      </c>
    </row>
    <row r="595" spans="1:18" x14ac:dyDescent="0.3">
      <c r="A595">
        <f t="shared" si="104"/>
        <v>592</v>
      </c>
      <c r="B595">
        <f t="shared" si="105"/>
        <v>50</v>
      </c>
      <c r="C595">
        <f t="shared" si="106"/>
        <v>597</v>
      </c>
      <c r="D595">
        <f t="shared" si="100"/>
        <v>50</v>
      </c>
      <c r="E595">
        <f>[1]model_point!$C$2+D595-1</f>
        <v>54</v>
      </c>
      <c r="F595">
        <f>VLOOKUP(E595,'[1]202512 BE mortality'!$A:$C,3,0)</f>
        <v>7.9881598521639487E-3</v>
      </c>
      <c r="G595">
        <f>VLOOKUP(D595,'[1]202512 BE lapse'!$C:$D,2,0)</f>
        <v>4.1936047295828569E-3</v>
      </c>
      <c r="H595">
        <f>VLOOKUP($B595,'[1]202512 RFR'!$A:$B,2,0)</f>
        <v>0.02</v>
      </c>
      <c r="I595">
        <f t="shared" si="107"/>
        <v>1.203835317020429</v>
      </c>
      <c r="J595">
        <f t="shared" si="108"/>
        <v>8.0485589320878433E-4</v>
      </c>
      <c r="K595">
        <f t="shared" si="109"/>
        <v>0</v>
      </c>
      <c r="L595">
        <f t="shared" si="101"/>
        <v>0.49109791868078945</v>
      </c>
      <c r="M595">
        <f>IF(AND(MOD(C595,12)=1,D595&lt;='[1]Product parameters'!$C$2),I594*[1]model_point!$G$2,0)</f>
        <v>0</v>
      </c>
      <c r="N595">
        <f t="shared" si="102"/>
        <v>0</v>
      </c>
      <c r="O595">
        <f>[2]results_sample_product_cf!G594</f>
        <v>0</v>
      </c>
      <c r="P595">
        <f>[2]results_sample_product_cf!H594</f>
        <v>0</v>
      </c>
      <c r="Q595">
        <f t="shared" si="103"/>
        <v>0</v>
      </c>
      <c r="R595">
        <f t="shared" si="99"/>
        <v>0</v>
      </c>
    </row>
    <row r="596" spans="1:18" x14ac:dyDescent="0.3">
      <c r="A596">
        <f t="shared" si="104"/>
        <v>593</v>
      </c>
      <c r="B596">
        <f t="shared" si="105"/>
        <v>50</v>
      </c>
      <c r="C596">
        <f t="shared" si="106"/>
        <v>598</v>
      </c>
      <c r="D596">
        <f t="shared" si="100"/>
        <v>50</v>
      </c>
      <c r="E596">
        <f>[1]model_point!$C$2+D596-1</f>
        <v>54</v>
      </c>
      <c r="F596">
        <f>VLOOKUP(E596,'[1]202512 BE mortality'!$A:$C,3,0)</f>
        <v>7.9881598521639487E-3</v>
      </c>
      <c r="G596">
        <f>VLOOKUP(D596,'[1]202512 BE lapse'!$C:$D,2,0)</f>
        <v>4.1936047295828569E-3</v>
      </c>
      <c r="H596">
        <f>VLOOKUP($B596,'[1]202512 RFR'!$A:$B,2,0)</f>
        <v>0.02</v>
      </c>
      <c r="I596">
        <f t="shared" si="107"/>
        <v>1.2030309988753574</v>
      </c>
      <c r="J596">
        <f t="shared" si="108"/>
        <v>8.0431814507170686E-4</v>
      </c>
      <c r="K596">
        <f t="shared" si="109"/>
        <v>0</v>
      </c>
      <c r="L596">
        <f t="shared" si="101"/>
        <v>0.49028816791011637</v>
      </c>
      <c r="M596">
        <f>IF(AND(MOD(C596,12)=1,D596&lt;='[1]Product parameters'!$C$2),I595*[1]model_point!$G$2,0)</f>
        <v>0</v>
      </c>
      <c r="N596">
        <f t="shared" si="102"/>
        <v>0</v>
      </c>
      <c r="O596">
        <f>[2]results_sample_product_cf!G595</f>
        <v>0</v>
      </c>
      <c r="P596">
        <f>[2]results_sample_product_cf!H595</f>
        <v>0</v>
      </c>
      <c r="Q596">
        <f t="shared" si="103"/>
        <v>0</v>
      </c>
      <c r="R596">
        <f t="shared" si="99"/>
        <v>0</v>
      </c>
    </row>
    <row r="597" spans="1:18" x14ac:dyDescent="0.3">
      <c r="A597">
        <f t="shared" si="104"/>
        <v>594</v>
      </c>
      <c r="B597">
        <f t="shared" si="105"/>
        <v>50</v>
      </c>
      <c r="C597">
        <f t="shared" si="106"/>
        <v>599</v>
      </c>
      <c r="D597">
        <f t="shared" si="100"/>
        <v>50</v>
      </c>
      <c r="E597">
        <f>[1]model_point!$C$2+D597-1</f>
        <v>54</v>
      </c>
      <c r="F597">
        <f>VLOOKUP(E597,'[1]202512 BE mortality'!$A:$C,3,0)</f>
        <v>7.9881598521639487E-3</v>
      </c>
      <c r="G597">
        <f>VLOOKUP(D597,'[1]202512 BE lapse'!$C:$D,2,0)</f>
        <v>4.1936047295828569E-3</v>
      </c>
      <c r="H597">
        <f>VLOOKUP($B597,'[1]202512 RFR'!$A:$B,2,0)</f>
        <v>0.02</v>
      </c>
      <c r="I597">
        <f t="shared" si="107"/>
        <v>1.2022272181191371</v>
      </c>
      <c r="J597">
        <f t="shared" si="108"/>
        <v>8.0378075622013808E-4</v>
      </c>
      <c r="K597">
        <f t="shared" si="109"/>
        <v>0</v>
      </c>
      <c r="L597">
        <f t="shared" si="101"/>
        <v>0.48947975230354329</v>
      </c>
      <c r="M597">
        <f>IF(AND(MOD(C597,12)=1,D597&lt;='[1]Product parameters'!$C$2),I596*[1]model_point!$G$2,0)</f>
        <v>0</v>
      </c>
      <c r="N597">
        <f t="shared" si="102"/>
        <v>0</v>
      </c>
      <c r="O597">
        <f>[2]results_sample_product_cf!G596</f>
        <v>0</v>
      </c>
      <c r="P597">
        <f>[2]results_sample_product_cf!H596</f>
        <v>0</v>
      </c>
      <c r="Q597">
        <f t="shared" si="103"/>
        <v>0</v>
      </c>
      <c r="R597">
        <f t="shared" si="99"/>
        <v>0</v>
      </c>
    </row>
    <row r="598" spans="1:18" x14ac:dyDescent="0.3">
      <c r="A598">
        <f t="shared" si="104"/>
        <v>595</v>
      </c>
      <c r="B598">
        <f t="shared" si="105"/>
        <v>50</v>
      </c>
      <c r="C598">
        <f t="shared" si="106"/>
        <v>600</v>
      </c>
      <c r="D598">
        <f t="shared" si="100"/>
        <v>50</v>
      </c>
      <c r="E598">
        <f>[1]model_point!$C$2+D598-1</f>
        <v>54</v>
      </c>
      <c r="F598">
        <f>VLOOKUP(E598,'[1]202512 BE mortality'!$A:$C,3,0)</f>
        <v>7.9881598521639487E-3</v>
      </c>
      <c r="G598">
        <f>VLOOKUP(D598,'[1]202512 BE lapse'!$C:$D,2,0)</f>
        <v>4.1936047295828569E-3</v>
      </c>
      <c r="H598">
        <f>VLOOKUP($B598,'[1]202512 RFR'!$A:$B,2,0)</f>
        <v>0.02</v>
      </c>
      <c r="I598">
        <f t="shared" si="107"/>
        <v>1.1963856771314756</v>
      </c>
      <c r="J598">
        <f t="shared" si="108"/>
        <v>8.0324372641402846E-4</v>
      </c>
      <c r="K598">
        <f t="shared" si="109"/>
        <v>5.0382972612475563E-3</v>
      </c>
      <c r="L598">
        <f t="shared" si="101"/>
        <v>0.48867266965957412</v>
      </c>
      <c r="M598">
        <f>IF(AND(MOD(C598,12)=1,D598&lt;='[1]Product parameters'!$C$2),I597*[1]model_point!$G$2,0)</f>
        <v>0</v>
      </c>
      <c r="N598">
        <f t="shared" si="102"/>
        <v>0</v>
      </c>
      <c r="O598">
        <f>[2]results_sample_product_cf!G597</f>
        <v>0</v>
      </c>
      <c r="P598">
        <f>[2]results_sample_product_cf!H597</f>
        <v>0</v>
      </c>
      <c r="Q598">
        <f t="shared" si="103"/>
        <v>0</v>
      </c>
      <c r="R598">
        <f t="shared" si="99"/>
        <v>0</v>
      </c>
    </row>
    <row r="599" spans="1:18" x14ac:dyDescent="0.3">
      <c r="A599">
        <f t="shared" si="104"/>
        <v>596</v>
      </c>
      <c r="B599">
        <f t="shared" si="105"/>
        <v>50</v>
      </c>
      <c r="C599">
        <f t="shared" si="106"/>
        <v>601</v>
      </c>
      <c r="D599">
        <f t="shared" si="100"/>
        <v>51</v>
      </c>
      <c r="E599">
        <f>[1]model_point!$C$2+D599-1</f>
        <v>55</v>
      </c>
      <c r="F599">
        <f>VLOOKUP(E599,'[1]202512 BE mortality'!$A:$C,3,0)</f>
        <v>2.4533076518786479E-3</v>
      </c>
      <c r="G599">
        <f>VLOOKUP(D599,'[1]202512 BE lapse'!$C:$D,2,0)</f>
        <v>8.7772649590029742E-3</v>
      </c>
      <c r="H599">
        <f>VLOOKUP($B599,'[1]202512 RFR'!$A:$B,2,0)</f>
        <v>0.02</v>
      </c>
      <c r="I599">
        <f t="shared" si="107"/>
        <v>1.1961408098278741</v>
      </c>
      <c r="J599">
        <f t="shared" si="108"/>
        <v>2.4486730360154192E-4</v>
      </c>
      <c r="K599">
        <f t="shared" si="109"/>
        <v>0</v>
      </c>
      <c r="L599">
        <f t="shared" si="101"/>
        <v>0.48786691778034263</v>
      </c>
      <c r="M599">
        <f>IF(AND(MOD(C599,12)=1,D599&lt;='[1]Product parameters'!$C$2),I598*[1]model_point!$G$2,0)</f>
        <v>0</v>
      </c>
      <c r="N599">
        <f t="shared" si="102"/>
        <v>0</v>
      </c>
      <c r="O599">
        <f>[2]results_sample_product_cf!G598</f>
        <v>0</v>
      </c>
      <c r="P599">
        <f>[2]results_sample_product_cf!H598</f>
        <v>0</v>
      </c>
      <c r="Q599">
        <f t="shared" si="103"/>
        <v>0</v>
      </c>
      <c r="R599">
        <f t="shared" si="99"/>
        <v>0</v>
      </c>
    </row>
    <row r="600" spans="1:18" x14ac:dyDescent="0.3">
      <c r="A600">
        <f t="shared" si="104"/>
        <v>597</v>
      </c>
      <c r="B600">
        <f t="shared" si="105"/>
        <v>50</v>
      </c>
      <c r="C600">
        <f t="shared" si="106"/>
        <v>602</v>
      </c>
      <c r="D600">
        <f t="shared" si="100"/>
        <v>51</v>
      </c>
      <c r="E600">
        <f>[1]model_point!$C$2+D600-1</f>
        <v>55</v>
      </c>
      <c r="F600">
        <f>VLOOKUP(E600,'[1]202512 BE mortality'!$A:$C,3,0)</f>
        <v>2.4533076518786479E-3</v>
      </c>
      <c r="G600">
        <f>VLOOKUP(D600,'[1]202512 BE lapse'!$C:$D,2,0)</f>
        <v>8.7772649590029742E-3</v>
      </c>
      <c r="H600">
        <f>VLOOKUP($B600,'[1]202512 RFR'!$A:$B,2,0)</f>
        <v>0.02</v>
      </c>
      <c r="I600">
        <f t="shared" si="107"/>
        <v>1.1958959926418873</v>
      </c>
      <c r="J600">
        <f t="shared" si="108"/>
        <v>2.4481718598686364E-4</v>
      </c>
      <c r="K600">
        <f t="shared" si="109"/>
        <v>0</v>
      </c>
      <c r="L600">
        <f t="shared" si="101"/>
        <v>0.48706249447160671</v>
      </c>
      <c r="M600">
        <f>IF(AND(MOD(C600,12)=1,D600&lt;='[1]Product parameters'!$C$2),I599*[1]model_point!$G$2,0)</f>
        <v>0</v>
      </c>
      <c r="N600">
        <f t="shared" si="102"/>
        <v>0</v>
      </c>
      <c r="O600">
        <f>[2]results_sample_product_cf!G599</f>
        <v>0</v>
      </c>
      <c r="P600">
        <f>[2]results_sample_product_cf!H599</f>
        <v>0</v>
      </c>
      <c r="Q600">
        <f t="shared" si="103"/>
        <v>0</v>
      </c>
      <c r="R600">
        <f t="shared" si="99"/>
        <v>0</v>
      </c>
    </row>
    <row r="601" spans="1:18" x14ac:dyDescent="0.3">
      <c r="A601">
        <f t="shared" si="104"/>
        <v>598</v>
      </c>
      <c r="B601">
        <f t="shared" si="105"/>
        <v>50</v>
      </c>
      <c r="C601">
        <f t="shared" si="106"/>
        <v>603</v>
      </c>
      <c r="D601">
        <f t="shared" si="100"/>
        <v>51</v>
      </c>
      <c r="E601">
        <f>[1]model_point!$C$2+D601-1</f>
        <v>55</v>
      </c>
      <c r="F601">
        <f>VLOOKUP(E601,'[1]202512 BE mortality'!$A:$C,3,0)</f>
        <v>2.4533076518786479E-3</v>
      </c>
      <c r="G601">
        <f>VLOOKUP(D601,'[1]202512 BE lapse'!$C:$D,2,0)</f>
        <v>8.7772649590029742E-3</v>
      </c>
      <c r="H601">
        <f>VLOOKUP($B601,'[1]202512 RFR'!$A:$B,2,0)</f>
        <v>0.02</v>
      </c>
      <c r="I601">
        <f t="shared" si="107"/>
        <v>1.1956512255632574</v>
      </c>
      <c r="J601">
        <f t="shared" si="108"/>
        <v>2.4476707862988522E-4</v>
      </c>
      <c r="K601">
        <f t="shared" si="109"/>
        <v>0</v>
      </c>
      <c r="L601">
        <f t="shared" si="101"/>
        <v>0.48625939754274211</v>
      </c>
      <c r="M601">
        <f>IF(AND(MOD(C601,12)=1,D601&lt;='[1]Product parameters'!$C$2),I600*[1]model_point!$G$2,0)</f>
        <v>0</v>
      </c>
      <c r="N601">
        <f t="shared" si="102"/>
        <v>0</v>
      </c>
      <c r="O601">
        <f>[2]results_sample_product_cf!G600</f>
        <v>0</v>
      </c>
      <c r="P601">
        <f>[2]results_sample_product_cf!H600</f>
        <v>0</v>
      </c>
      <c r="Q601">
        <f t="shared" si="103"/>
        <v>0</v>
      </c>
      <c r="R601">
        <f t="shared" si="99"/>
        <v>0</v>
      </c>
    </row>
    <row r="602" spans="1:18" x14ac:dyDescent="0.3">
      <c r="A602">
        <f t="shared" si="104"/>
        <v>599</v>
      </c>
      <c r="B602">
        <f t="shared" si="105"/>
        <v>50</v>
      </c>
      <c r="C602">
        <f t="shared" si="106"/>
        <v>604</v>
      </c>
      <c r="D602">
        <f t="shared" si="100"/>
        <v>51</v>
      </c>
      <c r="E602">
        <f>[1]model_point!$C$2+D602-1</f>
        <v>55</v>
      </c>
      <c r="F602">
        <f>VLOOKUP(E602,'[1]202512 BE mortality'!$A:$C,3,0)</f>
        <v>2.4533076518786479E-3</v>
      </c>
      <c r="G602">
        <f>VLOOKUP(D602,'[1]202512 BE lapse'!$C:$D,2,0)</f>
        <v>8.7772649590029742E-3</v>
      </c>
      <c r="H602">
        <f>VLOOKUP($B602,'[1]202512 RFR'!$A:$B,2,0)</f>
        <v>0.02</v>
      </c>
      <c r="I602">
        <f t="shared" si="107"/>
        <v>1.1954065085817289</v>
      </c>
      <c r="J602">
        <f t="shared" si="108"/>
        <v>2.4471698152850715E-4</v>
      </c>
      <c r="K602">
        <f t="shared" si="109"/>
        <v>0</v>
      </c>
      <c r="L602">
        <f t="shared" si="101"/>
        <v>0.48545762480673671</v>
      </c>
      <c r="M602">
        <f>IF(AND(MOD(C602,12)=1,D602&lt;='[1]Product parameters'!$C$2),I601*[1]model_point!$G$2,0)</f>
        <v>0</v>
      </c>
      <c r="N602">
        <f t="shared" si="102"/>
        <v>0</v>
      </c>
      <c r="O602">
        <f>[2]results_sample_product_cf!G601</f>
        <v>0</v>
      </c>
      <c r="P602">
        <f>[2]results_sample_product_cf!H601</f>
        <v>0</v>
      </c>
      <c r="Q602">
        <f t="shared" si="103"/>
        <v>0</v>
      </c>
      <c r="R602">
        <f t="shared" si="99"/>
        <v>0</v>
      </c>
    </row>
    <row r="603" spans="1:18" x14ac:dyDescent="0.3">
      <c r="A603">
        <f t="shared" si="104"/>
        <v>600</v>
      </c>
      <c r="B603">
        <f t="shared" si="105"/>
        <v>50</v>
      </c>
      <c r="C603">
        <f t="shared" si="106"/>
        <v>605</v>
      </c>
      <c r="D603">
        <f t="shared" si="100"/>
        <v>51</v>
      </c>
      <c r="E603">
        <f>[1]model_point!$C$2+D603-1</f>
        <v>55</v>
      </c>
      <c r="F603">
        <f>VLOOKUP(E603,'[1]202512 BE mortality'!$A:$C,3,0)</f>
        <v>2.4533076518786479E-3</v>
      </c>
      <c r="G603">
        <f>VLOOKUP(D603,'[1]202512 BE lapse'!$C:$D,2,0)</f>
        <v>8.7772649590029742E-3</v>
      </c>
      <c r="H603">
        <f>VLOOKUP($B603,'[1]202512 RFR'!$A:$B,2,0)</f>
        <v>0.02</v>
      </c>
      <c r="I603">
        <f t="shared" si="107"/>
        <v>1.1951618416870482</v>
      </c>
      <c r="J603">
        <f t="shared" si="108"/>
        <v>2.4466689468063041E-4</v>
      </c>
      <c r="K603">
        <f t="shared" si="109"/>
        <v>0</v>
      </c>
      <c r="L603">
        <f t="shared" si="101"/>
        <v>0.48465717408018438</v>
      </c>
      <c r="M603">
        <f>IF(AND(MOD(C603,12)=1,D603&lt;='[1]Product parameters'!$C$2),I602*[1]model_point!$G$2,0)</f>
        <v>0</v>
      </c>
      <c r="N603">
        <f t="shared" si="102"/>
        <v>0</v>
      </c>
      <c r="O603">
        <f>[2]results_sample_product_cf!G602</f>
        <v>0</v>
      </c>
      <c r="P603">
        <f>[2]results_sample_product_cf!H602</f>
        <v>0</v>
      </c>
      <c r="Q603">
        <f t="shared" si="103"/>
        <v>0</v>
      </c>
      <c r="R603">
        <f t="shared" si="99"/>
        <v>0</v>
      </c>
    </row>
    <row r="604" spans="1:18" x14ac:dyDescent="0.3">
      <c r="A604">
        <f t="shared" si="104"/>
        <v>601</v>
      </c>
      <c r="B604">
        <f t="shared" si="105"/>
        <v>51</v>
      </c>
      <c r="C604">
        <f t="shared" si="106"/>
        <v>606</v>
      </c>
      <c r="D604">
        <f t="shared" si="100"/>
        <v>51</v>
      </c>
      <c r="E604">
        <f>[1]model_point!$C$2+D604-1</f>
        <v>55</v>
      </c>
      <c r="F604">
        <f>VLOOKUP(E604,'[1]202512 BE mortality'!$A:$C,3,0)</f>
        <v>2.4533076518786479E-3</v>
      </c>
      <c r="G604">
        <f>VLOOKUP(D604,'[1]202512 BE lapse'!$C:$D,2,0)</f>
        <v>8.7772649590029742E-3</v>
      </c>
      <c r="H604">
        <f>VLOOKUP($B604,'[1]202512 RFR'!$A:$B,2,0)</f>
        <v>0.02</v>
      </c>
      <c r="I604">
        <f t="shared" si="107"/>
        <v>1.1949172248689641</v>
      </c>
      <c r="J604">
        <f t="shared" si="108"/>
        <v>2.4461681808415637E-4</v>
      </c>
      <c r="K604">
        <f t="shared" si="109"/>
        <v>0</v>
      </c>
      <c r="L604">
        <f t="shared" si="101"/>
        <v>0.48385804318327919</v>
      </c>
      <c r="M604">
        <f>IF(AND(MOD(C604,12)=1,D604&lt;='[1]Product parameters'!$C$2),I603*[1]model_point!$G$2,0)</f>
        <v>0</v>
      </c>
      <c r="N604">
        <f t="shared" si="102"/>
        <v>0</v>
      </c>
      <c r="O604">
        <f>[2]results_sample_product_cf!G603</f>
        <v>0</v>
      </c>
      <c r="P604">
        <f>[2]results_sample_product_cf!H603</f>
        <v>0</v>
      </c>
      <c r="Q604">
        <f t="shared" si="103"/>
        <v>0</v>
      </c>
      <c r="R604">
        <f t="shared" si="99"/>
        <v>0</v>
      </c>
    </row>
    <row r="605" spans="1:18" x14ac:dyDescent="0.3">
      <c r="A605">
        <f t="shared" si="104"/>
        <v>602</v>
      </c>
      <c r="B605">
        <f t="shared" si="105"/>
        <v>51</v>
      </c>
      <c r="C605">
        <f t="shared" si="106"/>
        <v>607</v>
      </c>
      <c r="D605">
        <f t="shared" si="100"/>
        <v>51</v>
      </c>
      <c r="E605">
        <f>[1]model_point!$C$2+D605-1</f>
        <v>55</v>
      </c>
      <c r="F605">
        <f>VLOOKUP(E605,'[1]202512 BE mortality'!$A:$C,3,0)</f>
        <v>2.4533076518786479E-3</v>
      </c>
      <c r="G605">
        <f>VLOOKUP(D605,'[1]202512 BE lapse'!$C:$D,2,0)</f>
        <v>8.7772649590029742E-3</v>
      </c>
      <c r="H605">
        <f>VLOOKUP($B605,'[1]202512 RFR'!$A:$B,2,0)</f>
        <v>0.02</v>
      </c>
      <c r="I605">
        <f t="shared" si="107"/>
        <v>1.1946726581172271</v>
      </c>
      <c r="J605">
        <f t="shared" si="108"/>
        <v>2.4456675173698694E-4</v>
      </c>
      <c r="K605">
        <f t="shared" si="109"/>
        <v>0</v>
      </c>
      <c r="L605">
        <f t="shared" si="101"/>
        <v>0.48306022993980929</v>
      </c>
      <c r="M605">
        <f>IF(AND(MOD(C605,12)=1,D605&lt;='[1]Product parameters'!$C$2),I604*[1]model_point!$G$2,0)</f>
        <v>0</v>
      </c>
      <c r="N605">
        <f t="shared" si="102"/>
        <v>0</v>
      </c>
      <c r="O605">
        <f>[2]results_sample_product_cf!G604</f>
        <v>0</v>
      </c>
      <c r="P605">
        <f>[2]results_sample_product_cf!H604</f>
        <v>0</v>
      </c>
      <c r="Q605">
        <f t="shared" si="103"/>
        <v>0</v>
      </c>
      <c r="R605">
        <f t="shared" si="99"/>
        <v>0</v>
      </c>
    </row>
    <row r="606" spans="1:18" x14ac:dyDescent="0.3">
      <c r="A606">
        <f t="shared" si="104"/>
        <v>603</v>
      </c>
      <c r="B606">
        <f t="shared" si="105"/>
        <v>51</v>
      </c>
      <c r="C606">
        <f t="shared" si="106"/>
        <v>608</v>
      </c>
      <c r="D606">
        <f t="shared" si="100"/>
        <v>51</v>
      </c>
      <c r="E606">
        <f>[1]model_point!$C$2+D606-1</f>
        <v>55</v>
      </c>
      <c r="F606">
        <f>VLOOKUP(E606,'[1]202512 BE mortality'!$A:$C,3,0)</f>
        <v>2.4533076518786479E-3</v>
      </c>
      <c r="G606">
        <f>VLOOKUP(D606,'[1]202512 BE lapse'!$C:$D,2,0)</f>
        <v>8.7772649590029742E-3</v>
      </c>
      <c r="H606">
        <f>VLOOKUP($B606,'[1]202512 RFR'!$A:$B,2,0)</f>
        <v>0.02</v>
      </c>
      <c r="I606">
        <f t="shared" si="107"/>
        <v>1.19442814142159</v>
      </c>
      <c r="J606">
        <f t="shared" si="108"/>
        <v>2.4451669563702424E-4</v>
      </c>
      <c r="K606">
        <f t="shared" si="109"/>
        <v>0</v>
      </c>
      <c r="L606">
        <f t="shared" si="101"/>
        <v>0.48226373217715124</v>
      </c>
      <c r="M606">
        <f>IF(AND(MOD(C606,12)=1,D606&lt;='[1]Product parameters'!$C$2),I605*[1]model_point!$G$2,0)</f>
        <v>0</v>
      </c>
      <c r="N606">
        <f t="shared" si="102"/>
        <v>0</v>
      </c>
      <c r="O606">
        <f>[2]results_sample_product_cf!G605</f>
        <v>0</v>
      </c>
      <c r="P606">
        <f>[2]results_sample_product_cf!H605</f>
        <v>0</v>
      </c>
      <c r="Q606">
        <f t="shared" si="103"/>
        <v>0</v>
      </c>
      <c r="R606">
        <f t="shared" si="99"/>
        <v>0</v>
      </c>
    </row>
    <row r="607" spans="1:18" x14ac:dyDescent="0.3">
      <c r="A607">
        <f t="shared" si="104"/>
        <v>604</v>
      </c>
      <c r="B607">
        <f t="shared" si="105"/>
        <v>51</v>
      </c>
      <c r="C607">
        <f t="shared" si="106"/>
        <v>609</v>
      </c>
      <c r="D607">
        <f t="shared" si="100"/>
        <v>51</v>
      </c>
      <c r="E607">
        <f>[1]model_point!$C$2+D607-1</f>
        <v>55</v>
      </c>
      <c r="F607">
        <f>VLOOKUP(E607,'[1]202512 BE mortality'!$A:$C,3,0)</f>
        <v>2.4533076518786479E-3</v>
      </c>
      <c r="G607">
        <f>VLOOKUP(D607,'[1]202512 BE lapse'!$C:$D,2,0)</f>
        <v>8.7772649590029742E-3</v>
      </c>
      <c r="H607">
        <f>VLOOKUP($B607,'[1]202512 RFR'!$A:$B,2,0)</f>
        <v>0.02</v>
      </c>
      <c r="I607">
        <f t="shared" si="107"/>
        <v>1.194183674771808</v>
      </c>
      <c r="J607">
        <f t="shared" si="108"/>
        <v>2.4446664978217098E-4</v>
      </c>
      <c r="K607">
        <f t="shared" si="109"/>
        <v>0</v>
      </c>
      <c r="L607">
        <f t="shared" si="101"/>
        <v>0.48146854772626385</v>
      </c>
      <c r="M607">
        <f>IF(AND(MOD(C607,12)=1,D607&lt;='[1]Product parameters'!$C$2),I606*[1]model_point!$G$2,0)</f>
        <v>0</v>
      </c>
      <c r="N607">
        <f t="shared" si="102"/>
        <v>0</v>
      </c>
      <c r="O607">
        <f>[2]results_sample_product_cf!G606</f>
        <v>0</v>
      </c>
      <c r="P607">
        <f>[2]results_sample_product_cf!H606</f>
        <v>0</v>
      </c>
      <c r="Q607">
        <f t="shared" si="103"/>
        <v>0</v>
      </c>
      <c r="R607">
        <f t="shared" si="99"/>
        <v>0</v>
      </c>
    </row>
    <row r="608" spans="1:18" x14ac:dyDescent="0.3">
      <c r="A608">
        <f t="shared" si="104"/>
        <v>605</v>
      </c>
      <c r="B608">
        <f t="shared" si="105"/>
        <v>51</v>
      </c>
      <c r="C608">
        <f t="shared" si="106"/>
        <v>610</v>
      </c>
      <c r="D608">
        <f t="shared" si="100"/>
        <v>51</v>
      </c>
      <c r="E608">
        <f>[1]model_point!$C$2+D608-1</f>
        <v>55</v>
      </c>
      <c r="F608">
        <f>VLOOKUP(E608,'[1]202512 BE mortality'!$A:$C,3,0)</f>
        <v>2.4533076518786479E-3</v>
      </c>
      <c r="G608">
        <f>VLOOKUP(D608,'[1]202512 BE lapse'!$C:$D,2,0)</f>
        <v>8.7772649590029742E-3</v>
      </c>
      <c r="H608">
        <f>VLOOKUP($B608,'[1]202512 RFR'!$A:$B,2,0)</f>
        <v>0.02</v>
      </c>
      <c r="I608">
        <f t="shared" si="107"/>
        <v>1.1939392581576376</v>
      </c>
      <c r="J608">
        <f t="shared" si="108"/>
        <v>2.4441661417033038E-4</v>
      </c>
      <c r="K608">
        <f t="shared" si="109"/>
        <v>0</v>
      </c>
      <c r="L608">
        <f t="shared" si="101"/>
        <v>0.48067467442168244</v>
      </c>
      <c r="M608">
        <f>IF(AND(MOD(C608,12)=1,D608&lt;='[1]Product parameters'!$C$2),I607*[1]model_point!$G$2,0)</f>
        <v>0</v>
      </c>
      <c r="N608">
        <f t="shared" si="102"/>
        <v>0</v>
      </c>
      <c r="O608">
        <f>[2]results_sample_product_cf!G607</f>
        <v>0</v>
      </c>
      <c r="P608">
        <f>[2]results_sample_product_cf!H607</f>
        <v>0</v>
      </c>
      <c r="Q608">
        <f t="shared" si="103"/>
        <v>0</v>
      </c>
      <c r="R608">
        <f t="shared" si="99"/>
        <v>0</v>
      </c>
    </row>
    <row r="609" spans="1:18" x14ac:dyDescent="0.3">
      <c r="A609">
        <f t="shared" si="104"/>
        <v>606</v>
      </c>
      <c r="B609">
        <f t="shared" si="105"/>
        <v>51</v>
      </c>
      <c r="C609">
        <f t="shared" si="106"/>
        <v>611</v>
      </c>
      <c r="D609">
        <f t="shared" si="100"/>
        <v>51</v>
      </c>
      <c r="E609">
        <f>[1]model_point!$C$2+D609-1</f>
        <v>55</v>
      </c>
      <c r="F609">
        <f>VLOOKUP(E609,'[1]202512 BE mortality'!$A:$C,3,0)</f>
        <v>2.4533076518786479E-3</v>
      </c>
      <c r="G609">
        <f>VLOOKUP(D609,'[1]202512 BE lapse'!$C:$D,2,0)</f>
        <v>8.7772649590029742E-3</v>
      </c>
      <c r="H609">
        <f>VLOOKUP($B609,'[1]202512 RFR'!$A:$B,2,0)</f>
        <v>0.02</v>
      </c>
      <c r="I609">
        <f t="shared" si="107"/>
        <v>1.1936948915688381</v>
      </c>
      <c r="J609">
        <f t="shared" si="108"/>
        <v>2.4436658879940581E-4</v>
      </c>
      <c r="K609">
        <f t="shared" si="109"/>
        <v>0</v>
      </c>
      <c r="L609">
        <f t="shared" si="101"/>
        <v>0.47988211010151277</v>
      </c>
      <c r="M609">
        <f>IF(AND(MOD(C609,12)=1,D609&lt;='[1]Product parameters'!$C$2),I608*[1]model_point!$G$2,0)</f>
        <v>0</v>
      </c>
      <c r="N609">
        <f t="shared" si="102"/>
        <v>0</v>
      </c>
      <c r="O609">
        <f>[2]results_sample_product_cf!G608</f>
        <v>0</v>
      </c>
      <c r="P609">
        <f>[2]results_sample_product_cf!H608</f>
        <v>0</v>
      </c>
      <c r="Q609">
        <f t="shared" si="103"/>
        <v>0</v>
      </c>
      <c r="R609">
        <f t="shared" si="99"/>
        <v>0</v>
      </c>
    </row>
    <row r="610" spans="1:18" x14ac:dyDescent="0.3">
      <c r="A610">
        <f t="shared" si="104"/>
        <v>607</v>
      </c>
      <c r="B610">
        <f t="shared" si="105"/>
        <v>51</v>
      </c>
      <c r="C610">
        <f t="shared" si="106"/>
        <v>612</v>
      </c>
      <c r="D610">
        <f t="shared" si="100"/>
        <v>51</v>
      </c>
      <c r="E610">
        <f>[1]model_point!$C$2+D610-1</f>
        <v>55</v>
      </c>
      <c r="F610">
        <f>VLOOKUP(E610,'[1]202512 BE mortality'!$A:$C,3,0)</f>
        <v>2.4533076518786479E-3</v>
      </c>
      <c r="G610">
        <f>VLOOKUP(D610,'[1]202512 BE lapse'!$C:$D,2,0)</f>
        <v>8.7772649590029742E-3</v>
      </c>
      <c r="H610">
        <f>VLOOKUP($B610,'[1]202512 RFR'!$A:$B,2,0)</f>
        <v>0.02</v>
      </c>
      <c r="I610">
        <f t="shared" si="107"/>
        <v>1.1829753430829639</v>
      </c>
      <c r="J610">
        <f t="shared" si="108"/>
        <v>2.4431657366730134E-4</v>
      </c>
      <c r="K610">
        <f t="shared" si="109"/>
        <v>1.0475231912207065E-2</v>
      </c>
      <c r="L610">
        <f t="shared" si="101"/>
        <v>0.47909085260742534</v>
      </c>
      <c r="M610">
        <f>IF(AND(MOD(C610,12)=1,D610&lt;='[1]Product parameters'!$C$2),I609*[1]model_point!$G$2,0)</f>
        <v>0</v>
      </c>
      <c r="N610">
        <f t="shared" si="102"/>
        <v>0</v>
      </c>
      <c r="O610">
        <f>[2]results_sample_product_cf!G609</f>
        <v>0</v>
      </c>
      <c r="P610">
        <f>[2]results_sample_product_cf!H609</f>
        <v>0</v>
      </c>
      <c r="Q610">
        <f t="shared" si="103"/>
        <v>0</v>
      </c>
      <c r="R610">
        <f t="shared" si="99"/>
        <v>0</v>
      </c>
    </row>
    <row r="611" spans="1:18" x14ac:dyDescent="0.3">
      <c r="A611">
        <f t="shared" si="104"/>
        <v>608</v>
      </c>
      <c r="B611">
        <f t="shared" si="105"/>
        <v>51</v>
      </c>
      <c r="C611">
        <f t="shared" si="106"/>
        <v>613</v>
      </c>
      <c r="D611">
        <f t="shared" si="100"/>
        <v>52</v>
      </c>
      <c r="E611">
        <f>[1]model_point!$C$2+D611-1</f>
        <v>56</v>
      </c>
      <c r="F611">
        <f>VLOOKUP(E611,'[1]202512 BE mortality'!$A:$C,3,0)</f>
        <v>5.3879786180371456E-3</v>
      </c>
      <c r="G611">
        <f>VLOOKUP(D611,'[1]202512 BE lapse'!$C:$D,2,0)</f>
        <v>3.3677528855678685E-3</v>
      </c>
      <c r="H611">
        <f>VLOOKUP($B611,'[1]202512 RFR'!$A:$B,2,0)</f>
        <v>0.02</v>
      </c>
      <c r="I611">
        <f t="shared" si="107"/>
        <v>1.1824428730495915</v>
      </c>
      <c r="J611">
        <f t="shared" si="108"/>
        <v>5.3247003337238965E-4</v>
      </c>
      <c r="K611">
        <f t="shared" si="109"/>
        <v>0</v>
      </c>
      <c r="L611">
        <f t="shared" si="101"/>
        <v>0.4783008997846494</v>
      </c>
      <c r="M611">
        <f>IF(AND(MOD(C611,12)=1,D611&lt;='[1]Product parameters'!$C$2),I610*[1]model_point!$G$2,0)</f>
        <v>0</v>
      </c>
      <c r="N611">
        <f t="shared" si="102"/>
        <v>0</v>
      </c>
      <c r="O611">
        <f>[2]results_sample_product_cf!G610</f>
        <v>0</v>
      </c>
      <c r="P611">
        <f>[2]results_sample_product_cf!H610</f>
        <v>0</v>
      </c>
      <c r="Q611">
        <f t="shared" si="103"/>
        <v>0</v>
      </c>
      <c r="R611">
        <f t="shared" si="99"/>
        <v>0</v>
      </c>
    </row>
    <row r="612" spans="1:18" x14ac:dyDescent="0.3">
      <c r="A612">
        <f t="shared" si="104"/>
        <v>609</v>
      </c>
      <c r="B612">
        <f t="shared" si="105"/>
        <v>51</v>
      </c>
      <c r="C612">
        <f t="shared" si="106"/>
        <v>614</v>
      </c>
      <c r="D612">
        <f t="shared" si="100"/>
        <v>52</v>
      </c>
      <c r="E612">
        <f>[1]model_point!$C$2+D612-1</f>
        <v>56</v>
      </c>
      <c r="F612">
        <f>VLOOKUP(E612,'[1]202512 BE mortality'!$A:$C,3,0)</f>
        <v>5.3879786180371456E-3</v>
      </c>
      <c r="G612">
        <f>VLOOKUP(D612,'[1]202512 BE lapse'!$C:$D,2,0)</f>
        <v>3.3677528855678685E-3</v>
      </c>
      <c r="H612">
        <f>VLOOKUP($B612,'[1]202512 RFR'!$A:$B,2,0)</f>
        <v>0.02</v>
      </c>
      <c r="I612">
        <f t="shared" si="107"/>
        <v>1.1819106426867567</v>
      </c>
      <c r="J612">
        <f t="shared" si="108"/>
        <v>5.3223036283479353E-4</v>
      </c>
      <c r="K612">
        <f t="shared" si="109"/>
        <v>0</v>
      </c>
      <c r="L612">
        <f t="shared" si="101"/>
        <v>0.47751224948196713</v>
      </c>
      <c r="M612">
        <f>IF(AND(MOD(C612,12)=1,D612&lt;='[1]Product parameters'!$C$2),I611*[1]model_point!$G$2,0)</f>
        <v>0</v>
      </c>
      <c r="N612">
        <f t="shared" si="102"/>
        <v>0</v>
      </c>
      <c r="O612">
        <f>[2]results_sample_product_cf!G611</f>
        <v>0</v>
      </c>
      <c r="P612">
        <f>[2]results_sample_product_cf!H611</f>
        <v>0</v>
      </c>
      <c r="Q612">
        <f t="shared" si="103"/>
        <v>0</v>
      </c>
      <c r="R612">
        <f t="shared" si="99"/>
        <v>0</v>
      </c>
    </row>
    <row r="613" spans="1:18" x14ac:dyDescent="0.3">
      <c r="A613">
        <f t="shared" si="104"/>
        <v>610</v>
      </c>
      <c r="B613">
        <f t="shared" si="105"/>
        <v>51</v>
      </c>
      <c r="C613">
        <f t="shared" si="106"/>
        <v>615</v>
      </c>
      <c r="D613">
        <f t="shared" si="100"/>
        <v>52</v>
      </c>
      <c r="E613">
        <f>[1]model_point!$C$2+D613-1</f>
        <v>56</v>
      </c>
      <c r="F613">
        <f>VLOOKUP(E613,'[1]202512 BE mortality'!$A:$C,3,0)</f>
        <v>5.3879786180371456E-3</v>
      </c>
      <c r="G613">
        <f>VLOOKUP(D613,'[1]202512 BE lapse'!$C:$D,2,0)</f>
        <v>3.3677528855678685E-3</v>
      </c>
      <c r="H613">
        <f>VLOOKUP($B613,'[1]202512 RFR'!$A:$B,2,0)</f>
        <v>0.02</v>
      </c>
      <c r="I613">
        <f t="shared" si="107"/>
        <v>1.1813786518865812</v>
      </c>
      <c r="J613">
        <f t="shared" si="108"/>
        <v>5.3199080017550602E-4</v>
      </c>
      <c r="K613">
        <f t="shared" si="109"/>
        <v>0</v>
      </c>
      <c r="L613">
        <f t="shared" si="101"/>
        <v>0.47672489955170771</v>
      </c>
      <c r="M613">
        <f>IF(AND(MOD(C613,12)=1,D613&lt;='[1]Product parameters'!$C$2),I612*[1]model_point!$G$2,0)</f>
        <v>0</v>
      </c>
      <c r="N613">
        <f t="shared" si="102"/>
        <v>0</v>
      </c>
      <c r="O613">
        <f>[2]results_sample_product_cf!G612</f>
        <v>0</v>
      </c>
      <c r="P613">
        <f>[2]results_sample_product_cf!H612</f>
        <v>0</v>
      </c>
      <c r="Q613">
        <f t="shared" si="103"/>
        <v>0</v>
      </c>
      <c r="R613">
        <f t="shared" si="99"/>
        <v>0</v>
      </c>
    </row>
    <row r="614" spans="1:18" x14ac:dyDescent="0.3">
      <c r="A614">
        <f t="shared" si="104"/>
        <v>611</v>
      </c>
      <c r="B614">
        <f t="shared" si="105"/>
        <v>51</v>
      </c>
      <c r="C614">
        <f t="shared" si="106"/>
        <v>616</v>
      </c>
      <c r="D614">
        <f t="shared" si="100"/>
        <v>52</v>
      </c>
      <c r="E614">
        <f>[1]model_point!$C$2+D614-1</f>
        <v>56</v>
      </c>
      <c r="F614">
        <f>VLOOKUP(E614,'[1]202512 BE mortality'!$A:$C,3,0)</f>
        <v>5.3879786180371456E-3</v>
      </c>
      <c r="G614">
        <f>VLOOKUP(D614,'[1]202512 BE lapse'!$C:$D,2,0)</f>
        <v>3.3677528855678685E-3</v>
      </c>
      <c r="H614">
        <f>VLOOKUP($B614,'[1]202512 RFR'!$A:$B,2,0)</f>
        <v>0.02</v>
      </c>
      <c r="I614">
        <f t="shared" si="107"/>
        <v>1.1808469005412352</v>
      </c>
      <c r="J614">
        <f t="shared" si="108"/>
        <v>5.3175134534597004E-4</v>
      </c>
      <c r="K614">
        <f t="shared" si="109"/>
        <v>0</v>
      </c>
      <c r="L614">
        <f t="shared" si="101"/>
        <v>0.47593884784974161</v>
      </c>
      <c r="M614">
        <f>IF(AND(MOD(C614,12)=1,D614&lt;='[1]Product parameters'!$C$2),I613*[1]model_point!$G$2,0)</f>
        <v>0</v>
      </c>
      <c r="N614">
        <f t="shared" si="102"/>
        <v>0</v>
      </c>
      <c r="O614">
        <f>[2]results_sample_product_cf!G613</f>
        <v>0</v>
      </c>
      <c r="P614">
        <f>[2]results_sample_product_cf!H613</f>
        <v>0</v>
      </c>
      <c r="Q614">
        <f t="shared" si="103"/>
        <v>0</v>
      </c>
      <c r="R614">
        <f t="shared" si="99"/>
        <v>0</v>
      </c>
    </row>
    <row r="615" spans="1:18" x14ac:dyDescent="0.3">
      <c r="A615">
        <f t="shared" si="104"/>
        <v>612</v>
      </c>
      <c r="B615">
        <f t="shared" si="105"/>
        <v>51</v>
      </c>
      <c r="C615">
        <f t="shared" si="106"/>
        <v>617</v>
      </c>
      <c r="D615">
        <f t="shared" si="100"/>
        <v>52</v>
      </c>
      <c r="E615">
        <f>[1]model_point!$C$2+D615-1</f>
        <v>56</v>
      </c>
      <c r="F615">
        <f>VLOOKUP(E615,'[1]202512 BE mortality'!$A:$C,3,0)</f>
        <v>5.3879786180371456E-3</v>
      </c>
      <c r="G615">
        <f>VLOOKUP(D615,'[1]202512 BE lapse'!$C:$D,2,0)</f>
        <v>3.3677528855678685E-3</v>
      </c>
      <c r="H615">
        <f>VLOOKUP($B615,'[1]202512 RFR'!$A:$B,2,0)</f>
        <v>0.02</v>
      </c>
      <c r="I615">
        <f t="shared" si="107"/>
        <v>1.1803153885429376</v>
      </c>
      <c r="J615">
        <f t="shared" si="108"/>
        <v>5.3151199829765009E-4</v>
      </c>
      <c r="K615">
        <f t="shared" si="109"/>
        <v>0</v>
      </c>
      <c r="L615">
        <f t="shared" si="101"/>
        <v>0.47515409223547461</v>
      </c>
      <c r="M615">
        <f>IF(AND(MOD(C615,12)=1,D615&lt;='[1]Product parameters'!$C$2),I614*[1]model_point!$G$2,0)</f>
        <v>0</v>
      </c>
      <c r="N615">
        <f t="shared" si="102"/>
        <v>0</v>
      </c>
      <c r="O615">
        <f>[2]results_sample_product_cf!G614</f>
        <v>0</v>
      </c>
      <c r="P615">
        <f>[2]results_sample_product_cf!H614</f>
        <v>0</v>
      </c>
      <c r="Q615">
        <f t="shared" si="103"/>
        <v>0</v>
      </c>
      <c r="R615">
        <f t="shared" si="99"/>
        <v>0</v>
      </c>
    </row>
    <row r="616" spans="1:18" x14ac:dyDescent="0.3">
      <c r="A616">
        <f t="shared" si="104"/>
        <v>613</v>
      </c>
      <c r="B616">
        <f t="shared" si="105"/>
        <v>52</v>
      </c>
      <c r="C616">
        <f t="shared" si="106"/>
        <v>618</v>
      </c>
      <c r="D616">
        <f t="shared" si="100"/>
        <v>52</v>
      </c>
      <c r="E616">
        <f>[1]model_point!$C$2+D616-1</f>
        <v>56</v>
      </c>
      <c r="F616">
        <f>VLOOKUP(E616,'[1]202512 BE mortality'!$A:$C,3,0)</f>
        <v>5.3879786180371456E-3</v>
      </c>
      <c r="G616">
        <f>VLOOKUP(D616,'[1]202512 BE lapse'!$C:$D,2,0)</f>
        <v>3.3677528855678685E-3</v>
      </c>
      <c r="H616">
        <f>VLOOKUP($B616,'[1]202512 RFR'!$A:$B,2,0)</f>
        <v>0.02</v>
      </c>
      <c r="I616">
        <f t="shared" si="107"/>
        <v>1.1797841157839555</v>
      </c>
      <c r="J616">
        <f t="shared" si="108"/>
        <v>5.3127275898203277E-4</v>
      </c>
      <c r="K616">
        <f t="shared" si="109"/>
        <v>0</v>
      </c>
      <c r="L616">
        <f t="shared" si="101"/>
        <v>0.47437063057184203</v>
      </c>
      <c r="M616">
        <f>IF(AND(MOD(C616,12)=1,D616&lt;='[1]Product parameters'!$C$2),I615*[1]model_point!$G$2,0)</f>
        <v>0</v>
      </c>
      <c r="N616">
        <f t="shared" si="102"/>
        <v>0</v>
      </c>
      <c r="O616">
        <f>[2]results_sample_product_cf!G615</f>
        <v>0</v>
      </c>
      <c r="P616">
        <f>[2]results_sample_product_cf!H615</f>
        <v>0</v>
      </c>
      <c r="Q616">
        <f t="shared" si="103"/>
        <v>0</v>
      </c>
      <c r="R616">
        <f t="shared" si="99"/>
        <v>0</v>
      </c>
    </row>
    <row r="617" spans="1:18" x14ac:dyDescent="0.3">
      <c r="A617">
        <f t="shared" si="104"/>
        <v>614</v>
      </c>
      <c r="B617">
        <f t="shared" si="105"/>
        <v>52</v>
      </c>
      <c r="C617">
        <f t="shared" si="106"/>
        <v>619</v>
      </c>
      <c r="D617">
        <f t="shared" si="100"/>
        <v>52</v>
      </c>
      <c r="E617">
        <f>[1]model_point!$C$2+D617-1</f>
        <v>56</v>
      </c>
      <c r="F617">
        <f>VLOOKUP(E617,'[1]202512 BE mortality'!$A:$C,3,0)</f>
        <v>5.3879786180371456E-3</v>
      </c>
      <c r="G617">
        <f>VLOOKUP(D617,'[1]202512 BE lapse'!$C:$D,2,0)</f>
        <v>3.3677528855678685E-3</v>
      </c>
      <c r="H617">
        <f>VLOOKUP($B617,'[1]202512 RFR'!$A:$B,2,0)</f>
        <v>0.02</v>
      </c>
      <c r="I617">
        <f t="shared" si="107"/>
        <v>1.179253082156605</v>
      </c>
      <c r="J617">
        <f t="shared" si="108"/>
        <v>5.3103362735062629E-4</v>
      </c>
      <c r="K617">
        <f t="shared" si="109"/>
        <v>0</v>
      </c>
      <c r="L617">
        <f t="shared" si="101"/>
        <v>0.47358846072530292</v>
      </c>
      <c r="M617">
        <f>IF(AND(MOD(C617,12)=1,D617&lt;='[1]Product parameters'!$C$2),I616*[1]model_point!$G$2,0)</f>
        <v>0</v>
      </c>
      <c r="N617">
        <f t="shared" si="102"/>
        <v>0</v>
      </c>
      <c r="O617">
        <f>[2]results_sample_product_cf!G616</f>
        <v>0</v>
      </c>
      <c r="P617">
        <f>[2]results_sample_product_cf!H616</f>
        <v>0</v>
      </c>
      <c r="Q617">
        <f t="shared" si="103"/>
        <v>0</v>
      </c>
      <c r="R617">
        <f t="shared" si="99"/>
        <v>0</v>
      </c>
    </row>
    <row r="618" spans="1:18" x14ac:dyDescent="0.3">
      <c r="A618">
        <f t="shared" si="104"/>
        <v>615</v>
      </c>
      <c r="B618">
        <f t="shared" si="105"/>
        <v>52</v>
      </c>
      <c r="C618">
        <f t="shared" si="106"/>
        <v>620</v>
      </c>
      <c r="D618">
        <f t="shared" si="100"/>
        <v>52</v>
      </c>
      <c r="E618">
        <f>[1]model_point!$C$2+D618-1</f>
        <v>56</v>
      </c>
      <c r="F618">
        <f>VLOOKUP(E618,'[1]202512 BE mortality'!$A:$C,3,0)</f>
        <v>5.3879786180371456E-3</v>
      </c>
      <c r="G618">
        <f>VLOOKUP(D618,'[1]202512 BE lapse'!$C:$D,2,0)</f>
        <v>3.3677528855678685E-3</v>
      </c>
      <c r="H618">
        <f>VLOOKUP($B618,'[1]202512 RFR'!$A:$B,2,0)</f>
        <v>0.02</v>
      </c>
      <c r="I618">
        <f t="shared" si="107"/>
        <v>1.1787222875532499</v>
      </c>
      <c r="J618">
        <f t="shared" si="108"/>
        <v>5.3079460335496095E-4</v>
      </c>
      <c r="K618">
        <f t="shared" si="109"/>
        <v>0</v>
      </c>
      <c r="L618">
        <f t="shared" si="101"/>
        <v>0.47280758056583427</v>
      </c>
      <c r="M618">
        <f>IF(AND(MOD(C618,12)=1,D618&lt;='[1]Product parameters'!$C$2),I617*[1]model_point!$G$2,0)</f>
        <v>0</v>
      </c>
      <c r="N618">
        <f t="shared" si="102"/>
        <v>0</v>
      </c>
      <c r="O618">
        <f>[2]results_sample_product_cf!G617</f>
        <v>0</v>
      </c>
      <c r="P618">
        <f>[2]results_sample_product_cf!H617</f>
        <v>0</v>
      </c>
      <c r="Q618">
        <f t="shared" si="103"/>
        <v>0</v>
      </c>
      <c r="R618">
        <f t="shared" si="99"/>
        <v>0</v>
      </c>
    </row>
    <row r="619" spans="1:18" x14ac:dyDescent="0.3">
      <c r="A619">
        <f t="shared" si="104"/>
        <v>616</v>
      </c>
      <c r="B619">
        <f t="shared" si="105"/>
        <v>52</v>
      </c>
      <c r="C619">
        <f t="shared" si="106"/>
        <v>621</v>
      </c>
      <c r="D619">
        <f t="shared" si="100"/>
        <v>52</v>
      </c>
      <c r="E619">
        <f>[1]model_point!$C$2+D619-1</f>
        <v>56</v>
      </c>
      <c r="F619">
        <f>VLOOKUP(E619,'[1]202512 BE mortality'!$A:$C,3,0)</f>
        <v>5.3879786180371456E-3</v>
      </c>
      <c r="G619">
        <f>VLOOKUP(D619,'[1]202512 BE lapse'!$C:$D,2,0)</f>
        <v>3.3677528855678685E-3</v>
      </c>
      <c r="H619">
        <f>VLOOKUP($B619,'[1]202512 RFR'!$A:$B,2,0)</f>
        <v>0.02</v>
      </c>
      <c r="I619">
        <f t="shared" si="107"/>
        <v>1.1781917318663033</v>
      </c>
      <c r="J619">
        <f t="shared" si="108"/>
        <v>5.3055568694658874E-4</v>
      </c>
      <c r="K619">
        <f t="shared" si="109"/>
        <v>0</v>
      </c>
      <c r="L619">
        <f t="shared" si="101"/>
        <v>0.47202798796692508</v>
      </c>
      <c r="M619">
        <f>IF(AND(MOD(C619,12)=1,D619&lt;='[1]Product parameters'!$C$2),I618*[1]model_point!$G$2,0)</f>
        <v>0</v>
      </c>
      <c r="N619">
        <f t="shared" si="102"/>
        <v>0</v>
      </c>
      <c r="O619">
        <f>[2]results_sample_product_cf!G618</f>
        <v>0</v>
      </c>
      <c r="P619">
        <f>[2]results_sample_product_cf!H618</f>
        <v>0</v>
      </c>
      <c r="Q619">
        <f t="shared" si="103"/>
        <v>0</v>
      </c>
      <c r="R619">
        <f t="shared" si="99"/>
        <v>0</v>
      </c>
    </row>
    <row r="620" spans="1:18" x14ac:dyDescent="0.3">
      <c r="A620">
        <f t="shared" si="104"/>
        <v>617</v>
      </c>
      <c r="B620">
        <f t="shared" si="105"/>
        <v>52</v>
      </c>
      <c r="C620">
        <f t="shared" si="106"/>
        <v>622</v>
      </c>
      <c r="D620">
        <f t="shared" si="100"/>
        <v>52</v>
      </c>
      <c r="E620">
        <f>[1]model_point!$C$2+D620-1</f>
        <v>56</v>
      </c>
      <c r="F620">
        <f>VLOOKUP(E620,'[1]202512 BE mortality'!$A:$C,3,0)</f>
        <v>5.3879786180371456E-3</v>
      </c>
      <c r="G620">
        <f>VLOOKUP(D620,'[1]202512 BE lapse'!$C:$D,2,0)</f>
        <v>3.3677528855678685E-3</v>
      </c>
      <c r="H620">
        <f>VLOOKUP($B620,'[1]202512 RFR'!$A:$B,2,0)</f>
        <v>0.02</v>
      </c>
      <c r="I620">
        <f t="shared" si="107"/>
        <v>1.1776614149882263</v>
      </c>
      <c r="J620">
        <f t="shared" si="108"/>
        <v>5.3031687807708334E-4</v>
      </c>
      <c r="K620">
        <f t="shared" si="109"/>
        <v>0</v>
      </c>
      <c r="L620">
        <f t="shared" si="101"/>
        <v>0.47124968080557073</v>
      </c>
      <c r="M620">
        <f>IF(AND(MOD(C620,12)=1,D620&lt;='[1]Product parameters'!$C$2),I619*[1]model_point!$G$2,0)</f>
        <v>0</v>
      </c>
      <c r="N620">
        <f t="shared" si="102"/>
        <v>0</v>
      </c>
      <c r="O620">
        <f>[2]results_sample_product_cf!G619</f>
        <v>0</v>
      </c>
      <c r="P620">
        <f>[2]results_sample_product_cf!H619</f>
        <v>0</v>
      </c>
      <c r="Q620">
        <f t="shared" si="103"/>
        <v>0</v>
      </c>
      <c r="R620">
        <f t="shared" si="99"/>
        <v>0</v>
      </c>
    </row>
    <row r="621" spans="1:18" x14ac:dyDescent="0.3">
      <c r="A621">
        <f t="shared" si="104"/>
        <v>618</v>
      </c>
      <c r="B621">
        <f t="shared" si="105"/>
        <v>52</v>
      </c>
      <c r="C621">
        <f t="shared" si="106"/>
        <v>623</v>
      </c>
      <c r="D621">
        <f t="shared" si="100"/>
        <v>52</v>
      </c>
      <c r="E621">
        <f>[1]model_point!$C$2+D621-1</f>
        <v>56</v>
      </c>
      <c r="F621">
        <f>VLOOKUP(E621,'[1]202512 BE mortality'!$A:$C,3,0)</f>
        <v>5.3879786180371456E-3</v>
      </c>
      <c r="G621">
        <f>VLOOKUP(D621,'[1]202512 BE lapse'!$C:$D,2,0)</f>
        <v>3.3677528855678685E-3</v>
      </c>
      <c r="H621">
        <f>VLOOKUP($B621,'[1]202512 RFR'!$A:$B,2,0)</f>
        <v>0.02</v>
      </c>
      <c r="I621">
        <f t="shared" si="107"/>
        <v>1.1771313368115282</v>
      </c>
      <c r="J621">
        <f t="shared" si="108"/>
        <v>5.3007817669804044E-4</v>
      </c>
      <c r="K621">
        <f t="shared" si="109"/>
        <v>0</v>
      </c>
      <c r="L621">
        <f t="shared" si="101"/>
        <v>0.47047265696226714</v>
      </c>
      <c r="M621">
        <f>IF(AND(MOD(C621,12)=1,D621&lt;='[1]Product parameters'!$C$2),I620*[1]model_point!$G$2,0)</f>
        <v>0</v>
      </c>
      <c r="N621">
        <f t="shared" si="102"/>
        <v>0</v>
      </c>
      <c r="O621">
        <f>[2]results_sample_product_cf!G620</f>
        <v>0</v>
      </c>
      <c r="P621">
        <f>[2]results_sample_product_cf!H620</f>
        <v>0</v>
      </c>
      <c r="Q621">
        <f t="shared" si="103"/>
        <v>0</v>
      </c>
      <c r="R621">
        <f t="shared" si="99"/>
        <v>0</v>
      </c>
    </row>
    <row r="622" spans="1:18" x14ac:dyDescent="0.3">
      <c r="A622">
        <f t="shared" si="104"/>
        <v>619</v>
      </c>
      <c r="B622">
        <f t="shared" si="105"/>
        <v>52</v>
      </c>
      <c r="C622">
        <f t="shared" si="106"/>
        <v>624</v>
      </c>
      <c r="D622">
        <f t="shared" si="100"/>
        <v>52</v>
      </c>
      <c r="E622">
        <f>[1]model_point!$C$2+D622-1</f>
        <v>56</v>
      </c>
      <c r="F622">
        <f>VLOOKUP(E622,'[1]202512 BE mortality'!$A:$C,3,0)</f>
        <v>5.3879786180371456E-3</v>
      </c>
      <c r="G622">
        <f>VLOOKUP(D622,'[1]202512 BE lapse'!$C:$D,2,0)</f>
        <v>3.3677528855678685E-3</v>
      </c>
      <c r="H622">
        <f>VLOOKUP($B622,'[1]202512 RFR'!$A:$B,2,0)</f>
        <v>0.02</v>
      </c>
      <c r="I622">
        <f t="shared" si="107"/>
        <v>1.1726389941413113</v>
      </c>
      <c r="J622">
        <f t="shared" si="108"/>
        <v>5.298395827610774E-4</v>
      </c>
      <c r="K622">
        <f t="shared" si="109"/>
        <v>3.9625030874556547E-3</v>
      </c>
      <c r="L622">
        <f t="shared" si="101"/>
        <v>0.46969691432100497</v>
      </c>
      <c r="M622">
        <f>IF(AND(MOD(C622,12)=1,D622&lt;='[1]Product parameters'!$C$2),I621*[1]model_point!$G$2,0)</f>
        <v>0</v>
      </c>
      <c r="N622">
        <f t="shared" si="102"/>
        <v>0</v>
      </c>
      <c r="O622">
        <f>[2]results_sample_product_cf!G621</f>
        <v>0</v>
      </c>
      <c r="P622">
        <f>[2]results_sample_product_cf!H621</f>
        <v>0</v>
      </c>
      <c r="Q622">
        <f t="shared" si="103"/>
        <v>0</v>
      </c>
      <c r="R622">
        <f t="shared" si="99"/>
        <v>0</v>
      </c>
    </row>
    <row r="623" spans="1:18" x14ac:dyDescent="0.3">
      <c r="A623">
        <f t="shared" si="104"/>
        <v>620</v>
      </c>
      <c r="B623">
        <f t="shared" si="105"/>
        <v>52</v>
      </c>
      <c r="C623">
        <f t="shared" si="106"/>
        <v>625</v>
      </c>
      <c r="D623">
        <f t="shared" si="100"/>
        <v>53</v>
      </c>
      <c r="E623">
        <f>[1]model_point!$C$2+D623-1</f>
        <v>57</v>
      </c>
      <c r="F623">
        <f>VLOOKUP(E623,'[1]202512 BE mortality'!$A:$C,3,0)</f>
        <v>9.8198401908736969E-4</v>
      </c>
      <c r="G623">
        <f>VLOOKUP(D623,'[1]202512 BE lapse'!$C:$D,2,0)</f>
        <v>5.5237867444138363E-3</v>
      </c>
      <c r="H623">
        <f>VLOOKUP($B623,'[1]202512 RFR'!$A:$B,2,0)</f>
        <v>0.02</v>
      </c>
      <c r="I623">
        <f t="shared" si="107"/>
        <v>1.1725429915291403</v>
      </c>
      <c r="J623">
        <f t="shared" si="108"/>
        <v>9.6002612171025887E-5</v>
      </c>
      <c r="K623">
        <f t="shared" si="109"/>
        <v>0</v>
      </c>
      <c r="L623">
        <f t="shared" si="101"/>
        <v>0.46892245076926387</v>
      </c>
      <c r="M623">
        <f>IF(AND(MOD(C623,12)=1,D623&lt;='[1]Product parameters'!$C$2),I622*[1]model_point!$G$2,0)</f>
        <v>0</v>
      </c>
      <c r="N623">
        <f t="shared" si="102"/>
        <v>0</v>
      </c>
      <c r="O623">
        <f>[2]results_sample_product_cf!G622</f>
        <v>0</v>
      </c>
      <c r="P623">
        <f>[2]results_sample_product_cf!H622</f>
        <v>0</v>
      </c>
      <c r="Q623">
        <f t="shared" si="103"/>
        <v>0</v>
      </c>
      <c r="R623">
        <f t="shared" si="99"/>
        <v>0</v>
      </c>
    </row>
    <row r="624" spans="1:18" x14ac:dyDescent="0.3">
      <c r="A624">
        <f t="shared" si="104"/>
        <v>621</v>
      </c>
      <c r="B624">
        <f t="shared" si="105"/>
        <v>52</v>
      </c>
      <c r="C624">
        <f t="shared" si="106"/>
        <v>626</v>
      </c>
      <c r="D624">
        <f t="shared" si="100"/>
        <v>53</v>
      </c>
      <c r="E624">
        <f>[1]model_point!$C$2+D624-1</f>
        <v>57</v>
      </c>
      <c r="F624">
        <f>VLOOKUP(E624,'[1]202512 BE mortality'!$A:$C,3,0)</f>
        <v>9.8198401908736969E-4</v>
      </c>
      <c r="G624">
        <f>VLOOKUP(D624,'[1]202512 BE lapse'!$C:$D,2,0)</f>
        <v>5.5237867444138363E-3</v>
      </c>
      <c r="H624">
        <f>VLOOKUP($B624,'[1]202512 RFR'!$A:$B,2,0)</f>
        <v>0.02</v>
      </c>
      <c r="I624">
        <f t="shared" si="107"/>
        <v>1.1724469967765934</v>
      </c>
      <c r="J624">
        <f t="shared" si="108"/>
        <v>9.5994752547058309E-5</v>
      </c>
      <c r="K624">
        <f t="shared" si="109"/>
        <v>0</v>
      </c>
      <c r="L624">
        <f t="shared" si="101"/>
        <v>0.46814926419800673</v>
      </c>
      <c r="M624">
        <f>IF(AND(MOD(C624,12)=1,D624&lt;='[1]Product parameters'!$C$2),I623*[1]model_point!$G$2,0)</f>
        <v>0</v>
      </c>
      <c r="N624">
        <f t="shared" si="102"/>
        <v>0</v>
      </c>
      <c r="O624">
        <f>[2]results_sample_product_cf!G623</f>
        <v>0</v>
      </c>
      <c r="P624">
        <f>[2]results_sample_product_cf!H623</f>
        <v>0</v>
      </c>
      <c r="Q624">
        <f t="shared" si="103"/>
        <v>0</v>
      </c>
      <c r="R624">
        <f t="shared" si="99"/>
        <v>0</v>
      </c>
    </row>
    <row r="625" spans="1:18" x14ac:dyDescent="0.3">
      <c r="A625">
        <f t="shared" si="104"/>
        <v>622</v>
      </c>
      <c r="B625">
        <f t="shared" si="105"/>
        <v>52</v>
      </c>
      <c r="C625">
        <f t="shared" si="106"/>
        <v>627</v>
      </c>
      <c r="D625">
        <f t="shared" si="100"/>
        <v>53</v>
      </c>
      <c r="E625">
        <f>[1]model_point!$C$2+D625-1</f>
        <v>57</v>
      </c>
      <c r="F625">
        <f>VLOOKUP(E625,'[1]202512 BE mortality'!$A:$C,3,0)</f>
        <v>9.8198401908736969E-4</v>
      </c>
      <c r="G625">
        <f>VLOOKUP(D625,'[1]202512 BE lapse'!$C:$D,2,0)</f>
        <v>5.5237867444138363E-3</v>
      </c>
      <c r="H625">
        <f>VLOOKUP($B625,'[1]202512 RFR'!$A:$B,2,0)</f>
        <v>0.02</v>
      </c>
      <c r="I625">
        <f t="shared" si="107"/>
        <v>1.1723510098830268</v>
      </c>
      <c r="J625">
        <f t="shared" si="108"/>
        <v>9.5986893566549163E-5</v>
      </c>
      <c r="K625">
        <f t="shared" si="109"/>
        <v>0</v>
      </c>
      <c r="L625">
        <f t="shared" si="101"/>
        <v>0.467377352501674</v>
      </c>
      <c r="M625">
        <f>IF(AND(MOD(C625,12)=1,D625&lt;='[1]Product parameters'!$C$2),I624*[1]model_point!$G$2,0)</f>
        <v>0</v>
      </c>
      <c r="N625">
        <f t="shared" si="102"/>
        <v>0</v>
      </c>
      <c r="O625">
        <f>[2]results_sample_product_cf!G624</f>
        <v>0</v>
      </c>
      <c r="P625">
        <f>[2]results_sample_product_cf!H624</f>
        <v>0</v>
      </c>
      <c r="Q625">
        <f t="shared" si="103"/>
        <v>0</v>
      </c>
      <c r="R625">
        <f t="shared" si="99"/>
        <v>0</v>
      </c>
    </row>
    <row r="626" spans="1:18" x14ac:dyDescent="0.3">
      <c r="A626">
        <f t="shared" si="104"/>
        <v>623</v>
      </c>
      <c r="B626">
        <f t="shared" si="105"/>
        <v>52</v>
      </c>
      <c r="C626">
        <f t="shared" si="106"/>
        <v>628</v>
      </c>
      <c r="D626">
        <f t="shared" si="100"/>
        <v>53</v>
      </c>
      <c r="E626">
        <f>[1]model_point!$C$2+D626-1</f>
        <v>57</v>
      </c>
      <c r="F626">
        <f>VLOOKUP(E626,'[1]202512 BE mortality'!$A:$C,3,0)</f>
        <v>9.8198401908736969E-4</v>
      </c>
      <c r="G626">
        <f>VLOOKUP(D626,'[1]202512 BE lapse'!$C:$D,2,0)</f>
        <v>5.5237867444138363E-3</v>
      </c>
      <c r="H626">
        <f>VLOOKUP($B626,'[1]202512 RFR'!$A:$B,2,0)</f>
        <v>0.02</v>
      </c>
      <c r="I626">
        <f t="shared" si="107"/>
        <v>1.1722550308477973</v>
      </c>
      <c r="J626">
        <f t="shared" si="108"/>
        <v>9.5979035229445741E-5</v>
      </c>
      <c r="K626">
        <f t="shared" si="109"/>
        <v>0</v>
      </c>
      <c r="L626">
        <f t="shared" si="101"/>
        <v>0.46660671357817785</v>
      </c>
      <c r="M626">
        <f>IF(AND(MOD(C626,12)=1,D626&lt;='[1]Product parameters'!$C$2),I625*[1]model_point!$G$2,0)</f>
        <v>0</v>
      </c>
      <c r="N626">
        <f t="shared" si="102"/>
        <v>0</v>
      </c>
      <c r="O626">
        <f>[2]results_sample_product_cf!G625</f>
        <v>0</v>
      </c>
      <c r="P626">
        <f>[2]results_sample_product_cf!H625</f>
        <v>0</v>
      </c>
      <c r="Q626">
        <f t="shared" si="103"/>
        <v>0</v>
      </c>
      <c r="R626">
        <f t="shared" si="99"/>
        <v>0</v>
      </c>
    </row>
    <row r="627" spans="1:18" x14ac:dyDescent="0.3">
      <c r="A627">
        <f t="shared" si="104"/>
        <v>624</v>
      </c>
      <c r="B627">
        <f t="shared" si="105"/>
        <v>52</v>
      </c>
      <c r="C627">
        <f t="shared" si="106"/>
        <v>629</v>
      </c>
      <c r="D627">
        <f t="shared" si="100"/>
        <v>53</v>
      </c>
      <c r="E627">
        <f>[1]model_point!$C$2+D627-1</f>
        <v>57</v>
      </c>
      <c r="F627">
        <f>VLOOKUP(E627,'[1]202512 BE mortality'!$A:$C,3,0)</f>
        <v>9.8198401908736969E-4</v>
      </c>
      <c r="G627">
        <f>VLOOKUP(D627,'[1]202512 BE lapse'!$C:$D,2,0)</f>
        <v>5.5237867444138363E-3</v>
      </c>
      <c r="H627">
        <f>VLOOKUP($B627,'[1]202512 RFR'!$A:$B,2,0)</f>
        <v>0.02</v>
      </c>
      <c r="I627">
        <f t="shared" si="107"/>
        <v>1.1721590596702616</v>
      </c>
      <c r="J627">
        <f t="shared" si="108"/>
        <v>9.5971177535695393E-5</v>
      </c>
      <c r="K627">
        <f t="shared" si="109"/>
        <v>0</v>
      </c>
      <c r="L627">
        <f t="shared" si="101"/>
        <v>0.46583734532889648</v>
      </c>
      <c r="M627">
        <f>IF(AND(MOD(C627,12)=1,D627&lt;='[1]Product parameters'!$C$2),I626*[1]model_point!$G$2,0)</f>
        <v>0</v>
      </c>
      <c r="N627">
        <f t="shared" si="102"/>
        <v>0</v>
      </c>
      <c r="O627">
        <f>[2]results_sample_product_cf!G626</f>
        <v>0</v>
      </c>
      <c r="P627">
        <f>[2]results_sample_product_cf!H626</f>
        <v>0</v>
      </c>
      <c r="Q627">
        <f t="shared" si="103"/>
        <v>0</v>
      </c>
      <c r="R627">
        <f t="shared" si="99"/>
        <v>0</v>
      </c>
    </row>
    <row r="628" spans="1:18" x14ac:dyDescent="0.3">
      <c r="A628">
        <f t="shared" si="104"/>
        <v>625</v>
      </c>
      <c r="B628">
        <f t="shared" si="105"/>
        <v>53</v>
      </c>
      <c r="C628">
        <f t="shared" si="106"/>
        <v>630</v>
      </c>
      <c r="D628">
        <f t="shared" si="100"/>
        <v>53</v>
      </c>
      <c r="E628">
        <f>[1]model_point!$C$2+D628-1</f>
        <v>57</v>
      </c>
      <c r="F628">
        <f>VLOOKUP(E628,'[1]202512 BE mortality'!$A:$C,3,0)</f>
        <v>9.8198401908736969E-4</v>
      </c>
      <c r="G628">
        <f>VLOOKUP(D628,'[1]202512 BE lapse'!$C:$D,2,0)</f>
        <v>5.5237867444138363E-3</v>
      </c>
      <c r="H628">
        <f>VLOOKUP($B628,'[1]202512 RFR'!$A:$B,2,0)</f>
        <v>1.2E-2</v>
      </c>
      <c r="I628">
        <f t="shared" si="107"/>
        <v>1.1720630963497762</v>
      </c>
      <c r="J628">
        <f t="shared" si="108"/>
        <v>9.5963320485245441E-5</v>
      </c>
      <c r="K628">
        <f t="shared" si="109"/>
        <v>0</v>
      </c>
      <c r="L628">
        <f t="shared" si="101"/>
        <v>0.46537451092459559</v>
      </c>
      <c r="M628">
        <f>IF(AND(MOD(C628,12)=1,D628&lt;='[1]Product parameters'!$C$2),I627*[1]model_point!$G$2,0)</f>
        <v>0</v>
      </c>
      <c r="N628">
        <f t="shared" si="102"/>
        <v>0</v>
      </c>
      <c r="O628">
        <f>[2]results_sample_product_cf!G627</f>
        <v>0</v>
      </c>
      <c r="P628">
        <f>[2]results_sample_product_cf!H627</f>
        <v>0</v>
      </c>
      <c r="Q628">
        <f t="shared" si="103"/>
        <v>0</v>
      </c>
      <c r="R628">
        <f t="shared" si="99"/>
        <v>0</v>
      </c>
    </row>
    <row r="629" spans="1:18" x14ac:dyDescent="0.3">
      <c r="A629">
        <f t="shared" si="104"/>
        <v>626</v>
      </c>
      <c r="B629">
        <f t="shared" si="105"/>
        <v>53</v>
      </c>
      <c r="C629">
        <f t="shared" si="106"/>
        <v>631</v>
      </c>
      <c r="D629">
        <f t="shared" si="100"/>
        <v>53</v>
      </c>
      <c r="E629">
        <f>[1]model_point!$C$2+D629-1</f>
        <v>57</v>
      </c>
      <c r="F629">
        <f>VLOOKUP(E629,'[1]202512 BE mortality'!$A:$C,3,0)</f>
        <v>9.8198401908736969E-4</v>
      </c>
      <c r="G629">
        <f>VLOOKUP(D629,'[1]202512 BE lapse'!$C:$D,2,0)</f>
        <v>5.5237867444138363E-3</v>
      </c>
      <c r="H629">
        <f>VLOOKUP($B629,'[1]202512 RFR'!$A:$B,2,0)</f>
        <v>1.2E-2</v>
      </c>
      <c r="I629">
        <f t="shared" si="107"/>
        <v>1.1719671408856982</v>
      </c>
      <c r="J629">
        <f t="shared" si="108"/>
        <v>9.5955464078043191E-5</v>
      </c>
      <c r="K629">
        <f t="shared" si="109"/>
        <v>0</v>
      </c>
      <c r="L629">
        <f t="shared" si="101"/>
        <v>0.46491213637111589</v>
      </c>
      <c r="M629">
        <f>IF(AND(MOD(C629,12)=1,D629&lt;='[1]Product parameters'!$C$2),I628*[1]model_point!$G$2,0)</f>
        <v>0</v>
      </c>
      <c r="N629">
        <f t="shared" si="102"/>
        <v>0</v>
      </c>
      <c r="O629">
        <f>[2]results_sample_product_cf!G628</f>
        <v>0</v>
      </c>
      <c r="P629">
        <f>[2]results_sample_product_cf!H628</f>
        <v>0</v>
      </c>
      <c r="Q629">
        <f t="shared" si="103"/>
        <v>0</v>
      </c>
      <c r="R629">
        <f t="shared" si="99"/>
        <v>0</v>
      </c>
    </row>
    <row r="630" spans="1:18" x14ac:dyDescent="0.3">
      <c r="A630">
        <f t="shared" si="104"/>
        <v>627</v>
      </c>
      <c r="B630">
        <f t="shared" si="105"/>
        <v>53</v>
      </c>
      <c r="C630">
        <f t="shared" si="106"/>
        <v>632</v>
      </c>
      <c r="D630">
        <f t="shared" si="100"/>
        <v>53</v>
      </c>
      <c r="E630">
        <f>[1]model_point!$C$2+D630-1</f>
        <v>57</v>
      </c>
      <c r="F630">
        <f>VLOOKUP(E630,'[1]202512 BE mortality'!$A:$C,3,0)</f>
        <v>9.8198401908736969E-4</v>
      </c>
      <c r="G630">
        <f>VLOOKUP(D630,'[1]202512 BE lapse'!$C:$D,2,0)</f>
        <v>5.5237867444138363E-3</v>
      </c>
      <c r="H630">
        <f>VLOOKUP($B630,'[1]202512 RFR'!$A:$B,2,0)</f>
        <v>1.2E-2</v>
      </c>
      <c r="I630">
        <f t="shared" si="107"/>
        <v>1.1718711932773842</v>
      </c>
      <c r="J630">
        <f t="shared" si="108"/>
        <v>9.5947608314036033E-5</v>
      </c>
      <c r="K630">
        <f t="shared" si="109"/>
        <v>0</v>
      </c>
      <c r="L630">
        <f t="shared" si="101"/>
        <v>0.46445022121157098</v>
      </c>
      <c r="M630">
        <f>IF(AND(MOD(C630,12)=1,D630&lt;='[1]Product parameters'!$C$2),I629*[1]model_point!$G$2,0)</f>
        <v>0</v>
      </c>
      <c r="N630">
        <f t="shared" si="102"/>
        <v>0</v>
      </c>
      <c r="O630">
        <f>[2]results_sample_product_cf!G629</f>
        <v>0</v>
      </c>
      <c r="P630">
        <f>[2]results_sample_product_cf!H629</f>
        <v>0</v>
      </c>
      <c r="Q630">
        <f t="shared" si="103"/>
        <v>0</v>
      </c>
      <c r="R630">
        <f t="shared" si="99"/>
        <v>0</v>
      </c>
    </row>
    <row r="631" spans="1:18" x14ac:dyDescent="0.3">
      <c r="A631">
        <f t="shared" si="104"/>
        <v>628</v>
      </c>
      <c r="B631">
        <f t="shared" si="105"/>
        <v>53</v>
      </c>
      <c r="C631">
        <f t="shared" si="106"/>
        <v>633</v>
      </c>
      <c r="D631">
        <f t="shared" si="100"/>
        <v>53</v>
      </c>
      <c r="E631">
        <f>[1]model_point!$C$2+D631-1</f>
        <v>57</v>
      </c>
      <c r="F631">
        <f>VLOOKUP(E631,'[1]202512 BE mortality'!$A:$C,3,0)</f>
        <v>9.8198401908736969E-4</v>
      </c>
      <c r="G631">
        <f>VLOOKUP(D631,'[1]202512 BE lapse'!$C:$D,2,0)</f>
        <v>5.5237867444138363E-3</v>
      </c>
      <c r="H631">
        <f>VLOOKUP($B631,'[1]202512 RFR'!$A:$B,2,0)</f>
        <v>1.2E-2</v>
      </c>
      <c r="I631">
        <f t="shared" si="107"/>
        <v>1.171775253524191</v>
      </c>
      <c r="J631">
        <f t="shared" si="108"/>
        <v>9.5939753193171275E-5</v>
      </c>
      <c r="K631">
        <f t="shared" si="109"/>
        <v>0</v>
      </c>
      <c r="L631">
        <f t="shared" si="101"/>
        <v>0.46398876498952829</v>
      </c>
      <c r="M631">
        <f>IF(AND(MOD(C631,12)=1,D631&lt;='[1]Product parameters'!$C$2),I630*[1]model_point!$G$2,0)</f>
        <v>0</v>
      </c>
      <c r="N631">
        <f t="shared" si="102"/>
        <v>0</v>
      </c>
      <c r="O631">
        <f>[2]results_sample_product_cf!G630</f>
        <v>0</v>
      </c>
      <c r="P631">
        <f>[2]results_sample_product_cf!H630</f>
        <v>0</v>
      </c>
      <c r="Q631">
        <f t="shared" si="103"/>
        <v>0</v>
      </c>
      <c r="R631">
        <f t="shared" si="99"/>
        <v>0</v>
      </c>
    </row>
    <row r="632" spans="1:18" x14ac:dyDescent="0.3">
      <c r="A632">
        <f t="shared" si="104"/>
        <v>629</v>
      </c>
      <c r="B632">
        <f t="shared" si="105"/>
        <v>53</v>
      </c>
      <c r="C632">
        <f t="shared" si="106"/>
        <v>634</v>
      </c>
      <c r="D632">
        <f t="shared" si="100"/>
        <v>53</v>
      </c>
      <c r="E632">
        <f>[1]model_point!$C$2+D632-1</f>
        <v>57</v>
      </c>
      <c r="F632">
        <f>VLOOKUP(E632,'[1]202512 BE mortality'!$A:$C,3,0)</f>
        <v>9.8198401908736969E-4</v>
      </c>
      <c r="G632">
        <f>VLOOKUP(D632,'[1]202512 BE lapse'!$C:$D,2,0)</f>
        <v>5.5237867444138363E-3</v>
      </c>
      <c r="H632">
        <f>VLOOKUP($B632,'[1]202512 RFR'!$A:$B,2,0)</f>
        <v>1.2E-2</v>
      </c>
      <c r="I632">
        <f t="shared" si="107"/>
        <v>1.1716793216254755</v>
      </c>
      <c r="J632">
        <f t="shared" si="108"/>
        <v>9.5931898715396265E-5</v>
      </c>
      <c r="K632">
        <f t="shared" si="109"/>
        <v>0</v>
      </c>
      <c r="L632">
        <f t="shared" si="101"/>
        <v>0.46352776724900879</v>
      </c>
      <c r="M632">
        <f>IF(AND(MOD(C632,12)=1,D632&lt;='[1]Product parameters'!$C$2),I631*[1]model_point!$G$2,0)</f>
        <v>0</v>
      </c>
      <c r="N632">
        <f t="shared" si="102"/>
        <v>0</v>
      </c>
      <c r="O632">
        <f>[2]results_sample_product_cf!G631</f>
        <v>0</v>
      </c>
      <c r="P632">
        <f>[2]results_sample_product_cf!H631</f>
        <v>0</v>
      </c>
      <c r="Q632">
        <f t="shared" si="103"/>
        <v>0</v>
      </c>
      <c r="R632">
        <f t="shared" si="99"/>
        <v>0</v>
      </c>
    </row>
    <row r="633" spans="1:18" x14ac:dyDescent="0.3">
      <c r="A633">
        <f t="shared" si="104"/>
        <v>630</v>
      </c>
      <c r="B633">
        <f t="shared" si="105"/>
        <v>53</v>
      </c>
      <c r="C633">
        <f t="shared" si="106"/>
        <v>635</v>
      </c>
      <c r="D633">
        <f t="shared" si="100"/>
        <v>53</v>
      </c>
      <c r="E633">
        <f>[1]model_point!$C$2+D633-1</f>
        <v>57</v>
      </c>
      <c r="F633">
        <f>VLOOKUP(E633,'[1]202512 BE mortality'!$A:$C,3,0)</f>
        <v>9.8198401908736969E-4</v>
      </c>
      <c r="G633">
        <f>VLOOKUP(D633,'[1]202512 BE lapse'!$C:$D,2,0)</f>
        <v>5.5237867444138363E-3</v>
      </c>
      <c r="H633">
        <f>VLOOKUP($B633,'[1]202512 RFR'!$A:$B,2,0)</f>
        <v>1.2E-2</v>
      </c>
      <c r="I633">
        <f t="shared" si="107"/>
        <v>1.1715833975805949</v>
      </c>
      <c r="J633">
        <f t="shared" si="108"/>
        <v>9.5924044880658352E-5</v>
      </c>
      <c r="K633">
        <f t="shared" si="109"/>
        <v>0</v>
      </c>
      <c r="L633">
        <f t="shared" si="101"/>
        <v>0.46306722753448643</v>
      </c>
      <c r="M633">
        <f>IF(AND(MOD(C633,12)=1,D633&lt;='[1]Product parameters'!$C$2),I632*[1]model_point!$G$2,0)</f>
        <v>0</v>
      </c>
      <c r="N633">
        <f t="shared" si="102"/>
        <v>0</v>
      </c>
      <c r="O633">
        <f>[2]results_sample_product_cf!G632</f>
        <v>0</v>
      </c>
      <c r="P633">
        <f>[2]results_sample_product_cf!H632</f>
        <v>0</v>
      </c>
      <c r="Q633">
        <f t="shared" si="103"/>
        <v>0</v>
      </c>
      <c r="R633">
        <f t="shared" si="99"/>
        <v>0</v>
      </c>
    </row>
    <row r="634" spans="1:18" x14ac:dyDescent="0.3">
      <c r="A634">
        <f t="shared" si="104"/>
        <v>631</v>
      </c>
      <c r="B634">
        <f t="shared" si="105"/>
        <v>53</v>
      </c>
      <c r="C634">
        <f t="shared" si="106"/>
        <v>636</v>
      </c>
      <c r="D634">
        <f t="shared" si="100"/>
        <v>53</v>
      </c>
      <c r="E634">
        <f>[1]model_point!$C$2+D634-1</f>
        <v>57</v>
      </c>
      <c r="F634">
        <f>VLOOKUP(E634,'[1]202512 BE mortality'!$A:$C,3,0)</f>
        <v>9.8198401908736969E-4</v>
      </c>
      <c r="G634">
        <f>VLOOKUP(D634,'[1]202512 BE lapse'!$C:$D,2,0)</f>
        <v>5.5237867444138363E-3</v>
      </c>
      <c r="H634">
        <f>VLOOKUP($B634,'[1]202512 RFR'!$A:$B,2,0)</f>
        <v>1.2E-2</v>
      </c>
      <c r="I634">
        <f t="shared" si="107"/>
        <v>1.1650164343679632</v>
      </c>
      <c r="J634">
        <f t="shared" si="108"/>
        <v>9.5916191688904924E-5</v>
      </c>
      <c r="K634">
        <f t="shared" si="109"/>
        <v>6.4710470209427898E-3</v>
      </c>
      <c r="L634">
        <f t="shared" si="101"/>
        <v>0.46260714539088788</v>
      </c>
      <c r="M634">
        <f>IF(AND(MOD(C634,12)=1,D634&lt;='[1]Product parameters'!$C$2),I633*[1]model_point!$G$2,0)</f>
        <v>0</v>
      </c>
      <c r="N634">
        <f t="shared" si="102"/>
        <v>0</v>
      </c>
      <c r="O634">
        <f>[2]results_sample_product_cf!G633</f>
        <v>0</v>
      </c>
      <c r="P634">
        <f>[2]results_sample_product_cf!H633</f>
        <v>0</v>
      </c>
      <c r="Q634">
        <f t="shared" si="103"/>
        <v>0</v>
      </c>
      <c r="R634">
        <f t="shared" si="99"/>
        <v>0</v>
      </c>
    </row>
    <row r="635" spans="1:18" x14ac:dyDescent="0.3">
      <c r="A635">
        <f t="shared" si="104"/>
        <v>632</v>
      </c>
      <c r="B635">
        <f t="shared" si="105"/>
        <v>53</v>
      </c>
      <c r="C635">
        <f t="shared" si="106"/>
        <v>637</v>
      </c>
      <c r="D635">
        <f t="shared" si="100"/>
        <v>54</v>
      </c>
      <c r="E635">
        <f>[1]model_point!$C$2+D635-1</f>
        <v>58</v>
      </c>
      <c r="F635">
        <f>VLOOKUP(E635,'[1]202512 BE mortality'!$A:$C,3,0)</f>
        <v>5.6847263985852249E-3</v>
      </c>
      <c r="G635">
        <f>VLOOKUP(D635,'[1]202512 BE lapse'!$C:$D,2,0)</f>
        <v>4.5035627397969355E-3</v>
      </c>
      <c r="H635">
        <f>VLOOKUP($B635,'[1]202512 RFR'!$A:$B,2,0)</f>
        <v>1.2E-2</v>
      </c>
      <c r="I635">
        <f t="shared" si="107"/>
        <v>1.164463091175195</v>
      </c>
      <c r="J635">
        <f t="shared" si="108"/>
        <v>5.5334319276832504E-4</v>
      </c>
      <c r="K635">
        <f t="shared" si="109"/>
        <v>0</v>
      </c>
      <c r="L635">
        <f t="shared" si="101"/>
        <v>0.4621475203635918</v>
      </c>
      <c r="M635">
        <f>IF(AND(MOD(C635,12)=1,D635&lt;='[1]Product parameters'!$C$2),I634*[1]model_point!$G$2,0)</f>
        <v>0</v>
      </c>
      <c r="N635">
        <f t="shared" si="102"/>
        <v>0</v>
      </c>
      <c r="O635">
        <f>[2]results_sample_product_cf!G634</f>
        <v>0</v>
      </c>
      <c r="P635">
        <f>[2]results_sample_product_cf!H634</f>
        <v>0</v>
      </c>
      <c r="Q635">
        <f t="shared" si="103"/>
        <v>0</v>
      </c>
      <c r="R635">
        <f t="shared" si="99"/>
        <v>0</v>
      </c>
    </row>
    <row r="636" spans="1:18" x14ac:dyDescent="0.3">
      <c r="A636">
        <f t="shared" si="104"/>
        <v>633</v>
      </c>
      <c r="B636">
        <f t="shared" si="105"/>
        <v>53</v>
      </c>
      <c r="C636">
        <f t="shared" si="106"/>
        <v>638</v>
      </c>
      <c r="D636">
        <f t="shared" si="100"/>
        <v>54</v>
      </c>
      <c r="E636">
        <f>[1]model_point!$C$2+D636-1</f>
        <v>58</v>
      </c>
      <c r="F636">
        <f>VLOOKUP(E636,'[1]202512 BE mortality'!$A:$C,3,0)</f>
        <v>5.6847263985852249E-3</v>
      </c>
      <c r="G636">
        <f>VLOOKUP(D636,'[1]202512 BE lapse'!$C:$D,2,0)</f>
        <v>4.5035627397969355E-3</v>
      </c>
      <c r="H636">
        <f>VLOOKUP($B636,'[1]202512 RFR'!$A:$B,2,0)</f>
        <v>1.2E-2</v>
      </c>
      <c r="I636">
        <f t="shared" si="107"/>
        <v>1.163910010801628</v>
      </c>
      <c r="J636">
        <f t="shared" si="108"/>
        <v>5.5308037356685243E-4</v>
      </c>
      <c r="K636">
        <f t="shared" si="109"/>
        <v>0</v>
      </c>
      <c r="L636">
        <f t="shared" si="101"/>
        <v>0.46168835199842867</v>
      </c>
      <c r="M636">
        <f>IF(AND(MOD(C636,12)=1,D636&lt;='[1]Product parameters'!$C$2),I635*[1]model_point!$G$2,0)</f>
        <v>0</v>
      </c>
      <c r="N636">
        <f t="shared" si="102"/>
        <v>0</v>
      </c>
      <c r="O636">
        <f>[2]results_sample_product_cf!G635</f>
        <v>0</v>
      </c>
      <c r="P636">
        <f>[2]results_sample_product_cf!H635</f>
        <v>0</v>
      </c>
      <c r="Q636">
        <f t="shared" si="103"/>
        <v>0</v>
      </c>
      <c r="R636">
        <f t="shared" si="99"/>
        <v>0</v>
      </c>
    </row>
    <row r="637" spans="1:18" x14ac:dyDescent="0.3">
      <c r="A637">
        <f t="shared" si="104"/>
        <v>634</v>
      </c>
      <c r="B637">
        <f t="shared" si="105"/>
        <v>53</v>
      </c>
      <c r="C637">
        <f t="shared" si="106"/>
        <v>639</v>
      </c>
      <c r="D637">
        <f t="shared" si="100"/>
        <v>54</v>
      </c>
      <c r="E637">
        <f>[1]model_point!$C$2+D637-1</f>
        <v>58</v>
      </c>
      <c r="F637">
        <f>VLOOKUP(E637,'[1]202512 BE mortality'!$A:$C,3,0)</f>
        <v>5.6847263985852249E-3</v>
      </c>
      <c r="G637">
        <f>VLOOKUP(D637,'[1]202512 BE lapse'!$C:$D,2,0)</f>
        <v>4.5035627397969355E-3</v>
      </c>
      <c r="H637">
        <f>VLOOKUP($B637,'[1]202512 RFR'!$A:$B,2,0)</f>
        <v>1.2E-2</v>
      </c>
      <c r="I637">
        <f t="shared" si="107"/>
        <v>1.1633571931224325</v>
      </c>
      <c r="J637">
        <f t="shared" si="108"/>
        <v>5.5281767919556398E-4</v>
      </c>
      <c r="K637">
        <f t="shared" si="109"/>
        <v>0</v>
      </c>
      <c r="L637">
        <f t="shared" si="101"/>
        <v>0.46122963984168008</v>
      </c>
      <c r="M637">
        <f>IF(AND(MOD(C637,12)=1,D637&lt;='[1]Product parameters'!$C$2),I636*[1]model_point!$G$2,0)</f>
        <v>0</v>
      </c>
      <c r="N637">
        <f t="shared" si="102"/>
        <v>0</v>
      </c>
      <c r="O637">
        <f>[2]results_sample_product_cf!G636</f>
        <v>0</v>
      </c>
      <c r="P637">
        <f>[2]results_sample_product_cf!H636</f>
        <v>0</v>
      </c>
      <c r="Q637">
        <f t="shared" si="103"/>
        <v>0</v>
      </c>
      <c r="R637">
        <f t="shared" si="99"/>
        <v>0</v>
      </c>
    </row>
    <row r="638" spans="1:18" x14ac:dyDescent="0.3">
      <c r="A638">
        <f t="shared" si="104"/>
        <v>635</v>
      </c>
      <c r="B638">
        <f t="shared" si="105"/>
        <v>53</v>
      </c>
      <c r="C638">
        <f t="shared" si="106"/>
        <v>640</v>
      </c>
      <c r="D638">
        <f t="shared" si="100"/>
        <v>54</v>
      </c>
      <c r="E638">
        <f>[1]model_point!$C$2+D638-1</f>
        <v>58</v>
      </c>
      <c r="F638">
        <f>VLOOKUP(E638,'[1]202512 BE mortality'!$A:$C,3,0)</f>
        <v>5.6847263985852249E-3</v>
      </c>
      <c r="G638">
        <f>VLOOKUP(D638,'[1]202512 BE lapse'!$C:$D,2,0)</f>
        <v>4.5035627397969355E-3</v>
      </c>
      <c r="H638">
        <f>VLOOKUP($B638,'[1]202512 RFR'!$A:$B,2,0)</f>
        <v>1.2E-2</v>
      </c>
      <c r="I638">
        <f t="shared" si="107"/>
        <v>1.1628046380128374</v>
      </c>
      <c r="J638">
        <f t="shared" si="108"/>
        <v>5.5255510959516967E-4</v>
      </c>
      <c r="K638">
        <f t="shared" si="109"/>
        <v>0</v>
      </c>
      <c r="L638">
        <f t="shared" si="101"/>
        <v>0.46077138344007856</v>
      </c>
      <c r="M638">
        <f>IF(AND(MOD(C638,12)=1,D638&lt;='[1]Product parameters'!$C$2),I637*[1]model_point!$G$2,0)</f>
        <v>0</v>
      </c>
      <c r="N638">
        <f t="shared" si="102"/>
        <v>0</v>
      </c>
      <c r="O638">
        <f>[2]results_sample_product_cf!G637</f>
        <v>0</v>
      </c>
      <c r="P638">
        <f>[2]results_sample_product_cf!H637</f>
        <v>0</v>
      </c>
      <c r="Q638">
        <f t="shared" si="103"/>
        <v>0</v>
      </c>
      <c r="R638">
        <f t="shared" si="99"/>
        <v>0</v>
      </c>
    </row>
    <row r="639" spans="1:18" x14ac:dyDescent="0.3">
      <c r="A639">
        <f t="shared" si="104"/>
        <v>636</v>
      </c>
      <c r="B639">
        <f t="shared" si="105"/>
        <v>53</v>
      </c>
      <c r="C639">
        <f t="shared" si="106"/>
        <v>641</v>
      </c>
      <c r="D639">
        <f t="shared" si="100"/>
        <v>54</v>
      </c>
      <c r="E639">
        <f>[1]model_point!$C$2+D639-1</f>
        <v>58</v>
      </c>
      <c r="F639">
        <f>VLOOKUP(E639,'[1]202512 BE mortality'!$A:$C,3,0)</f>
        <v>5.6847263985852249E-3</v>
      </c>
      <c r="G639">
        <f>VLOOKUP(D639,'[1]202512 BE lapse'!$C:$D,2,0)</f>
        <v>4.5035627397969355E-3</v>
      </c>
      <c r="H639">
        <f>VLOOKUP($B639,'[1]202512 RFR'!$A:$B,2,0)</f>
        <v>1.2E-2</v>
      </c>
      <c r="I639">
        <f t="shared" si="107"/>
        <v>1.162252345348131</v>
      </c>
      <c r="J639">
        <f t="shared" si="108"/>
        <v>5.5229266470640745E-4</v>
      </c>
      <c r="K639">
        <f t="shared" si="109"/>
        <v>0</v>
      </c>
      <c r="L639">
        <f t="shared" si="101"/>
        <v>0.46031358234080683</v>
      </c>
      <c r="M639">
        <f>IF(AND(MOD(C639,12)=1,D639&lt;='[1]Product parameters'!$C$2),I638*[1]model_point!$G$2,0)</f>
        <v>0</v>
      </c>
      <c r="N639">
        <f t="shared" si="102"/>
        <v>0</v>
      </c>
      <c r="O639">
        <f>[2]results_sample_product_cf!G638</f>
        <v>0</v>
      </c>
      <c r="P639">
        <f>[2]results_sample_product_cf!H638</f>
        <v>0</v>
      </c>
      <c r="Q639">
        <f t="shared" si="103"/>
        <v>0</v>
      </c>
      <c r="R639">
        <f t="shared" si="99"/>
        <v>0</v>
      </c>
    </row>
    <row r="640" spans="1:18" x14ac:dyDescent="0.3">
      <c r="A640">
        <f t="shared" si="104"/>
        <v>637</v>
      </c>
      <c r="B640">
        <f t="shared" si="105"/>
        <v>54</v>
      </c>
      <c r="C640">
        <f t="shared" si="106"/>
        <v>642</v>
      </c>
      <c r="D640">
        <f t="shared" si="100"/>
        <v>54</v>
      </c>
      <c r="E640">
        <f>[1]model_point!$C$2+D640-1</f>
        <v>58</v>
      </c>
      <c r="F640">
        <f>VLOOKUP(E640,'[1]202512 BE mortality'!$A:$C,3,0)</f>
        <v>5.6847263985852249E-3</v>
      </c>
      <c r="G640">
        <f>VLOOKUP(D640,'[1]202512 BE lapse'!$C:$D,2,0)</f>
        <v>4.5035627397969355E-3</v>
      </c>
      <c r="H640">
        <f>VLOOKUP($B640,'[1]202512 RFR'!$A:$B,2,0)</f>
        <v>1.2E-2</v>
      </c>
      <c r="I640">
        <f t="shared" si="107"/>
        <v>1.1617003150036611</v>
      </c>
      <c r="J640">
        <f t="shared" si="108"/>
        <v>5.5203034447004365E-4</v>
      </c>
      <c r="K640">
        <f t="shared" si="109"/>
        <v>0</v>
      </c>
      <c r="L640">
        <f t="shared" si="101"/>
        <v>0.45985623609149767</v>
      </c>
      <c r="M640">
        <f>IF(AND(MOD(C640,12)=1,D640&lt;='[1]Product parameters'!$C$2),I639*[1]model_point!$G$2,0)</f>
        <v>0</v>
      </c>
      <c r="N640">
        <f t="shared" si="102"/>
        <v>0</v>
      </c>
      <c r="O640">
        <f>[2]results_sample_product_cf!G639</f>
        <v>0</v>
      </c>
      <c r="P640">
        <f>[2]results_sample_product_cf!H639</f>
        <v>0</v>
      </c>
      <c r="Q640">
        <f t="shared" si="103"/>
        <v>0</v>
      </c>
      <c r="R640">
        <f t="shared" si="99"/>
        <v>0</v>
      </c>
    </row>
    <row r="641" spans="1:18" x14ac:dyDescent="0.3">
      <c r="A641">
        <f t="shared" si="104"/>
        <v>638</v>
      </c>
      <c r="B641">
        <f t="shared" si="105"/>
        <v>54</v>
      </c>
      <c r="C641">
        <f t="shared" si="106"/>
        <v>643</v>
      </c>
      <c r="D641">
        <f t="shared" si="100"/>
        <v>54</v>
      </c>
      <c r="E641">
        <f>[1]model_point!$C$2+D641-1</f>
        <v>58</v>
      </c>
      <c r="F641">
        <f>VLOOKUP(E641,'[1]202512 BE mortality'!$A:$C,3,0)</f>
        <v>5.6847263985852249E-3</v>
      </c>
      <c r="G641">
        <f>VLOOKUP(D641,'[1]202512 BE lapse'!$C:$D,2,0)</f>
        <v>4.5035627397969355E-3</v>
      </c>
      <c r="H641">
        <f>VLOOKUP($B641,'[1]202512 RFR'!$A:$B,2,0)</f>
        <v>1.2E-2</v>
      </c>
      <c r="I641">
        <f t="shared" si="107"/>
        <v>1.1611485468548342</v>
      </c>
      <c r="J641">
        <f t="shared" si="108"/>
        <v>5.517681488268726E-4</v>
      </c>
      <c r="K641">
        <f t="shared" si="109"/>
        <v>0</v>
      </c>
      <c r="L641">
        <f t="shared" si="101"/>
        <v>0.45939934424023315</v>
      </c>
      <c r="M641">
        <f>IF(AND(MOD(C641,12)=1,D641&lt;='[1]Product parameters'!$C$2),I640*[1]model_point!$G$2,0)</f>
        <v>0</v>
      </c>
      <c r="N641">
        <f t="shared" si="102"/>
        <v>0</v>
      </c>
      <c r="O641">
        <f>[2]results_sample_product_cf!G640</f>
        <v>0</v>
      </c>
      <c r="P641">
        <f>[2]results_sample_product_cf!H640</f>
        <v>0</v>
      </c>
      <c r="Q641">
        <f t="shared" si="103"/>
        <v>0</v>
      </c>
      <c r="R641">
        <f t="shared" si="99"/>
        <v>0</v>
      </c>
    </row>
    <row r="642" spans="1:18" x14ac:dyDescent="0.3">
      <c r="A642">
        <f t="shared" si="104"/>
        <v>639</v>
      </c>
      <c r="B642">
        <f t="shared" si="105"/>
        <v>54</v>
      </c>
      <c r="C642">
        <f t="shared" si="106"/>
        <v>644</v>
      </c>
      <c r="D642">
        <f t="shared" si="100"/>
        <v>54</v>
      </c>
      <c r="E642">
        <f>[1]model_point!$C$2+D642-1</f>
        <v>58</v>
      </c>
      <c r="F642">
        <f>VLOOKUP(E642,'[1]202512 BE mortality'!$A:$C,3,0)</f>
        <v>5.6847263985852249E-3</v>
      </c>
      <c r="G642">
        <f>VLOOKUP(D642,'[1]202512 BE lapse'!$C:$D,2,0)</f>
        <v>4.5035627397969355E-3</v>
      </c>
      <c r="H642">
        <f>VLOOKUP($B642,'[1]202512 RFR'!$A:$B,2,0)</f>
        <v>1.2E-2</v>
      </c>
      <c r="I642">
        <f t="shared" si="107"/>
        <v>1.1605970407771165</v>
      </c>
      <c r="J642">
        <f t="shared" si="108"/>
        <v>5.515060777177166E-4</v>
      </c>
      <c r="K642">
        <f t="shared" si="109"/>
        <v>0</v>
      </c>
      <c r="L642">
        <f t="shared" si="101"/>
        <v>0.45894290633554452</v>
      </c>
      <c r="M642">
        <f>IF(AND(MOD(C642,12)=1,D642&lt;='[1]Product parameters'!$C$2),I641*[1]model_point!$G$2,0)</f>
        <v>0</v>
      </c>
      <c r="N642">
        <f t="shared" si="102"/>
        <v>0</v>
      </c>
      <c r="O642">
        <f>[2]results_sample_product_cf!G641</f>
        <v>0</v>
      </c>
      <c r="P642">
        <f>[2]results_sample_product_cf!H641</f>
        <v>0</v>
      </c>
      <c r="Q642">
        <f t="shared" si="103"/>
        <v>0</v>
      </c>
      <c r="R642">
        <f t="shared" si="99"/>
        <v>0</v>
      </c>
    </row>
    <row r="643" spans="1:18" x14ac:dyDescent="0.3">
      <c r="A643">
        <f t="shared" si="104"/>
        <v>640</v>
      </c>
      <c r="B643">
        <f t="shared" si="105"/>
        <v>54</v>
      </c>
      <c r="C643">
        <f t="shared" si="106"/>
        <v>645</v>
      </c>
      <c r="D643">
        <f t="shared" si="100"/>
        <v>54</v>
      </c>
      <c r="E643">
        <f>[1]model_point!$C$2+D643-1</f>
        <v>58</v>
      </c>
      <c r="F643">
        <f>VLOOKUP(E643,'[1]202512 BE mortality'!$A:$C,3,0)</f>
        <v>5.6847263985852249E-3</v>
      </c>
      <c r="G643">
        <f>VLOOKUP(D643,'[1]202512 BE lapse'!$C:$D,2,0)</f>
        <v>4.5035627397969355E-3</v>
      </c>
      <c r="H643">
        <f>VLOOKUP($B643,'[1]202512 RFR'!$A:$B,2,0)</f>
        <v>1.2E-2</v>
      </c>
      <c r="I643">
        <f t="shared" si="107"/>
        <v>1.1600457966460331</v>
      </c>
      <c r="J643">
        <f t="shared" si="108"/>
        <v>5.5124413108342634E-4</v>
      </c>
      <c r="K643">
        <f t="shared" si="109"/>
        <v>0</v>
      </c>
      <c r="L643">
        <f t="shared" si="101"/>
        <v>0.45848692192641144</v>
      </c>
      <c r="M643">
        <f>IF(AND(MOD(C643,12)=1,D643&lt;='[1]Product parameters'!$C$2),I642*[1]model_point!$G$2,0)</f>
        <v>0</v>
      </c>
      <c r="N643">
        <f t="shared" si="102"/>
        <v>0</v>
      </c>
      <c r="O643">
        <f>[2]results_sample_product_cf!G642</f>
        <v>0</v>
      </c>
      <c r="P643">
        <f>[2]results_sample_product_cf!H642</f>
        <v>0</v>
      </c>
      <c r="Q643">
        <f t="shared" si="103"/>
        <v>0</v>
      </c>
      <c r="R643">
        <f t="shared" ref="R643:R706" si="110">ROUND(N643-P643,6)</f>
        <v>0</v>
      </c>
    </row>
    <row r="644" spans="1:18" x14ac:dyDescent="0.3">
      <c r="A644">
        <f t="shared" si="104"/>
        <v>641</v>
      </c>
      <c r="B644">
        <f t="shared" si="105"/>
        <v>54</v>
      </c>
      <c r="C644">
        <f t="shared" si="106"/>
        <v>646</v>
      </c>
      <c r="D644">
        <f t="shared" ref="D644:D707" si="111">TRUNC((C644-1)/12,0)+1</f>
        <v>54</v>
      </c>
      <c r="E644">
        <f>[1]model_point!$C$2+D644-1</f>
        <v>58</v>
      </c>
      <c r="F644">
        <f>VLOOKUP(E644,'[1]202512 BE mortality'!$A:$C,3,0)</f>
        <v>5.6847263985852249E-3</v>
      </c>
      <c r="G644">
        <f>VLOOKUP(D644,'[1]202512 BE lapse'!$C:$D,2,0)</f>
        <v>4.5035627397969355E-3</v>
      </c>
      <c r="H644">
        <f>VLOOKUP($B644,'[1]202512 RFR'!$A:$B,2,0)</f>
        <v>1.2E-2</v>
      </c>
      <c r="I644">
        <f t="shared" si="107"/>
        <v>1.1594948143371682</v>
      </c>
      <c r="J644">
        <f t="shared" si="108"/>
        <v>5.5098230886488071E-4</v>
      </c>
      <c r="K644">
        <f t="shared" si="109"/>
        <v>0</v>
      </c>
      <c r="L644">
        <f t="shared" ref="L644:L707" si="112">L643/(1+H644)^(1/12)</f>
        <v>0.45803139056226172</v>
      </c>
      <c r="M644">
        <f>IF(AND(MOD(C644,12)=1,D644&lt;='[1]Product parameters'!$C$2),I643*[1]model_point!$G$2,0)</f>
        <v>0</v>
      </c>
      <c r="N644">
        <f t="shared" ref="N644:N707" si="113">SUMPRODUCT(L644:L1843,M645:M1844)/L644</f>
        <v>0</v>
      </c>
      <c r="O644">
        <f>[2]results_sample_product_cf!G643</f>
        <v>0</v>
      </c>
      <c r="P644">
        <f>[2]results_sample_product_cf!H643</f>
        <v>0</v>
      </c>
      <c r="Q644">
        <f t="shared" ref="Q644:Q707" si="114">ROUND(M644-O644,6)</f>
        <v>0</v>
      </c>
      <c r="R644">
        <f t="shared" si="110"/>
        <v>0</v>
      </c>
    </row>
    <row r="645" spans="1:18" x14ac:dyDescent="0.3">
      <c r="A645">
        <f t="shared" ref="A645:A708" si="115">A644+1</f>
        <v>642</v>
      </c>
      <c r="B645">
        <f t="shared" ref="B645:B708" si="116">INT((A645-1)/12)+1</f>
        <v>54</v>
      </c>
      <c r="C645">
        <f t="shared" ref="C645:C708" si="117">C644+1</f>
        <v>647</v>
      </c>
      <c r="D645">
        <f t="shared" si="111"/>
        <v>54</v>
      </c>
      <c r="E645">
        <f>[1]model_point!$C$2+D645-1</f>
        <v>58</v>
      </c>
      <c r="F645">
        <f>VLOOKUP(E645,'[1]202512 BE mortality'!$A:$C,3,0)</f>
        <v>5.6847263985852249E-3</v>
      </c>
      <c r="G645">
        <f>VLOOKUP(D645,'[1]202512 BE lapse'!$C:$D,2,0)</f>
        <v>4.5035627397969355E-3</v>
      </c>
      <c r="H645">
        <f>VLOOKUP($B645,'[1]202512 RFR'!$A:$B,2,0)</f>
        <v>1.2E-2</v>
      </c>
      <c r="I645">
        <f t="shared" ref="I645:I708" si="118">I644-J645-K645</f>
        <v>1.1589440937261652</v>
      </c>
      <c r="J645">
        <f t="shared" ref="J645:J708" si="119">I644*(1-(1-F645)^(1/12))</f>
        <v>5.5072061100298604E-4</v>
      </c>
      <c r="K645">
        <f t="shared" ref="K645:K708" si="120">(I644-J645)*IF(MOD(C645,12)=0,G645,0)</f>
        <v>0</v>
      </c>
      <c r="L645">
        <f t="shared" si="112"/>
        <v>0.45757631179297087</v>
      </c>
      <c r="M645">
        <f>IF(AND(MOD(C645,12)=1,D645&lt;='[1]Product parameters'!$C$2),I644*[1]model_point!$G$2,0)</f>
        <v>0</v>
      </c>
      <c r="N645">
        <f t="shared" si="113"/>
        <v>0</v>
      </c>
      <c r="O645">
        <f>[2]results_sample_product_cf!G644</f>
        <v>0</v>
      </c>
      <c r="P645">
        <f>[2]results_sample_product_cf!H644</f>
        <v>0</v>
      </c>
      <c r="Q645">
        <f t="shared" si="114"/>
        <v>0</v>
      </c>
      <c r="R645">
        <f t="shared" si="110"/>
        <v>0</v>
      </c>
    </row>
    <row r="646" spans="1:18" x14ac:dyDescent="0.3">
      <c r="A646">
        <f t="shared" si="115"/>
        <v>643</v>
      </c>
      <c r="B646">
        <f t="shared" si="116"/>
        <v>54</v>
      </c>
      <c r="C646">
        <f t="shared" si="117"/>
        <v>648</v>
      </c>
      <c r="D646">
        <f t="shared" si="111"/>
        <v>54</v>
      </c>
      <c r="E646">
        <f>[1]model_point!$C$2+D646-1</f>
        <v>58</v>
      </c>
      <c r="F646">
        <f>VLOOKUP(E646,'[1]202512 BE mortality'!$A:$C,3,0)</f>
        <v>5.6847263985852249E-3</v>
      </c>
      <c r="G646">
        <f>VLOOKUP(D646,'[1]202512 BE lapse'!$C:$D,2,0)</f>
        <v>4.5035627397969355E-3</v>
      </c>
      <c r="H646">
        <f>VLOOKUP($B646,'[1]202512 RFR'!$A:$B,2,0)</f>
        <v>1.2E-2</v>
      </c>
      <c r="I646">
        <f t="shared" si="118"/>
        <v>1.1531767362775245</v>
      </c>
      <c r="J646">
        <f t="shared" si="119"/>
        <v>5.5045903743867748E-4</v>
      </c>
      <c r="K646">
        <f t="shared" si="120"/>
        <v>5.2168984112020917E-3</v>
      </c>
      <c r="L646">
        <f t="shared" si="112"/>
        <v>0.45712168516886159</v>
      </c>
      <c r="M646">
        <f>IF(AND(MOD(C646,12)=1,D646&lt;='[1]Product parameters'!$C$2),I645*[1]model_point!$G$2,0)</f>
        <v>0</v>
      </c>
      <c r="N646">
        <f t="shared" si="113"/>
        <v>0</v>
      </c>
      <c r="O646">
        <f>[2]results_sample_product_cf!G645</f>
        <v>0</v>
      </c>
      <c r="P646">
        <f>[2]results_sample_product_cf!H645</f>
        <v>0</v>
      </c>
      <c r="Q646">
        <f t="shared" si="114"/>
        <v>0</v>
      </c>
      <c r="R646">
        <f t="shared" si="110"/>
        <v>0</v>
      </c>
    </row>
    <row r="647" spans="1:18" x14ac:dyDescent="0.3">
      <c r="A647">
        <f t="shared" si="115"/>
        <v>644</v>
      </c>
      <c r="B647">
        <f t="shared" si="116"/>
        <v>54</v>
      </c>
      <c r="C647">
        <f t="shared" si="117"/>
        <v>649</v>
      </c>
      <c r="D647">
        <f t="shared" si="111"/>
        <v>55</v>
      </c>
      <c r="E647">
        <f>[1]model_point!$C$2+D647-1</f>
        <v>59</v>
      </c>
      <c r="F647">
        <f>VLOOKUP(E647,'[1]202512 BE mortality'!$A:$C,3,0)</f>
        <v>9.9729760017427411E-3</v>
      </c>
      <c r="G647">
        <f>VLOOKUP(D647,'[1]202512 BE lapse'!$C:$D,2,0)</f>
        <v>4.5049776049847301E-3</v>
      </c>
      <c r="H647">
        <f>VLOOKUP($B647,'[1]202512 RFR'!$A:$B,2,0)</f>
        <v>1.2E-2</v>
      </c>
      <c r="I647">
        <f t="shared" si="118"/>
        <v>1.1522139437796854</v>
      </c>
      <c r="J647">
        <f t="shared" si="119"/>
        <v>9.6279249783908514E-4</v>
      </c>
      <c r="K647">
        <f t="shared" si="120"/>
        <v>0</v>
      </c>
      <c r="L647">
        <f t="shared" si="112"/>
        <v>0.4566675102407034</v>
      </c>
      <c r="M647">
        <f>IF(AND(MOD(C647,12)=1,D647&lt;='[1]Product parameters'!$C$2),I646*[1]model_point!$G$2,0)</f>
        <v>0</v>
      </c>
      <c r="N647">
        <f t="shared" si="113"/>
        <v>0</v>
      </c>
      <c r="O647">
        <f>[2]results_sample_product_cf!G646</f>
        <v>0</v>
      </c>
      <c r="P647">
        <f>[2]results_sample_product_cf!H646</f>
        <v>0</v>
      </c>
      <c r="Q647">
        <f t="shared" si="114"/>
        <v>0</v>
      </c>
      <c r="R647">
        <f t="shared" si="110"/>
        <v>0</v>
      </c>
    </row>
    <row r="648" spans="1:18" x14ac:dyDescent="0.3">
      <c r="A648">
        <f t="shared" si="115"/>
        <v>645</v>
      </c>
      <c r="B648">
        <f t="shared" si="116"/>
        <v>54</v>
      </c>
      <c r="C648">
        <f t="shared" si="117"/>
        <v>650</v>
      </c>
      <c r="D648">
        <f t="shared" si="111"/>
        <v>55</v>
      </c>
      <c r="E648">
        <f>[1]model_point!$C$2+D648-1</f>
        <v>59</v>
      </c>
      <c r="F648">
        <f>VLOOKUP(E648,'[1]202512 BE mortality'!$A:$C,3,0)</f>
        <v>9.9729760017427411E-3</v>
      </c>
      <c r="G648">
        <f>VLOOKUP(D648,'[1]202512 BE lapse'!$C:$D,2,0)</f>
        <v>4.5049776049847301E-3</v>
      </c>
      <c r="H648">
        <f>VLOOKUP($B648,'[1]202512 RFR'!$A:$B,2,0)</f>
        <v>1.2E-2</v>
      </c>
      <c r="I648">
        <f t="shared" si="118"/>
        <v>1.1512519551216782</v>
      </c>
      <c r="J648">
        <f t="shared" si="119"/>
        <v>9.6198865800713759E-4</v>
      </c>
      <c r="K648">
        <f t="shared" si="120"/>
        <v>0</v>
      </c>
      <c r="L648">
        <f t="shared" si="112"/>
        <v>0.45621378655971212</v>
      </c>
      <c r="M648">
        <f>IF(AND(MOD(C648,12)=1,D648&lt;='[1]Product parameters'!$C$2),I647*[1]model_point!$G$2,0)</f>
        <v>0</v>
      </c>
      <c r="N648">
        <f t="shared" si="113"/>
        <v>0</v>
      </c>
      <c r="O648">
        <f>[2]results_sample_product_cf!G647</f>
        <v>0</v>
      </c>
      <c r="P648">
        <f>[2]results_sample_product_cf!H647</f>
        <v>0</v>
      </c>
      <c r="Q648">
        <f t="shared" si="114"/>
        <v>0</v>
      </c>
      <c r="R648">
        <f t="shared" si="110"/>
        <v>0</v>
      </c>
    </row>
    <row r="649" spans="1:18" x14ac:dyDescent="0.3">
      <c r="A649">
        <f t="shared" si="115"/>
        <v>646</v>
      </c>
      <c r="B649">
        <f t="shared" si="116"/>
        <v>54</v>
      </c>
      <c r="C649">
        <f t="shared" si="117"/>
        <v>651</v>
      </c>
      <c r="D649">
        <f t="shared" si="111"/>
        <v>55</v>
      </c>
      <c r="E649">
        <f>[1]model_point!$C$2+D649-1</f>
        <v>59</v>
      </c>
      <c r="F649">
        <f>VLOOKUP(E649,'[1]202512 BE mortality'!$A:$C,3,0)</f>
        <v>9.9729760017427411E-3</v>
      </c>
      <c r="G649">
        <f>VLOOKUP(D649,'[1]202512 BE lapse'!$C:$D,2,0)</f>
        <v>4.5049776049847301E-3</v>
      </c>
      <c r="H649">
        <f>VLOOKUP($B649,'[1]202512 RFR'!$A:$B,2,0)</f>
        <v>1.2E-2</v>
      </c>
      <c r="I649">
        <f t="shared" si="118"/>
        <v>1.1502907696323734</v>
      </c>
      <c r="J649">
        <f t="shared" si="119"/>
        <v>9.6118548930471874E-4</v>
      </c>
      <c r="K649">
        <f t="shared" si="120"/>
        <v>0</v>
      </c>
      <c r="L649">
        <f t="shared" si="112"/>
        <v>0.45576051367754949</v>
      </c>
      <c r="M649">
        <f>IF(AND(MOD(C649,12)=1,D649&lt;='[1]Product parameters'!$C$2),I648*[1]model_point!$G$2,0)</f>
        <v>0</v>
      </c>
      <c r="N649">
        <f t="shared" si="113"/>
        <v>0</v>
      </c>
      <c r="O649">
        <f>[2]results_sample_product_cf!G648</f>
        <v>0</v>
      </c>
      <c r="P649">
        <f>[2]results_sample_product_cf!H648</f>
        <v>0</v>
      </c>
      <c r="Q649">
        <f t="shared" si="114"/>
        <v>0</v>
      </c>
      <c r="R649">
        <f t="shared" si="110"/>
        <v>0</v>
      </c>
    </row>
    <row r="650" spans="1:18" x14ac:dyDescent="0.3">
      <c r="A650">
        <f t="shared" si="115"/>
        <v>647</v>
      </c>
      <c r="B650">
        <f t="shared" si="116"/>
        <v>54</v>
      </c>
      <c r="C650">
        <f t="shared" si="117"/>
        <v>652</v>
      </c>
      <c r="D650">
        <f t="shared" si="111"/>
        <v>55</v>
      </c>
      <c r="E650">
        <f>[1]model_point!$C$2+D650-1</f>
        <v>59</v>
      </c>
      <c r="F650">
        <f>VLOOKUP(E650,'[1]202512 BE mortality'!$A:$C,3,0)</f>
        <v>9.9729760017427411E-3</v>
      </c>
      <c r="G650">
        <f>VLOOKUP(D650,'[1]202512 BE lapse'!$C:$D,2,0)</f>
        <v>4.5049776049847301E-3</v>
      </c>
      <c r="H650">
        <f>VLOOKUP($B650,'[1]202512 RFR'!$A:$B,2,0)</f>
        <v>1.2E-2</v>
      </c>
      <c r="I650">
        <f t="shared" si="118"/>
        <v>1.1493303866412019</v>
      </c>
      <c r="J650">
        <f t="shared" si="119"/>
        <v>9.6038299117149955E-4</v>
      </c>
      <c r="K650">
        <f t="shared" si="120"/>
        <v>0</v>
      </c>
      <c r="L650">
        <f t="shared" si="112"/>
        <v>0.45530769114632269</v>
      </c>
      <c r="M650">
        <f>IF(AND(MOD(C650,12)=1,D650&lt;='[1]Product parameters'!$C$2),I649*[1]model_point!$G$2,0)</f>
        <v>0</v>
      </c>
      <c r="N650">
        <f t="shared" si="113"/>
        <v>0</v>
      </c>
      <c r="O650">
        <f>[2]results_sample_product_cf!G649</f>
        <v>0</v>
      </c>
      <c r="P650">
        <f>[2]results_sample_product_cf!H649</f>
        <v>0</v>
      </c>
      <c r="Q650">
        <f t="shared" si="114"/>
        <v>0</v>
      </c>
      <c r="R650">
        <f t="shared" si="110"/>
        <v>0</v>
      </c>
    </row>
    <row r="651" spans="1:18" x14ac:dyDescent="0.3">
      <c r="A651">
        <f t="shared" si="115"/>
        <v>648</v>
      </c>
      <c r="B651">
        <f t="shared" si="116"/>
        <v>54</v>
      </c>
      <c r="C651">
        <f t="shared" si="117"/>
        <v>653</v>
      </c>
      <c r="D651">
        <f t="shared" si="111"/>
        <v>55</v>
      </c>
      <c r="E651">
        <f>[1]model_point!$C$2+D651-1</f>
        <v>59</v>
      </c>
      <c r="F651">
        <f>VLOOKUP(E651,'[1]202512 BE mortality'!$A:$C,3,0)</f>
        <v>9.9729760017427411E-3</v>
      </c>
      <c r="G651">
        <f>VLOOKUP(D651,'[1]202512 BE lapse'!$C:$D,2,0)</f>
        <v>4.5049776049847301E-3</v>
      </c>
      <c r="H651">
        <f>VLOOKUP($B651,'[1]202512 RFR'!$A:$B,2,0)</f>
        <v>1.2E-2</v>
      </c>
      <c r="I651">
        <f t="shared" si="118"/>
        <v>1.1483708054781543</v>
      </c>
      <c r="J651">
        <f t="shared" si="119"/>
        <v>9.5958116304761896E-4</v>
      </c>
      <c r="K651">
        <f t="shared" si="120"/>
        <v>0</v>
      </c>
      <c r="L651">
        <f t="shared" si="112"/>
        <v>0.45485531851858385</v>
      </c>
      <c r="M651">
        <f>IF(AND(MOD(C651,12)=1,D651&lt;='[1]Product parameters'!$C$2),I650*[1]model_point!$G$2,0)</f>
        <v>0</v>
      </c>
      <c r="N651">
        <f t="shared" si="113"/>
        <v>0</v>
      </c>
      <c r="O651">
        <f>[2]results_sample_product_cf!G650</f>
        <v>0</v>
      </c>
      <c r="P651">
        <f>[2]results_sample_product_cf!H650</f>
        <v>0</v>
      </c>
      <c r="Q651">
        <f t="shared" si="114"/>
        <v>0</v>
      </c>
      <c r="R651">
        <f t="shared" si="110"/>
        <v>0</v>
      </c>
    </row>
    <row r="652" spans="1:18" x14ac:dyDescent="0.3">
      <c r="A652">
        <f t="shared" si="115"/>
        <v>649</v>
      </c>
      <c r="B652">
        <f t="shared" si="116"/>
        <v>55</v>
      </c>
      <c r="C652">
        <f t="shared" si="117"/>
        <v>654</v>
      </c>
      <c r="D652">
        <f t="shared" si="111"/>
        <v>55</v>
      </c>
      <c r="E652">
        <f>[1]model_point!$C$2+D652-1</f>
        <v>59</v>
      </c>
      <c r="F652">
        <f>VLOOKUP(E652,'[1]202512 BE mortality'!$A:$C,3,0)</f>
        <v>9.9729760017427411E-3</v>
      </c>
      <c r="G652">
        <f>VLOOKUP(D652,'[1]202512 BE lapse'!$C:$D,2,0)</f>
        <v>4.5049776049847301E-3</v>
      </c>
      <c r="H652">
        <f>VLOOKUP($B652,'[1]202512 RFR'!$A:$B,2,0)</f>
        <v>1.2E-2</v>
      </c>
      <c r="I652">
        <f t="shared" si="118"/>
        <v>1.1474120254737805</v>
      </c>
      <c r="J652">
        <f t="shared" si="119"/>
        <v>9.5878000437368295E-4</v>
      </c>
      <c r="K652">
        <f t="shared" si="120"/>
        <v>0</v>
      </c>
      <c r="L652">
        <f t="shared" si="112"/>
        <v>0.45440339534732971</v>
      </c>
      <c r="M652">
        <f>IF(AND(MOD(C652,12)=1,D652&lt;='[1]Product parameters'!$C$2),I651*[1]model_point!$G$2,0)</f>
        <v>0</v>
      </c>
      <c r="N652">
        <f t="shared" si="113"/>
        <v>0</v>
      </c>
      <c r="O652">
        <f>[2]results_sample_product_cf!G651</f>
        <v>0</v>
      </c>
      <c r="P652">
        <f>[2]results_sample_product_cf!H651</f>
        <v>0</v>
      </c>
      <c r="Q652">
        <f t="shared" si="114"/>
        <v>0</v>
      </c>
      <c r="R652">
        <f t="shared" si="110"/>
        <v>0</v>
      </c>
    </row>
    <row r="653" spans="1:18" x14ac:dyDescent="0.3">
      <c r="A653">
        <f t="shared" si="115"/>
        <v>650</v>
      </c>
      <c r="B653">
        <f t="shared" si="116"/>
        <v>55</v>
      </c>
      <c r="C653">
        <f t="shared" si="117"/>
        <v>655</v>
      </c>
      <c r="D653">
        <f t="shared" si="111"/>
        <v>55</v>
      </c>
      <c r="E653">
        <f>[1]model_point!$C$2+D653-1</f>
        <v>59</v>
      </c>
      <c r="F653">
        <f>VLOOKUP(E653,'[1]202512 BE mortality'!$A:$C,3,0)</f>
        <v>9.9729760017427411E-3</v>
      </c>
      <c r="G653">
        <f>VLOOKUP(D653,'[1]202512 BE lapse'!$C:$D,2,0)</f>
        <v>4.5049776049847301E-3</v>
      </c>
      <c r="H653">
        <f>VLOOKUP($B653,'[1]202512 RFR'!$A:$B,2,0)</f>
        <v>1.2E-2</v>
      </c>
      <c r="I653">
        <f t="shared" si="118"/>
        <v>1.1464540459591896</v>
      </c>
      <c r="J653">
        <f t="shared" si="119"/>
        <v>9.5797951459076472E-4</v>
      </c>
      <c r="K653">
        <f t="shared" si="120"/>
        <v>0</v>
      </c>
      <c r="L653">
        <f t="shared" si="112"/>
        <v>0.45395192118600114</v>
      </c>
      <c r="M653">
        <f>IF(AND(MOD(C653,12)=1,D653&lt;='[1]Product parameters'!$C$2),I652*[1]model_point!$G$2,0)</f>
        <v>0</v>
      </c>
      <c r="N653">
        <f t="shared" si="113"/>
        <v>0</v>
      </c>
      <c r="O653">
        <f>[2]results_sample_product_cf!G652</f>
        <v>0</v>
      </c>
      <c r="P653">
        <f>[2]results_sample_product_cf!H652</f>
        <v>0</v>
      </c>
      <c r="Q653">
        <f t="shared" si="114"/>
        <v>0</v>
      </c>
      <c r="R653">
        <f t="shared" si="110"/>
        <v>0</v>
      </c>
    </row>
    <row r="654" spans="1:18" x14ac:dyDescent="0.3">
      <c r="A654">
        <f t="shared" si="115"/>
        <v>651</v>
      </c>
      <c r="B654">
        <f t="shared" si="116"/>
        <v>55</v>
      </c>
      <c r="C654">
        <f t="shared" si="117"/>
        <v>656</v>
      </c>
      <c r="D654">
        <f t="shared" si="111"/>
        <v>55</v>
      </c>
      <c r="E654">
        <f>[1]model_point!$C$2+D654-1</f>
        <v>59</v>
      </c>
      <c r="F654">
        <f>VLOOKUP(E654,'[1]202512 BE mortality'!$A:$C,3,0)</f>
        <v>9.9729760017427411E-3</v>
      </c>
      <c r="G654">
        <f>VLOOKUP(D654,'[1]202512 BE lapse'!$C:$D,2,0)</f>
        <v>4.5049776049847301E-3</v>
      </c>
      <c r="H654">
        <f>VLOOKUP($B654,'[1]202512 RFR'!$A:$B,2,0)</f>
        <v>1.2E-2</v>
      </c>
      <c r="I654">
        <f t="shared" si="118"/>
        <v>1.1454968662660492</v>
      </c>
      <c r="J654">
        <f t="shared" si="119"/>
        <v>9.5717969314040407E-4</v>
      </c>
      <c r="K654">
        <f t="shared" si="120"/>
        <v>0</v>
      </c>
      <c r="L654">
        <f t="shared" si="112"/>
        <v>0.45350089558848272</v>
      </c>
      <c r="M654">
        <f>IF(AND(MOD(C654,12)=1,D654&lt;='[1]Product parameters'!$C$2),I653*[1]model_point!$G$2,0)</f>
        <v>0</v>
      </c>
      <c r="N654">
        <f t="shared" si="113"/>
        <v>0</v>
      </c>
      <c r="O654">
        <f>[2]results_sample_product_cf!G653</f>
        <v>0</v>
      </c>
      <c r="P654">
        <f>[2]results_sample_product_cf!H653</f>
        <v>0</v>
      </c>
      <c r="Q654">
        <f t="shared" si="114"/>
        <v>0</v>
      </c>
      <c r="R654">
        <f t="shared" si="110"/>
        <v>0</v>
      </c>
    </row>
    <row r="655" spans="1:18" x14ac:dyDescent="0.3">
      <c r="A655">
        <f t="shared" si="115"/>
        <v>652</v>
      </c>
      <c r="B655">
        <f t="shared" si="116"/>
        <v>55</v>
      </c>
      <c r="C655">
        <f t="shared" si="117"/>
        <v>657</v>
      </c>
      <c r="D655">
        <f t="shared" si="111"/>
        <v>55</v>
      </c>
      <c r="E655">
        <f>[1]model_point!$C$2+D655-1</f>
        <v>59</v>
      </c>
      <c r="F655">
        <f>VLOOKUP(E655,'[1]202512 BE mortality'!$A:$C,3,0)</f>
        <v>9.9729760017427411E-3</v>
      </c>
      <c r="G655">
        <f>VLOOKUP(D655,'[1]202512 BE lapse'!$C:$D,2,0)</f>
        <v>4.5049776049847301E-3</v>
      </c>
      <c r="H655">
        <f>VLOOKUP($B655,'[1]202512 RFR'!$A:$B,2,0)</f>
        <v>1.2E-2</v>
      </c>
      <c r="I655">
        <f t="shared" si="118"/>
        <v>1.1445404857265846</v>
      </c>
      <c r="J655">
        <f t="shared" si="119"/>
        <v>9.5638053946460726E-4</v>
      </c>
      <c r="K655">
        <f t="shared" si="120"/>
        <v>0</v>
      </c>
      <c r="L655">
        <f t="shared" si="112"/>
        <v>0.45305031810910218</v>
      </c>
      <c r="M655">
        <f>IF(AND(MOD(C655,12)=1,D655&lt;='[1]Product parameters'!$C$2),I654*[1]model_point!$G$2,0)</f>
        <v>0</v>
      </c>
      <c r="N655">
        <f t="shared" si="113"/>
        <v>0</v>
      </c>
      <c r="O655">
        <f>[2]results_sample_product_cf!G654</f>
        <v>0</v>
      </c>
      <c r="P655">
        <f>[2]results_sample_product_cf!H654</f>
        <v>0</v>
      </c>
      <c r="Q655">
        <f t="shared" si="114"/>
        <v>0</v>
      </c>
      <c r="R655">
        <f t="shared" si="110"/>
        <v>0</v>
      </c>
    </row>
    <row r="656" spans="1:18" x14ac:dyDescent="0.3">
      <c r="A656">
        <f t="shared" si="115"/>
        <v>653</v>
      </c>
      <c r="B656">
        <f t="shared" si="116"/>
        <v>55</v>
      </c>
      <c r="C656">
        <f t="shared" si="117"/>
        <v>658</v>
      </c>
      <c r="D656">
        <f t="shared" si="111"/>
        <v>55</v>
      </c>
      <c r="E656">
        <f>[1]model_point!$C$2+D656-1</f>
        <v>59</v>
      </c>
      <c r="F656">
        <f>VLOOKUP(E656,'[1]202512 BE mortality'!$A:$C,3,0)</f>
        <v>9.9729760017427411E-3</v>
      </c>
      <c r="G656">
        <f>VLOOKUP(D656,'[1]202512 BE lapse'!$C:$D,2,0)</f>
        <v>4.5049776049847301E-3</v>
      </c>
      <c r="H656">
        <f>VLOOKUP($B656,'[1]202512 RFR'!$A:$B,2,0)</f>
        <v>1.2E-2</v>
      </c>
      <c r="I656">
        <f t="shared" si="118"/>
        <v>1.1435849036735788</v>
      </c>
      <c r="J656">
        <f t="shared" si="119"/>
        <v>9.5558205300584631E-4</v>
      </c>
      <c r="K656">
        <f t="shared" si="120"/>
        <v>0</v>
      </c>
      <c r="L656">
        <f t="shared" si="112"/>
        <v>0.4526001883026301</v>
      </c>
      <c r="M656">
        <f>IF(AND(MOD(C656,12)=1,D656&lt;='[1]Product parameters'!$C$2),I655*[1]model_point!$G$2,0)</f>
        <v>0</v>
      </c>
      <c r="N656">
        <f t="shared" si="113"/>
        <v>0</v>
      </c>
      <c r="O656">
        <f>[2]results_sample_product_cf!G655</f>
        <v>0</v>
      </c>
      <c r="P656">
        <f>[2]results_sample_product_cf!H655</f>
        <v>0</v>
      </c>
      <c r="Q656">
        <f t="shared" si="114"/>
        <v>0</v>
      </c>
      <c r="R656">
        <f t="shared" si="110"/>
        <v>0</v>
      </c>
    </row>
    <row r="657" spans="1:18" x14ac:dyDescent="0.3">
      <c r="A657">
        <f t="shared" si="115"/>
        <v>654</v>
      </c>
      <c r="B657">
        <f t="shared" si="116"/>
        <v>55</v>
      </c>
      <c r="C657">
        <f t="shared" si="117"/>
        <v>659</v>
      </c>
      <c r="D657">
        <f t="shared" si="111"/>
        <v>55</v>
      </c>
      <c r="E657">
        <f>[1]model_point!$C$2+D657-1</f>
        <v>59</v>
      </c>
      <c r="F657">
        <f>VLOOKUP(E657,'[1]202512 BE mortality'!$A:$C,3,0)</f>
        <v>9.9729760017427411E-3</v>
      </c>
      <c r="G657">
        <f>VLOOKUP(D657,'[1]202512 BE lapse'!$C:$D,2,0)</f>
        <v>4.5049776049847301E-3</v>
      </c>
      <c r="H657">
        <f>VLOOKUP($B657,'[1]202512 RFR'!$A:$B,2,0)</f>
        <v>1.2E-2</v>
      </c>
      <c r="I657">
        <f t="shared" si="118"/>
        <v>1.1426301194403716</v>
      </c>
      <c r="J657">
        <f t="shared" si="119"/>
        <v>9.5478423320705845E-4</v>
      </c>
      <c r="K657">
        <f t="shared" si="120"/>
        <v>0</v>
      </c>
      <c r="L657">
        <f t="shared" si="112"/>
        <v>0.45215050572427945</v>
      </c>
      <c r="M657">
        <f>IF(AND(MOD(C657,12)=1,D657&lt;='[1]Product parameters'!$C$2),I656*[1]model_point!$G$2,0)</f>
        <v>0</v>
      </c>
      <c r="N657">
        <f t="shared" si="113"/>
        <v>0</v>
      </c>
      <c r="O657">
        <f>[2]results_sample_product_cf!G656</f>
        <v>0</v>
      </c>
      <c r="P657">
        <f>[2]results_sample_product_cf!H656</f>
        <v>0</v>
      </c>
      <c r="Q657">
        <f t="shared" si="114"/>
        <v>0</v>
      </c>
      <c r="R657">
        <f t="shared" si="110"/>
        <v>0</v>
      </c>
    </row>
    <row r="658" spans="1:18" x14ac:dyDescent="0.3">
      <c r="A658">
        <f t="shared" si="115"/>
        <v>655</v>
      </c>
      <c r="B658">
        <f t="shared" si="116"/>
        <v>55</v>
      </c>
      <c r="C658">
        <f t="shared" si="117"/>
        <v>660</v>
      </c>
      <c r="D658">
        <f t="shared" si="111"/>
        <v>55</v>
      </c>
      <c r="E658">
        <f>[1]model_point!$C$2+D658-1</f>
        <v>59</v>
      </c>
      <c r="F658">
        <f>VLOOKUP(E658,'[1]202512 BE mortality'!$A:$C,3,0)</f>
        <v>9.9729760017427411E-3</v>
      </c>
      <c r="G658">
        <f>VLOOKUP(D658,'[1]202512 BE lapse'!$C:$D,2,0)</f>
        <v>4.5049776049847301E-3</v>
      </c>
      <c r="H658">
        <f>VLOOKUP($B658,'[1]202512 RFR'!$A:$B,2,0)</f>
        <v>1.2E-2</v>
      </c>
      <c r="I658">
        <f t="shared" si="118"/>
        <v>1.1365329069524288</v>
      </c>
      <c r="J658">
        <f t="shared" si="119"/>
        <v>9.539870795116464E-4</v>
      </c>
      <c r="K658">
        <f t="shared" si="120"/>
        <v>5.1432254084312571E-3</v>
      </c>
      <c r="L658">
        <f t="shared" si="112"/>
        <v>0.45170126992970511</v>
      </c>
      <c r="M658">
        <f>IF(AND(MOD(C658,12)=1,D658&lt;='[1]Product parameters'!$C$2),I657*[1]model_point!$G$2,0)</f>
        <v>0</v>
      </c>
      <c r="N658">
        <f t="shared" si="113"/>
        <v>0</v>
      </c>
      <c r="O658">
        <f>[2]results_sample_product_cf!G657</f>
        <v>0</v>
      </c>
      <c r="P658">
        <f>[2]results_sample_product_cf!H657</f>
        <v>0</v>
      </c>
      <c r="Q658">
        <f t="shared" si="114"/>
        <v>0</v>
      </c>
      <c r="R658">
        <f t="shared" si="110"/>
        <v>0</v>
      </c>
    </row>
    <row r="659" spans="1:18" x14ac:dyDescent="0.3">
      <c r="A659">
        <f t="shared" si="115"/>
        <v>656</v>
      </c>
      <c r="B659">
        <f t="shared" si="116"/>
        <v>55</v>
      </c>
      <c r="C659">
        <f t="shared" si="117"/>
        <v>661</v>
      </c>
      <c r="D659">
        <f t="shared" si="111"/>
        <v>56</v>
      </c>
      <c r="E659">
        <f>[1]model_point!$C$2+D659-1</f>
        <v>60</v>
      </c>
      <c r="F659">
        <f>VLOOKUP(E659,'[1]202512 BE mortality'!$A:$C,3,0)</f>
        <v>6.1089616289083104E-3</v>
      </c>
      <c r="G659">
        <f>VLOOKUP(D659,'[1]202512 BE lapse'!$C:$D,2,0)</f>
        <v>7.3007682485278476E-3</v>
      </c>
      <c r="H659">
        <f>VLOOKUP($B659,'[1]202512 RFR'!$A:$B,2,0)</f>
        <v>1.2E-2</v>
      </c>
      <c r="I659">
        <f t="shared" si="118"/>
        <v>1.1359526942673464</v>
      </c>
      <c r="J659">
        <f t="shared" si="119"/>
        <v>5.8021268508253398E-4</v>
      </c>
      <c r="K659">
        <f t="shared" si="120"/>
        <v>0</v>
      </c>
      <c r="L659">
        <f t="shared" si="112"/>
        <v>0.45125248047500333</v>
      </c>
      <c r="M659">
        <f>IF(AND(MOD(C659,12)=1,D659&lt;='[1]Product parameters'!$C$2),I658*[1]model_point!$G$2,0)</f>
        <v>0</v>
      </c>
      <c r="N659">
        <f t="shared" si="113"/>
        <v>0</v>
      </c>
      <c r="O659">
        <f>[2]results_sample_product_cf!G658</f>
        <v>0</v>
      </c>
      <c r="P659">
        <f>[2]results_sample_product_cf!H658</f>
        <v>0</v>
      </c>
      <c r="Q659">
        <f t="shared" si="114"/>
        <v>0</v>
      </c>
      <c r="R659">
        <f t="shared" si="110"/>
        <v>0</v>
      </c>
    </row>
    <row r="660" spans="1:18" x14ac:dyDescent="0.3">
      <c r="A660">
        <f t="shared" si="115"/>
        <v>657</v>
      </c>
      <c r="B660">
        <f t="shared" si="116"/>
        <v>55</v>
      </c>
      <c r="C660">
        <f t="shared" si="117"/>
        <v>662</v>
      </c>
      <c r="D660">
        <f t="shared" si="111"/>
        <v>56</v>
      </c>
      <c r="E660">
        <f>[1]model_point!$C$2+D660-1</f>
        <v>60</v>
      </c>
      <c r="F660">
        <f>VLOOKUP(E660,'[1]202512 BE mortality'!$A:$C,3,0)</f>
        <v>6.1089616289083104E-3</v>
      </c>
      <c r="G660">
        <f>VLOOKUP(D660,'[1]202512 BE lapse'!$C:$D,2,0)</f>
        <v>7.3007682485278476E-3</v>
      </c>
      <c r="H660">
        <f>VLOOKUP($B660,'[1]202512 RFR'!$A:$B,2,0)</f>
        <v>1.2E-2</v>
      </c>
      <c r="I660">
        <f t="shared" si="118"/>
        <v>1.1353727777872904</v>
      </c>
      <c r="J660">
        <f t="shared" si="119"/>
        <v>5.7991648005593834E-4</v>
      </c>
      <c r="K660">
        <f t="shared" si="120"/>
        <v>0</v>
      </c>
      <c r="L660">
        <f t="shared" si="112"/>
        <v>0.45080413691671156</v>
      </c>
      <c r="M660">
        <f>IF(AND(MOD(C660,12)=1,D660&lt;='[1]Product parameters'!$C$2),I659*[1]model_point!$G$2,0)</f>
        <v>0</v>
      </c>
      <c r="N660">
        <f t="shared" si="113"/>
        <v>0</v>
      </c>
      <c r="O660">
        <f>[2]results_sample_product_cf!G659</f>
        <v>0</v>
      </c>
      <c r="P660">
        <f>[2]results_sample_product_cf!H659</f>
        <v>0</v>
      </c>
      <c r="Q660">
        <f t="shared" si="114"/>
        <v>0</v>
      </c>
      <c r="R660">
        <f t="shared" si="110"/>
        <v>0</v>
      </c>
    </row>
    <row r="661" spans="1:18" x14ac:dyDescent="0.3">
      <c r="A661">
        <f t="shared" si="115"/>
        <v>658</v>
      </c>
      <c r="B661">
        <f t="shared" si="116"/>
        <v>55</v>
      </c>
      <c r="C661">
        <f t="shared" si="117"/>
        <v>663</v>
      </c>
      <c r="D661">
        <f t="shared" si="111"/>
        <v>56</v>
      </c>
      <c r="E661">
        <f>[1]model_point!$C$2+D661-1</f>
        <v>60</v>
      </c>
      <c r="F661">
        <f>VLOOKUP(E661,'[1]202512 BE mortality'!$A:$C,3,0)</f>
        <v>6.1089616289083104E-3</v>
      </c>
      <c r="G661">
        <f>VLOOKUP(D661,'[1]202512 BE lapse'!$C:$D,2,0)</f>
        <v>7.3007682485278476E-3</v>
      </c>
      <c r="H661">
        <f>VLOOKUP($B661,'[1]202512 RFR'!$A:$B,2,0)</f>
        <v>1.2E-2</v>
      </c>
      <c r="I661">
        <f t="shared" si="118"/>
        <v>1.134793157361045</v>
      </c>
      <c r="J661">
        <f t="shared" si="119"/>
        <v>5.7962042624530206E-4</v>
      </c>
      <c r="K661">
        <f t="shared" si="120"/>
        <v>0</v>
      </c>
      <c r="L661">
        <f t="shared" si="112"/>
        <v>0.45035623881180775</v>
      </c>
      <c r="M661">
        <f>IF(AND(MOD(C661,12)=1,D661&lt;='[1]Product parameters'!$C$2),I660*[1]model_point!$G$2,0)</f>
        <v>0</v>
      </c>
      <c r="N661">
        <f t="shared" si="113"/>
        <v>0</v>
      </c>
      <c r="O661">
        <f>[2]results_sample_product_cf!G660</f>
        <v>0</v>
      </c>
      <c r="P661">
        <f>[2]results_sample_product_cf!H660</f>
        <v>0</v>
      </c>
      <c r="Q661">
        <f t="shared" si="114"/>
        <v>0</v>
      </c>
      <c r="R661">
        <f t="shared" si="110"/>
        <v>0</v>
      </c>
    </row>
    <row r="662" spans="1:18" x14ac:dyDescent="0.3">
      <c r="A662">
        <f t="shared" si="115"/>
        <v>659</v>
      </c>
      <c r="B662">
        <f t="shared" si="116"/>
        <v>55</v>
      </c>
      <c r="C662">
        <f t="shared" si="117"/>
        <v>664</v>
      </c>
      <c r="D662">
        <f t="shared" si="111"/>
        <v>56</v>
      </c>
      <c r="E662">
        <f>[1]model_point!$C$2+D662-1</f>
        <v>60</v>
      </c>
      <c r="F662">
        <f>VLOOKUP(E662,'[1]202512 BE mortality'!$A:$C,3,0)</f>
        <v>6.1089616289083104E-3</v>
      </c>
      <c r="G662">
        <f>VLOOKUP(D662,'[1]202512 BE lapse'!$C:$D,2,0)</f>
        <v>7.3007682485278476E-3</v>
      </c>
      <c r="H662">
        <f>VLOOKUP($B662,'[1]202512 RFR'!$A:$B,2,0)</f>
        <v>1.2E-2</v>
      </c>
      <c r="I662">
        <f t="shared" si="118"/>
        <v>1.1342138328374716</v>
      </c>
      <c r="J662">
        <f t="shared" si="119"/>
        <v>5.7932452357342755E-4</v>
      </c>
      <c r="K662">
        <f t="shared" si="120"/>
        <v>0</v>
      </c>
      <c r="L662">
        <f t="shared" si="112"/>
        <v>0.44990878571771009</v>
      </c>
      <c r="M662">
        <f>IF(AND(MOD(C662,12)=1,D662&lt;='[1]Product parameters'!$C$2),I661*[1]model_point!$G$2,0)</f>
        <v>0</v>
      </c>
      <c r="N662">
        <f t="shared" si="113"/>
        <v>0</v>
      </c>
      <c r="O662">
        <f>[2]results_sample_product_cf!G661</f>
        <v>0</v>
      </c>
      <c r="P662">
        <f>[2]results_sample_product_cf!H661</f>
        <v>0</v>
      </c>
      <c r="Q662">
        <f t="shared" si="114"/>
        <v>0</v>
      </c>
      <c r="R662">
        <f t="shared" si="110"/>
        <v>0</v>
      </c>
    </row>
    <row r="663" spans="1:18" x14ac:dyDescent="0.3">
      <c r="A663">
        <f t="shared" si="115"/>
        <v>660</v>
      </c>
      <c r="B663">
        <f t="shared" si="116"/>
        <v>55</v>
      </c>
      <c r="C663">
        <f t="shared" si="117"/>
        <v>665</v>
      </c>
      <c r="D663">
        <f t="shared" si="111"/>
        <v>56</v>
      </c>
      <c r="E663">
        <f>[1]model_point!$C$2+D663-1</f>
        <v>60</v>
      </c>
      <c r="F663">
        <f>VLOOKUP(E663,'[1]202512 BE mortality'!$A:$C,3,0)</f>
        <v>6.1089616289083104E-3</v>
      </c>
      <c r="G663">
        <f>VLOOKUP(D663,'[1]202512 BE lapse'!$C:$D,2,0)</f>
        <v>7.3007682485278476E-3</v>
      </c>
      <c r="H663">
        <f>VLOOKUP($B663,'[1]202512 RFR'!$A:$B,2,0)</f>
        <v>1.2E-2</v>
      </c>
      <c r="I663">
        <f t="shared" si="118"/>
        <v>1.1336348040655084</v>
      </c>
      <c r="J663">
        <f t="shared" si="119"/>
        <v>5.790287719631569E-4</v>
      </c>
      <c r="K663">
        <f t="shared" si="120"/>
        <v>0</v>
      </c>
      <c r="L663">
        <f t="shared" si="112"/>
        <v>0.44946177719227642</v>
      </c>
      <c r="M663">
        <f>IF(AND(MOD(C663,12)=1,D663&lt;='[1]Product parameters'!$C$2),I662*[1]model_point!$G$2,0)</f>
        <v>0</v>
      </c>
      <c r="N663">
        <f t="shared" si="113"/>
        <v>0</v>
      </c>
      <c r="O663">
        <f>[2]results_sample_product_cf!G662</f>
        <v>0</v>
      </c>
      <c r="P663">
        <f>[2]results_sample_product_cf!H662</f>
        <v>0</v>
      </c>
      <c r="Q663">
        <f t="shared" si="114"/>
        <v>0</v>
      </c>
      <c r="R663">
        <f t="shared" si="110"/>
        <v>0</v>
      </c>
    </row>
    <row r="664" spans="1:18" x14ac:dyDescent="0.3">
      <c r="A664">
        <f t="shared" si="115"/>
        <v>661</v>
      </c>
      <c r="B664">
        <f t="shared" si="116"/>
        <v>56</v>
      </c>
      <c r="C664">
        <f t="shared" si="117"/>
        <v>666</v>
      </c>
      <c r="D664">
        <f t="shared" si="111"/>
        <v>56</v>
      </c>
      <c r="E664">
        <f>[1]model_point!$C$2+D664-1</f>
        <v>60</v>
      </c>
      <c r="F664">
        <f>VLOOKUP(E664,'[1]202512 BE mortality'!$A:$C,3,0)</f>
        <v>6.1089616289083104E-3</v>
      </c>
      <c r="G664">
        <f>VLOOKUP(D664,'[1]202512 BE lapse'!$C:$D,2,0)</f>
        <v>7.3007682485278476E-3</v>
      </c>
      <c r="H664">
        <f>VLOOKUP($B664,'[1]202512 RFR'!$A:$B,2,0)</f>
        <v>1.2E-2</v>
      </c>
      <c r="I664">
        <f t="shared" si="118"/>
        <v>1.133056070894171</v>
      </c>
      <c r="J664">
        <f t="shared" si="119"/>
        <v>5.7873317133737159E-4</v>
      </c>
      <c r="K664">
        <f t="shared" si="120"/>
        <v>0</v>
      </c>
      <c r="L664">
        <f t="shared" si="112"/>
        <v>0.44901521279380396</v>
      </c>
      <c r="M664">
        <f>IF(AND(MOD(C664,12)=1,D664&lt;='[1]Product parameters'!$C$2),I663*[1]model_point!$G$2,0)</f>
        <v>0</v>
      </c>
      <c r="N664">
        <f t="shared" si="113"/>
        <v>0</v>
      </c>
      <c r="O664">
        <f>[2]results_sample_product_cf!G663</f>
        <v>0</v>
      </c>
      <c r="P664">
        <f>[2]results_sample_product_cf!H663</f>
        <v>0</v>
      </c>
      <c r="Q664">
        <f t="shared" si="114"/>
        <v>0</v>
      </c>
      <c r="R664">
        <f t="shared" si="110"/>
        <v>0</v>
      </c>
    </row>
    <row r="665" spans="1:18" x14ac:dyDescent="0.3">
      <c r="A665">
        <f t="shared" si="115"/>
        <v>662</v>
      </c>
      <c r="B665">
        <f t="shared" si="116"/>
        <v>56</v>
      </c>
      <c r="C665">
        <f t="shared" si="117"/>
        <v>667</v>
      </c>
      <c r="D665">
        <f t="shared" si="111"/>
        <v>56</v>
      </c>
      <c r="E665">
        <f>[1]model_point!$C$2+D665-1</f>
        <v>60</v>
      </c>
      <c r="F665">
        <f>VLOOKUP(E665,'[1]202512 BE mortality'!$A:$C,3,0)</f>
        <v>6.1089616289083104E-3</v>
      </c>
      <c r="G665">
        <f>VLOOKUP(D665,'[1]202512 BE lapse'!$C:$D,2,0)</f>
        <v>7.3007682485278476E-3</v>
      </c>
      <c r="H665">
        <f>VLOOKUP($B665,'[1]202512 RFR'!$A:$B,2,0)</f>
        <v>1.2E-2</v>
      </c>
      <c r="I665">
        <f t="shared" si="118"/>
        <v>1.1324776331725521</v>
      </c>
      <c r="J665">
        <f t="shared" si="119"/>
        <v>5.7843772161899221E-4</v>
      </c>
      <c r="K665">
        <f t="shared" si="120"/>
        <v>0</v>
      </c>
      <c r="L665">
        <f t="shared" si="112"/>
        <v>0.44856909208102874</v>
      </c>
      <c r="M665">
        <f>IF(AND(MOD(C665,12)=1,D665&lt;='[1]Product parameters'!$C$2),I664*[1]model_point!$G$2,0)</f>
        <v>0</v>
      </c>
      <c r="N665">
        <f t="shared" si="113"/>
        <v>0</v>
      </c>
      <c r="O665">
        <f>[2]results_sample_product_cf!G664</f>
        <v>0</v>
      </c>
      <c r="P665">
        <f>[2]results_sample_product_cf!H664</f>
        <v>0</v>
      </c>
      <c r="Q665">
        <f t="shared" si="114"/>
        <v>0</v>
      </c>
      <c r="R665">
        <f t="shared" si="110"/>
        <v>0</v>
      </c>
    </row>
    <row r="666" spans="1:18" x14ac:dyDescent="0.3">
      <c r="A666">
        <f t="shared" si="115"/>
        <v>663</v>
      </c>
      <c r="B666">
        <f t="shared" si="116"/>
        <v>56</v>
      </c>
      <c r="C666">
        <f t="shared" si="117"/>
        <v>668</v>
      </c>
      <c r="D666">
        <f t="shared" si="111"/>
        <v>56</v>
      </c>
      <c r="E666">
        <f>[1]model_point!$C$2+D666-1</f>
        <v>60</v>
      </c>
      <c r="F666">
        <f>VLOOKUP(E666,'[1]202512 BE mortality'!$A:$C,3,0)</f>
        <v>6.1089616289083104E-3</v>
      </c>
      <c r="G666">
        <f>VLOOKUP(D666,'[1]202512 BE lapse'!$C:$D,2,0)</f>
        <v>7.3007682485278476E-3</v>
      </c>
      <c r="H666">
        <f>VLOOKUP($B666,'[1]202512 RFR'!$A:$B,2,0)</f>
        <v>1.2E-2</v>
      </c>
      <c r="I666">
        <f t="shared" si="118"/>
        <v>1.1318994907498212</v>
      </c>
      <c r="J666">
        <f t="shared" si="119"/>
        <v>5.7814242273097893E-4</v>
      </c>
      <c r="K666">
        <f t="shared" si="120"/>
        <v>0</v>
      </c>
      <c r="L666">
        <f t="shared" si="112"/>
        <v>0.44812341461312516</v>
      </c>
      <c r="M666">
        <f>IF(AND(MOD(C666,12)=1,D666&lt;='[1]Product parameters'!$C$2),I665*[1]model_point!$G$2,0)</f>
        <v>0</v>
      </c>
      <c r="N666">
        <f t="shared" si="113"/>
        <v>0</v>
      </c>
      <c r="O666">
        <f>[2]results_sample_product_cf!G665</f>
        <v>0</v>
      </c>
      <c r="P666">
        <f>[2]results_sample_product_cf!H665</f>
        <v>0</v>
      </c>
      <c r="Q666">
        <f t="shared" si="114"/>
        <v>0</v>
      </c>
      <c r="R666">
        <f t="shared" si="110"/>
        <v>0</v>
      </c>
    </row>
    <row r="667" spans="1:18" x14ac:dyDescent="0.3">
      <c r="A667">
        <f t="shared" si="115"/>
        <v>664</v>
      </c>
      <c r="B667">
        <f t="shared" si="116"/>
        <v>56</v>
      </c>
      <c r="C667">
        <f t="shared" si="117"/>
        <v>669</v>
      </c>
      <c r="D667">
        <f t="shared" si="111"/>
        <v>56</v>
      </c>
      <c r="E667">
        <f>[1]model_point!$C$2+D667-1</f>
        <v>60</v>
      </c>
      <c r="F667">
        <f>VLOOKUP(E667,'[1]202512 BE mortality'!$A:$C,3,0)</f>
        <v>6.1089616289083104E-3</v>
      </c>
      <c r="G667">
        <f>VLOOKUP(D667,'[1]202512 BE lapse'!$C:$D,2,0)</f>
        <v>7.3007682485278476E-3</v>
      </c>
      <c r="H667">
        <f>VLOOKUP($B667,'[1]202512 RFR'!$A:$B,2,0)</f>
        <v>1.2E-2</v>
      </c>
      <c r="I667">
        <f t="shared" si="118"/>
        <v>1.1313216434752249</v>
      </c>
      <c r="J667">
        <f t="shared" si="119"/>
        <v>5.7784727459633117E-4</v>
      </c>
      <c r="K667">
        <f t="shared" si="120"/>
        <v>0</v>
      </c>
      <c r="L667">
        <f t="shared" si="112"/>
        <v>0.44767817994970566</v>
      </c>
      <c r="M667">
        <f>IF(AND(MOD(C667,12)=1,D667&lt;='[1]Product parameters'!$C$2),I666*[1]model_point!$G$2,0)</f>
        <v>0</v>
      </c>
      <c r="N667">
        <f t="shared" si="113"/>
        <v>0</v>
      </c>
      <c r="O667">
        <f>[2]results_sample_product_cf!G666</f>
        <v>0</v>
      </c>
      <c r="P667">
        <f>[2]results_sample_product_cf!H666</f>
        <v>0</v>
      </c>
      <c r="Q667">
        <f t="shared" si="114"/>
        <v>0</v>
      </c>
      <c r="R667">
        <f t="shared" si="110"/>
        <v>0</v>
      </c>
    </row>
    <row r="668" spans="1:18" x14ac:dyDescent="0.3">
      <c r="A668">
        <f t="shared" si="115"/>
        <v>665</v>
      </c>
      <c r="B668">
        <f t="shared" si="116"/>
        <v>56</v>
      </c>
      <c r="C668">
        <f t="shared" si="117"/>
        <v>670</v>
      </c>
      <c r="D668">
        <f t="shared" si="111"/>
        <v>56</v>
      </c>
      <c r="E668">
        <f>[1]model_point!$C$2+D668-1</f>
        <v>60</v>
      </c>
      <c r="F668">
        <f>VLOOKUP(E668,'[1]202512 BE mortality'!$A:$C,3,0)</f>
        <v>6.1089616289083104E-3</v>
      </c>
      <c r="G668">
        <f>VLOOKUP(D668,'[1]202512 BE lapse'!$C:$D,2,0)</f>
        <v>7.3007682485278476E-3</v>
      </c>
      <c r="H668">
        <f>VLOOKUP($B668,'[1]202512 RFR'!$A:$B,2,0)</f>
        <v>1.2E-2</v>
      </c>
      <c r="I668">
        <f t="shared" si="118"/>
        <v>1.1307440911980868</v>
      </c>
      <c r="J668">
        <f t="shared" si="119"/>
        <v>5.775522771380876E-4</v>
      </c>
      <c r="K668">
        <f t="shared" si="120"/>
        <v>0</v>
      </c>
      <c r="L668">
        <f t="shared" si="112"/>
        <v>0.44723338765082021</v>
      </c>
      <c r="M668">
        <f>IF(AND(MOD(C668,12)=1,D668&lt;='[1]Product parameters'!$C$2),I667*[1]model_point!$G$2,0)</f>
        <v>0</v>
      </c>
      <c r="N668">
        <f t="shared" si="113"/>
        <v>0</v>
      </c>
      <c r="O668">
        <f>[2]results_sample_product_cf!G667</f>
        <v>0</v>
      </c>
      <c r="P668">
        <f>[2]results_sample_product_cf!H667</f>
        <v>0</v>
      </c>
      <c r="Q668">
        <f t="shared" si="114"/>
        <v>0</v>
      </c>
      <c r="R668">
        <f t="shared" si="110"/>
        <v>0</v>
      </c>
    </row>
    <row r="669" spans="1:18" x14ac:dyDescent="0.3">
      <c r="A669">
        <f t="shared" si="115"/>
        <v>666</v>
      </c>
      <c r="B669">
        <f t="shared" si="116"/>
        <v>56</v>
      </c>
      <c r="C669">
        <f t="shared" si="117"/>
        <v>671</v>
      </c>
      <c r="D669">
        <f t="shared" si="111"/>
        <v>56</v>
      </c>
      <c r="E669">
        <f>[1]model_point!$C$2+D669-1</f>
        <v>60</v>
      </c>
      <c r="F669">
        <f>VLOOKUP(E669,'[1]202512 BE mortality'!$A:$C,3,0)</f>
        <v>6.1089616289083104E-3</v>
      </c>
      <c r="G669">
        <f>VLOOKUP(D669,'[1]202512 BE lapse'!$C:$D,2,0)</f>
        <v>7.3007682485278476E-3</v>
      </c>
      <c r="H669">
        <f>VLOOKUP($B669,'[1]202512 RFR'!$A:$B,2,0)</f>
        <v>1.2E-2</v>
      </c>
      <c r="I669">
        <f t="shared" si="118"/>
        <v>1.1301668337678075</v>
      </c>
      <c r="J669">
        <f t="shared" si="119"/>
        <v>5.7725743027932624E-4</v>
      </c>
      <c r="K669">
        <f t="shared" si="120"/>
        <v>0</v>
      </c>
      <c r="L669">
        <f t="shared" si="112"/>
        <v>0.44678903727695596</v>
      </c>
      <c r="M669">
        <f>IF(AND(MOD(C669,12)=1,D669&lt;='[1]Product parameters'!$C$2),I668*[1]model_point!$G$2,0)</f>
        <v>0</v>
      </c>
      <c r="N669">
        <f t="shared" si="113"/>
        <v>0</v>
      </c>
      <c r="O669">
        <f>[2]results_sample_product_cf!G668</f>
        <v>0</v>
      </c>
      <c r="P669">
        <f>[2]results_sample_product_cf!H668</f>
        <v>0</v>
      </c>
      <c r="Q669">
        <f t="shared" si="114"/>
        <v>0</v>
      </c>
      <c r="R669">
        <f t="shared" si="110"/>
        <v>0</v>
      </c>
    </row>
    <row r="670" spans="1:18" x14ac:dyDescent="0.3">
      <c r="A670">
        <f t="shared" si="115"/>
        <v>667</v>
      </c>
      <c r="B670">
        <f t="shared" si="116"/>
        <v>56</v>
      </c>
      <c r="C670">
        <f t="shared" si="117"/>
        <v>672</v>
      </c>
      <c r="D670">
        <f t="shared" si="111"/>
        <v>56</v>
      </c>
      <c r="E670">
        <f>[1]model_point!$C$2+D670-1</f>
        <v>60</v>
      </c>
      <c r="F670">
        <f>VLOOKUP(E670,'[1]202512 BE mortality'!$A:$C,3,0)</f>
        <v>6.1089616289083104E-3</v>
      </c>
      <c r="G670">
        <f>VLOOKUP(D670,'[1]202512 BE lapse'!$C:$D,2,0)</f>
        <v>7.3007682485278476E-3</v>
      </c>
      <c r="H670">
        <f>VLOOKUP($B670,'[1]202512 RFR'!$A:$B,2,0)</f>
        <v>1.2E-2</v>
      </c>
      <c r="I670">
        <f t="shared" si="118"/>
        <v>1.1213429971695617</v>
      </c>
      <c r="J670">
        <f t="shared" si="119"/>
        <v>5.7696273394316436E-4</v>
      </c>
      <c r="K670">
        <f t="shared" si="120"/>
        <v>8.2468738643027024E-3</v>
      </c>
      <c r="L670">
        <f t="shared" si="112"/>
        <v>0.44634512838903662</v>
      </c>
      <c r="M670">
        <f>IF(AND(MOD(C670,12)=1,D670&lt;='[1]Product parameters'!$C$2),I669*[1]model_point!$G$2,0)</f>
        <v>0</v>
      </c>
      <c r="N670">
        <f t="shared" si="113"/>
        <v>0</v>
      </c>
      <c r="O670">
        <f>[2]results_sample_product_cf!G669</f>
        <v>0</v>
      </c>
      <c r="P670">
        <f>[2]results_sample_product_cf!H669</f>
        <v>0</v>
      </c>
      <c r="Q670">
        <f t="shared" si="114"/>
        <v>0</v>
      </c>
      <c r="R670">
        <f t="shared" si="110"/>
        <v>0</v>
      </c>
    </row>
    <row r="671" spans="1:18" x14ac:dyDescent="0.3">
      <c r="A671">
        <f t="shared" si="115"/>
        <v>668</v>
      </c>
      <c r="B671">
        <f t="shared" si="116"/>
        <v>56</v>
      </c>
      <c r="C671">
        <f t="shared" si="117"/>
        <v>673</v>
      </c>
      <c r="D671">
        <f t="shared" si="111"/>
        <v>57</v>
      </c>
      <c r="E671">
        <f>[1]model_point!$C$2+D671-1</f>
        <v>61</v>
      </c>
      <c r="F671">
        <f>VLOOKUP(E671,'[1]202512 BE mortality'!$A:$C,3,0)</f>
        <v>2.0596554292190163E-3</v>
      </c>
      <c r="G671">
        <f>VLOOKUP(D671,'[1]202512 BE lapse'!$C:$D,2,0)</f>
        <v>9.5786342774906667E-3</v>
      </c>
      <c r="H671">
        <f>VLOOKUP($B671,'[1]202512 RFR'!$A:$B,2,0)</f>
        <v>1.2E-2</v>
      </c>
      <c r="I671">
        <f t="shared" si="118"/>
        <v>1.1211503502254512</v>
      </c>
      <c r="J671">
        <f t="shared" si="119"/>
        <v>1.9264694411052434E-4</v>
      </c>
      <c r="K671">
        <f t="shared" si="120"/>
        <v>0</v>
      </c>
      <c r="L671">
        <f t="shared" si="112"/>
        <v>0.44590166054842223</v>
      </c>
      <c r="M671">
        <f>IF(AND(MOD(C671,12)=1,D671&lt;='[1]Product parameters'!$C$2),I670*[1]model_point!$G$2,0)</f>
        <v>0</v>
      </c>
      <c r="N671">
        <f t="shared" si="113"/>
        <v>0</v>
      </c>
      <c r="O671">
        <f>[2]results_sample_product_cf!G670</f>
        <v>0</v>
      </c>
      <c r="P671">
        <f>[2]results_sample_product_cf!H670</f>
        <v>0</v>
      </c>
      <c r="Q671">
        <f t="shared" si="114"/>
        <v>0</v>
      </c>
      <c r="R671">
        <f t="shared" si="110"/>
        <v>0</v>
      </c>
    </row>
    <row r="672" spans="1:18" x14ac:dyDescent="0.3">
      <c r="A672">
        <f t="shared" si="115"/>
        <v>669</v>
      </c>
      <c r="B672">
        <f t="shared" si="116"/>
        <v>56</v>
      </c>
      <c r="C672">
        <f t="shared" si="117"/>
        <v>674</v>
      </c>
      <c r="D672">
        <f t="shared" si="111"/>
        <v>57</v>
      </c>
      <c r="E672">
        <f>[1]model_point!$C$2+D672-1</f>
        <v>61</v>
      </c>
      <c r="F672">
        <f>VLOOKUP(E672,'[1]202512 BE mortality'!$A:$C,3,0)</f>
        <v>2.0596554292190163E-3</v>
      </c>
      <c r="G672">
        <f>VLOOKUP(D672,'[1]202512 BE lapse'!$C:$D,2,0)</f>
        <v>9.5786342774906667E-3</v>
      </c>
      <c r="H672">
        <f>VLOOKUP($B672,'[1]202512 RFR'!$A:$B,2,0)</f>
        <v>1.2E-2</v>
      </c>
      <c r="I672">
        <f t="shared" si="118"/>
        <v>1.1209577363781229</v>
      </c>
      <c r="J672">
        <f t="shared" si="119"/>
        <v>1.926138473282117E-4</v>
      </c>
      <c r="K672">
        <f t="shared" si="120"/>
        <v>0</v>
      </c>
      <c r="L672">
        <f t="shared" si="112"/>
        <v>0.4454586333169086</v>
      </c>
      <c r="M672">
        <f>IF(AND(MOD(C672,12)=1,D672&lt;='[1]Product parameters'!$C$2),I671*[1]model_point!$G$2,0)</f>
        <v>0</v>
      </c>
      <c r="N672">
        <f t="shared" si="113"/>
        <v>0</v>
      </c>
      <c r="O672">
        <f>[2]results_sample_product_cf!G671</f>
        <v>0</v>
      </c>
      <c r="P672">
        <f>[2]results_sample_product_cf!H671</f>
        <v>0</v>
      </c>
      <c r="Q672">
        <f t="shared" si="114"/>
        <v>0</v>
      </c>
      <c r="R672">
        <f t="shared" si="110"/>
        <v>0</v>
      </c>
    </row>
    <row r="673" spans="1:18" x14ac:dyDescent="0.3">
      <c r="A673">
        <f t="shared" si="115"/>
        <v>670</v>
      </c>
      <c r="B673">
        <f t="shared" si="116"/>
        <v>56</v>
      </c>
      <c r="C673">
        <f t="shared" si="117"/>
        <v>675</v>
      </c>
      <c r="D673">
        <f t="shared" si="111"/>
        <v>57</v>
      </c>
      <c r="E673">
        <f>[1]model_point!$C$2+D673-1</f>
        <v>61</v>
      </c>
      <c r="F673">
        <f>VLOOKUP(E673,'[1]202512 BE mortality'!$A:$C,3,0)</f>
        <v>2.0596554292190163E-3</v>
      </c>
      <c r="G673">
        <f>VLOOKUP(D673,'[1]202512 BE lapse'!$C:$D,2,0)</f>
        <v>9.5786342774906667E-3</v>
      </c>
      <c r="H673">
        <f>VLOOKUP($B673,'[1]202512 RFR'!$A:$B,2,0)</f>
        <v>1.2E-2</v>
      </c>
      <c r="I673">
        <f t="shared" si="118"/>
        <v>1.1207651556218909</v>
      </c>
      <c r="J673">
        <f t="shared" si="119"/>
        <v>1.9258075623193265E-4</v>
      </c>
      <c r="K673">
        <f t="shared" si="120"/>
        <v>0</v>
      </c>
      <c r="L673">
        <f t="shared" si="112"/>
        <v>0.44501604625672703</v>
      </c>
      <c r="M673">
        <f>IF(AND(MOD(C673,12)=1,D673&lt;='[1]Product parameters'!$C$2),I672*[1]model_point!$G$2,0)</f>
        <v>0</v>
      </c>
      <c r="N673">
        <f t="shared" si="113"/>
        <v>0</v>
      </c>
      <c r="O673">
        <f>[2]results_sample_product_cf!G672</f>
        <v>0</v>
      </c>
      <c r="P673">
        <f>[2]results_sample_product_cf!H672</f>
        <v>0</v>
      </c>
      <c r="Q673">
        <f t="shared" si="114"/>
        <v>0</v>
      </c>
      <c r="R673">
        <f t="shared" si="110"/>
        <v>0</v>
      </c>
    </row>
    <row r="674" spans="1:18" x14ac:dyDescent="0.3">
      <c r="A674">
        <f t="shared" si="115"/>
        <v>671</v>
      </c>
      <c r="B674">
        <f t="shared" si="116"/>
        <v>56</v>
      </c>
      <c r="C674">
        <f t="shared" si="117"/>
        <v>676</v>
      </c>
      <c r="D674">
        <f t="shared" si="111"/>
        <v>57</v>
      </c>
      <c r="E674">
        <f>[1]model_point!$C$2+D674-1</f>
        <v>61</v>
      </c>
      <c r="F674">
        <f>VLOOKUP(E674,'[1]202512 BE mortality'!$A:$C,3,0)</f>
        <v>2.0596554292190163E-3</v>
      </c>
      <c r="G674">
        <f>VLOOKUP(D674,'[1]202512 BE lapse'!$C:$D,2,0)</f>
        <v>9.5786342774906667E-3</v>
      </c>
      <c r="H674">
        <f>VLOOKUP($B674,'[1]202512 RFR'!$A:$B,2,0)</f>
        <v>1.2E-2</v>
      </c>
      <c r="I674">
        <f t="shared" si="118"/>
        <v>1.1205726079510703</v>
      </c>
      <c r="J674">
        <f t="shared" si="119"/>
        <v>1.9254767082071039E-4</v>
      </c>
      <c r="K674">
        <f t="shared" si="120"/>
        <v>0</v>
      </c>
      <c r="L674">
        <f t="shared" si="112"/>
        <v>0.44457389893054355</v>
      </c>
      <c r="M674">
        <f>IF(AND(MOD(C674,12)=1,D674&lt;='[1]Product parameters'!$C$2),I673*[1]model_point!$G$2,0)</f>
        <v>0</v>
      </c>
      <c r="N674">
        <f t="shared" si="113"/>
        <v>0</v>
      </c>
      <c r="O674">
        <f>[2]results_sample_product_cf!G673</f>
        <v>0</v>
      </c>
      <c r="P674">
        <f>[2]results_sample_product_cf!H673</f>
        <v>0</v>
      </c>
      <c r="Q674">
        <f t="shared" si="114"/>
        <v>0</v>
      </c>
      <c r="R674">
        <f t="shared" si="110"/>
        <v>0</v>
      </c>
    </row>
    <row r="675" spans="1:18" x14ac:dyDescent="0.3">
      <c r="A675">
        <f t="shared" si="115"/>
        <v>672</v>
      </c>
      <c r="B675">
        <f t="shared" si="116"/>
        <v>56</v>
      </c>
      <c r="C675">
        <f t="shared" si="117"/>
        <v>677</v>
      </c>
      <c r="D675">
        <f t="shared" si="111"/>
        <v>57</v>
      </c>
      <c r="E675">
        <f>[1]model_point!$C$2+D675-1</f>
        <v>61</v>
      </c>
      <c r="F675">
        <f>VLOOKUP(E675,'[1]202512 BE mortality'!$A:$C,3,0)</f>
        <v>2.0596554292190163E-3</v>
      </c>
      <c r="G675">
        <f>VLOOKUP(D675,'[1]202512 BE lapse'!$C:$D,2,0)</f>
        <v>9.5786342774906667E-3</v>
      </c>
      <c r="H675">
        <f>VLOOKUP($B675,'[1]202512 RFR'!$A:$B,2,0)</f>
        <v>1.2E-2</v>
      </c>
      <c r="I675">
        <f t="shared" si="118"/>
        <v>1.1203800933599768</v>
      </c>
      <c r="J675">
        <f t="shared" si="119"/>
        <v>1.9251459109356818E-4</v>
      </c>
      <c r="K675">
        <f t="shared" si="120"/>
        <v>0</v>
      </c>
      <c r="L675">
        <f t="shared" si="112"/>
        <v>0.44413219090145895</v>
      </c>
      <c r="M675">
        <f>IF(AND(MOD(C675,12)=1,D675&lt;='[1]Product parameters'!$C$2),I674*[1]model_point!$G$2,0)</f>
        <v>0</v>
      </c>
      <c r="N675">
        <f t="shared" si="113"/>
        <v>0</v>
      </c>
      <c r="O675">
        <f>[2]results_sample_product_cf!G674</f>
        <v>0</v>
      </c>
      <c r="P675">
        <f>[2]results_sample_product_cf!H674</f>
        <v>0</v>
      </c>
      <c r="Q675">
        <f t="shared" si="114"/>
        <v>0</v>
      </c>
      <c r="R675">
        <f t="shared" si="110"/>
        <v>0</v>
      </c>
    </row>
    <row r="676" spans="1:18" x14ac:dyDescent="0.3">
      <c r="A676">
        <f t="shared" si="115"/>
        <v>673</v>
      </c>
      <c r="B676">
        <f t="shared" si="116"/>
        <v>57</v>
      </c>
      <c r="C676">
        <f t="shared" si="117"/>
        <v>678</v>
      </c>
      <c r="D676">
        <f t="shared" si="111"/>
        <v>57</v>
      </c>
      <c r="E676">
        <f>[1]model_point!$C$2+D676-1</f>
        <v>61</v>
      </c>
      <c r="F676">
        <f>VLOOKUP(E676,'[1]202512 BE mortality'!$A:$C,3,0)</f>
        <v>2.0596554292190163E-3</v>
      </c>
      <c r="G676">
        <f>VLOOKUP(D676,'[1]202512 BE lapse'!$C:$D,2,0)</f>
        <v>9.5786342774906667E-3</v>
      </c>
      <c r="H676">
        <f>VLOOKUP($B676,'[1]202512 RFR'!$A:$B,2,0)</f>
        <v>1.2E-2</v>
      </c>
      <c r="I676">
        <f t="shared" si="118"/>
        <v>1.1201876118429273</v>
      </c>
      <c r="J676">
        <f t="shared" si="119"/>
        <v>1.9248151704952948E-4</v>
      </c>
      <c r="K676">
        <f t="shared" si="120"/>
        <v>0</v>
      </c>
      <c r="L676">
        <f t="shared" si="112"/>
        <v>0.44369092173300789</v>
      </c>
      <c r="M676">
        <f>IF(AND(MOD(C676,12)=1,D676&lt;='[1]Product parameters'!$C$2),I675*[1]model_point!$G$2,0)</f>
        <v>0</v>
      </c>
      <c r="N676">
        <f t="shared" si="113"/>
        <v>0</v>
      </c>
      <c r="O676">
        <f>[2]results_sample_product_cf!G675</f>
        <v>0</v>
      </c>
      <c r="P676">
        <f>[2]results_sample_product_cf!H675</f>
        <v>0</v>
      </c>
      <c r="Q676">
        <f t="shared" si="114"/>
        <v>0</v>
      </c>
      <c r="R676">
        <f t="shared" si="110"/>
        <v>0</v>
      </c>
    </row>
    <row r="677" spans="1:18" x14ac:dyDescent="0.3">
      <c r="A677">
        <f t="shared" si="115"/>
        <v>674</v>
      </c>
      <c r="B677">
        <f t="shared" si="116"/>
        <v>57</v>
      </c>
      <c r="C677">
        <f t="shared" si="117"/>
        <v>679</v>
      </c>
      <c r="D677">
        <f t="shared" si="111"/>
        <v>57</v>
      </c>
      <c r="E677">
        <f>[1]model_point!$C$2+D677-1</f>
        <v>61</v>
      </c>
      <c r="F677">
        <f>VLOOKUP(E677,'[1]202512 BE mortality'!$A:$C,3,0)</f>
        <v>2.0596554292190163E-3</v>
      </c>
      <c r="G677">
        <f>VLOOKUP(D677,'[1]202512 BE lapse'!$C:$D,2,0)</f>
        <v>9.5786342774906667E-3</v>
      </c>
      <c r="H677">
        <f>VLOOKUP($B677,'[1]202512 RFR'!$A:$B,2,0)</f>
        <v>1.2E-2</v>
      </c>
      <c r="I677">
        <f t="shared" si="118"/>
        <v>1.1199951633942395</v>
      </c>
      <c r="J677">
        <f t="shared" si="119"/>
        <v>1.9244844868761797E-4</v>
      </c>
      <c r="K677">
        <f t="shared" si="120"/>
        <v>0</v>
      </c>
      <c r="L677">
        <f t="shared" si="112"/>
        <v>0.44325009098915885</v>
      </c>
      <c r="M677">
        <f>IF(AND(MOD(C677,12)=1,D677&lt;='[1]Product parameters'!$C$2),I676*[1]model_point!$G$2,0)</f>
        <v>0</v>
      </c>
      <c r="N677">
        <f t="shared" si="113"/>
        <v>0</v>
      </c>
      <c r="O677">
        <f>[2]results_sample_product_cf!G676</f>
        <v>0</v>
      </c>
      <c r="P677">
        <f>[2]results_sample_product_cf!H676</f>
        <v>0</v>
      </c>
      <c r="Q677">
        <f t="shared" si="114"/>
        <v>0</v>
      </c>
      <c r="R677">
        <f t="shared" si="110"/>
        <v>0</v>
      </c>
    </row>
    <row r="678" spans="1:18" x14ac:dyDescent="0.3">
      <c r="A678">
        <f t="shared" si="115"/>
        <v>675</v>
      </c>
      <c r="B678">
        <f t="shared" si="116"/>
        <v>57</v>
      </c>
      <c r="C678">
        <f t="shared" si="117"/>
        <v>680</v>
      </c>
      <c r="D678">
        <f t="shared" si="111"/>
        <v>57</v>
      </c>
      <c r="E678">
        <f>[1]model_point!$C$2+D678-1</f>
        <v>61</v>
      </c>
      <c r="F678">
        <f>VLOOKUP(E678,'[1]202512 BE mortality'!$A:$C,3,0)</f>
        <v>2.0596554292190163E-3</v>
      </c>
      <c r="G678">
        <f>VLOOKUP(D678,'[1]202512 BE lapse'!$C:$D,2,0)</f>
        <v>9.5786342774906667E-3</v>
      </c>
      <c r="H678">
        <f>VLOOKUP($B678,'[1]202512 RFR'!$A:$B,2,0)</f>
        <v>1.2E-2</v>
      </c>
      <c r="I678">
        <f t="shared" si="118"/>
        <v>1.1198027480082327</v>
      </c>
      <c r="J678">
        <f t="shared" si="119"/>
        <v>1.9241538600685743E-4</v>
      </c>
      <c r="K678">
        <f t="shared" si="120"/>
        <v>0</v>
      </c>
      <c r="L678">
        <f t="shared" si="112"/>
        <v>0.44280969823431343</v>
      </c>
      <c r="M678">
        <f>IF(AND(MOD(C678,12)=1,D678&lt;='[1]Product parameters'!$C$2),I677*[1]model_point!$G$2,0)</f>
        <v>0</v>
      </c>
      <c r="N678">
        <f t="shared" si="113"/>
        <v>0</v>
      </c>
      <c r="O678">
        <f>[2]results_sample_product_cf!G677</f>
        <v>0</v>
      </c>
      <c r="P678">
        <f>[2]results_sample_product_cf!H677</f>
        <v>0</v>
      </c>
      <c r="Q678">
        <f t="shared" si="114"/>
        <v>0</v>
      </c>
      <c r="R678">
        <f t="shared" si="110"/>
        <v>0</v>
      </c>
    </row>
    <row r="679" spans="1:18" x14ac:dyDescent="0.3">
      <c r="A679">
        <f t="shared" si="115"/>
        <v>676</v>
      </c>
      <c r="B679">
        <f t="shared" si="116"/>
        <v>57</v>
      </c>
      <c r="C679">
        <f t="shared" si="117"/>
        <v>681</v>
      </c>
      <c r="D679">
        <f t="shared" si="111"/>
        <v>57</v>
      </c>
      <c r="E679">
        <f>[1]model_point!$C$2+D679-1</f>
        <v>61</v>
      </c>
      <c r="F679">
        <f>VLOOKUP(E679,'[1]202512 BE mortality'!$A:$C,3,0)</f>
        <v>2.0596554292190163E-3</v>
      </c>
      <c r="G679">
        <f>VLOOKUP(D679,'[1]202512 BE lapse'!$C:$D,2,0)</f>
        <v>9.5786342774906667E-3</v>
      </c>
      <c r="H679">
        <f>VLOOKUP($B679,'[1]202512 RFR'!$A:$B,2,0)</f>
        <v>1.2E-2</v>
      </c>
      <c r="I679">
        <f t="shared" si="118"/>
        <v>1.1196103656792264</v>
      </c>
      <c r="J679">
        <f t="shared" si="119"/>
        <v>1.9238232900627183E-4</v>
      </c>
      <c r="K679">
        <f t="shared" si="120"/>
        <v>0</v>
      </c>
      <c r="L679">
        <f t="shared" si="112"/>
        <v>0.44236974303330601</v>
      </c>
      <c r="M679">
        <f>IF(AND(MOD(C679,12)=1,D679&lt;='[1]Product parameters'!$C$2),I678*[1]model_point!$G$2,0)</f>
        <v>0</v>
      </c>
      <c r="N679">
        <f t="shared" si="113"/>
        <v>0</v>
      </c>
      <c r="O679">
        <f>[2]results_sample_product_cf!G678</f>
        <v>0</v>
      </c>
      <c r="P679">
        <f>[2]results_sample_product_cf!H678</f>
        <v>0</v>
      </c>
      <c r="Q679">
        <f t="shared" si="114"/>
        <v>0</v>
      </c>
      <c r="R679">
        <f t="shared" si="110"/>
        <v>0</v>
      </c>
    </row>
    <row r="680" spans="1:18" x14ac:dyDescent="0.3">
      <c r="A680">
        <f t="shared" si="115"/>
        <v>677</v>
      </c>
      <c r="B680">
        <f t="shared" si="116"/>
        <v>57</v>
      </c>
      <c r="C680">
        <f t="shared" si="117"/>
        <v>682</v>
      </c>
      <c r="D680">
        <f t="shared" si="111"/>
        <v>57</v>
      </c>
      <c r="E680">
        <f>[1]model_point!$C$2+D680-1</f>
        <v>61</v>
      </c>
      <c r="F680">
        <f>VLOOKUP(E680,'[1]202512 BE mortality'!$A:$C,3,0)</f>
        <v>2.0596554292190163E-3</v>
      </c>
      <c r="G680">
        <f>VLOOKUP(D680,'[1]202512 BE lapse'!$C:$D,2,0)</f>
        <v>9.5786342774906667E-3</v>
      </c>
      <c r="H680">
        <f>VLOOKUP($B680,'[1]202512 RFR'!$A:$B,2,0)</f>
        <v>1.2E-2</v>
      </c>
      <c r="I680">
        <f t="shared" si="118"/>
        <v>1.1194180164015415</v>
      </c>
      <c r="J680">
        <f t="shared" si="119"/>
        <v>1.9234927768488536E-4</v>
      </c>
      <c r="K680">
        <f t="shared" si="120"/>
        <v>0</v>
      </c>
      <c r="L680">
        <f t="shared" si="112"/>
        <v>0.44193022495140338</v>
      </c>
      <c r="M680">
        <f>IF(AND(MOD(C680,12)=1,D680&lt;='[1]Product parameters'!$C$2),I679*[1]model_point!$G$2,0)</f>
        <v>0</v>
      </c>
      <c r="N680">
        <f t="shared" si="113"/>
        <v>0</v>
      </c>
      <c r="O680">
        <f>[2]results_sample_product_cf!G679</f>
        <v>0</v>
      </c>
      <c r="P680">
        <f>[2]results_sample_product_cf!H679</f>
        <v>0</v>
      </c>
      <c r="Q680">
        <f t="shared" si="114"/>
        <v>0</v>
      </c>
      <c r="R680">
        <f t="shared" si="110"/>
        <v>0</v>
      </c>
    </row>
    <row r="681" spans="1:18" x14ac:dyDescent="0.3">
      <c r="A681">
        <f t="shared" si="115"/>
        <v>678</v>
      </c>
      <c r="B681">
        <f t="shared" si="116"/>
        <v>57</v>
      </c>
      <c r="C681">
        <f t="shared" si="117"/>
        <v>683</v>
      </c>
      <c r="D681">
        <f t="shared" si="111"/>
        <v>57</v>
      </c>
      <c r="E681">
        <f>[1]model_point!$C$2+D681-1</f>
        <v>61</v>
      </c>
      <c r="F681">
        <f>VLOOKUP(E681,'[1]202512 BE mortality'!$A:$C,3,0)</f>
        <v>2.0596554292190163E-3</v>
      </c>
      <c r="G681">
        <f>VLOOKUP(D681,'[1]202512 BE lapse'!$C:$D,2,0)</f>
        <v>9.5786342774906667E-3</v>
      </c>
      <c r="H681">
        <f>VLOOKUP($B681,'[1]202512 RFR'!$A:$B,2,0)</f>
        <v>1.2E-2</v>
      </c>
      <c r="I681">
        <f t="shared" si="118"/>
        <v>1.1192257001694998</v>
      </c>
      <c r="J681">
        <f t="shared" si="119"/>
        <v>1.9231623204172231E-4</v>
      </c>
      <c r="K681">
        <f t="shared" si="120"/>
        <v>0</v>
      </c>
      <c r="L681">
        <f t="shared" si="112"/>
        <v>0.4414911435543043</v>
      </c>
      <c r="M681">
        <f>IF(AND(MOD(C681,12)=1,D681&lt;='[1]Product parameters'!$C$2),I680*[1]model_point!$G$2,0)</f>
        <v>0</v>
      </c>
      <c r="N681">
        <f t="shared" si="113"/>
        <v>0</v>
      </c>
      <c r="O681">
        <f>[2]results_sample_product_cf!G680</f>
        <v>0</v>
      </c>
      <c r="P681">
        <f>[2]results_sample_product_cf!H680</f>
        <v>0</v>
      </c>
      <c r="Q681">
        <f t="shared" si="114"/>
        <v>0</v>
      </c>
      <c r="R681">
        <f t="shared" si="110"/>
        <v>0</v>
      </c>
    </row>
    <row r="682" spans="1:18" x14ac:dyDescent="0.3">
      <c r="A682">
        <f t="shared" si="115"/>
        <v>679</v>
      </c>
      <c r="B682">
        <f t="shared" si="116"/>
        <v>57</v>
      </c>
      <c r="C682">
        <f t="shared" si="117"/>
        <v>684</v>
      </c>
      <c r="D682">
        <f t="shared" si="111"/>
        <v>57</v>
      </c>
      <c r="E682">
        <f>[1]model_point!$C$2+D682-1</f>
        <v>61</v>
      </c>
      <c r="F682">
        <f>VLOOKUP(E682,'[1]202512 BE mortality'!$A:$C,3,0)</f>
        <v>2.0596554292190163E-3</v>
      </c>
      <c r="G682">
        <f>VLOOKUP(D682,'[1]202512 BE lapse'!$C:$D,2,0)</f>
        <v>9.5786342774906667E-3</v>
      </c>
      <c r="H682">
        <f>VLOOKUP($B682,'[1]202512 RFR'!$A:$B,2,0)</f>
        <v>1.2E-2</v>
      </c>
      <c r="I682">
        <f t="shared" si="118"/>
        <v>1.1083146051319066</v>
      </c>
      <c r="J682">
        <f t="shared" si="119"/>
        <v>1.9228319207580715E-4</v>
      </c>
      <c r="K682">
        <f t="shared" si="120"/>
        <v>1.071881184551746E-2</v>
      </c>
      <c r="L682">
        <f t="shared" si="112"/>
        <v>0.44105249840813893</v>
      </c>
      <c r="M682">
        <f>IF(AND(MOD(C682,12)=1,D682&lt;='[1]Product parameters'!$C$2),I681*[1]model_point!$G$2,0)</f>
        <v>0</v>
      </c>
      <c r="N682">
        <f t="shared" si="113"/>
        <v>0</v>
      </c>
      <c r="O682">
        <f>[2]results_sample_product_cf!G681</f>
        <v>0</v>
      </c>
      <c r="P682">
        <f>[2]results_sample_product_cf!H681</f>
        <v>0</v>
      </c>
      <c r="Q682">
        <f t="shared" si="114"/>
        <v>0</v>
      </c>
      <c r="R682">
        <f t="shared" si="110"/>
        <v>0</v>
      </c>
    </row>
    <row r="683" spans="1:18" x14ac:dyDescent="0.3">
      <c r="A683">
        <f t="shared" si="115"/>
        <v>680</v>
      </c>
      <c r="B683">
        <f t="shared" si="116"/>
        <v>57</v>
      </c>
      <c r="C683">
        <f t="shared" si="117"/>
        <v>685</v>
      </c>
      <c r="D683">
        <f t="shared" si="111"/>
        <v>58</v>
      </c>
      <c r="E683">
        <f>[1]model_point!$C$2+D683-1</f>
        <v>62</v>
      </c>
      <c r="F683">
        <f>VLOOKUP(E683,'[1]202512 BE mortality'!$A:$C,3,0)</f>
        <v>9.7591073293983761E-3</v>
      </c>
      <c r="G683">
        <f>VLOOKUP(D683,'[1]202512 BE lapse'!$C:$D,2,0)</f>
        <v>7.79045522649919E-3</v>
      </c>
      <c r="H683">
        <f>VLOOKUP($B683,'[1]202512 RFR'!$A:$B,2,0)</f>
        <v>1.2E-2</v>
      </c>
      <c r="I683">
        <f t="shared" si="118"/>
        <v>1.1074092013930645</v>
      </c>
      <c r="J683">
        <f t="shared" si="119"/>
        <v>9.0540373884208727E-4</v>
      </c>
      <c r="K683">
        <f t="shared" si="120"/>
        <v>0</v>
      </c>
      <c r="L683">
        <f t="shared" si="112"/>
        <v>0.44061428907946859</v>
      </c>
      <c r="M683">
        <f>IF(AND(MOD(C683,12)=1,D683&lt;='[1]Product parameters'!$C$2),I682*[1]model_point!$G$2,0)</f>
        <v>0</v>
      </c>
      <c r="N683">
        <f t="shared" si="113"/>
        <v>0</v>
      </c>
      <c r="O683">
        <f>[2]results_sample_product_cf!G682</f>
        <v>0</v>
      </c>
      <c r="P683">
        <f>[2]results_sample_product_cf!H682</f>
        <v>0</v>
      </c>
      <c r="Q683">
        <f t="shared" si="114"/>
        <v>0</v>
      </c>
      <c r="R683">
        <f t="shared" si="110"/>
        <v>0</v>
      </c>
    </row>
    <row r="684" spans="1:18" x14ac:dyDescent="0.3">
      <c r="A684">
        <f t="shared" si="115"/>
        <v>681</v>
      </c>
      <c r="B684">
        <f t="shared" si="116"/>
        <v>57</v>
      </c>
      <c r="C684">
        <f t="shared" si="117"/>
        <v>686</v>
      </c>
      <c r="D684">
        <f t="shared" si="111"/>
        <v>58</v>
      </c>
      <c r="E684">
        <f>[1]model_point!$C$2+D684-1</f>
        <v>62</v>
      </c>
      <c r="F684">
        <f>VLOOKUP(E684,'[1]202512 BE mortality'!$A:$C,3,0)</f>
        <v>9.7591073293983761E-3</v>
      </c>
      <c r="G684">
        <f>VLOOKUP(D684,'[1]202512 BE lapse'!$C:$D,2,0)</f>
        <v>7.79045522649919E-3</v>
      </c>
      <c r="H684">
        <f>VLOOKUP($B684,'[1]202512 RFR'!$A:$B,2,0)</f>
        <v>1.2E-2</v>
      </c>
      <c r="I684">
        <f t="shared" si="118"/>
        <v>1.1065045372961315</v>
      </c>
      <c r="J684">
        <f t="shared" si="119"/>
        <v>9.0466409693309015E-4</v>
      </c>
      <c r="K684">
        <f t="shared" si="120"/>
        <v>0</v>
      </c>
      <c r="L684">
        <f t="shared" si="112"/>
        <v>0.44017651513528522</v>
      </c>
      <c r="M684">
        <f>IF(AND(MOD(C684,12)=1,D684&lt;='[1]Product parameters'!$C$2),I683*[1]model_point!$G$2,0)</f>
        <v>0</v>
      </c>
      <c r="N684">
        <f t="shared" si="113"/>
        <v>0</v>
      </c>
      <c r="O684">
        <f>[2]results_sample_product_cf!G683</f>
        <v>0</v>
      </c>
      <c r="P684">
        <f>[2]results_sample_product_cf!H683</f>
        <v>0</v>
      </c>
      <c r="Q684">
        <f t="shared" si="114"/>
        <v>0</v>
      </c>
      <c r="R684">
        <f t="shared" si="110"/>
        <v>0</v>
      </c>
    </row>
    <row r="685" spans="1:18" x14ac:dyDescent="0.3">
      <c r="A685">
        <f t="shared" si="115"/>
        <v>682</v>
      </c>
      <c r="B685">
        <f t="shared" si="116"/>
        <v>57</v>
      </c>
      <c r="C685">
        <f t="shared" si="117"/>
        <v>687</v>
      </c>
      <c r="D685">
        <f t="shared" si="111"/>
        <v>58</v>
      </c>
      <c r="E685">
        <f>[1]model_point!$C$2+D685-1</f>
        <v>62</v>
      </c>
      <c r="F685">
        <f>VLOOKUP(E685,'[1]202512 BE mortality'!$A:$C,3,0)</f>
        <v>9.7591073293983761E-3</v>
      </c>
      <c r="G685">
        <f>VLOOKUP(D685,'[1]202512 BE lapse'!$C:$D,2,0)</f>
        <v>7.79045522649919E-3</v>
      </c>
      <c r="H685">
        <f>VLOOKUP($B685,'[1]202512 RFR'!$A:$B,2,0)</f>
        <v>1.2E-2</v>
      </c>
      <c r="I685">
        <f t="shared" si="118"/>
        <v>1.1056006122368796</v>
      </c>
      <c r="J685">
        <f t="shared" si="119"/>
        <v>9.0392505925194198E-4</v>
      </c>
      <c r="K685">
        <f t="shared" si="120"/>
        <v>0</v>
      </c>
      <c r="L685">
        <f t="shared" si="112"/>
        <v>0.43973917614301089</v>
      </c>
      <c r="M685">
        <f>IF(AND(MOD(C685,12)=1,D685&lt;='[1]Product parameters'!$C$2),I684*[1]model_point!$G$2,0)</f>
        <v>0</v>
      </c>
      <c r="N685">
        <f t="shared" si="113"/>
        <v>0</v>
      </c>
      <c r="O685">
        <f>[2]results_sample_product_cf!G684</f>
        <v>0</v>
      </c>
      <c r="P685">
        <f>[2]results_sample_product_cf!H684</f>
        <v>0</v>
      </c>
      <c r="Q685">
        <f t="shared" si="114"/>
        <v>0</v>
      </c>
      <c r="R685">
        <f t="shared" si="110"/>
        <v>0</v>
      </c>
    </row>
    <row r="686" spans="1:18" x14ac:dyDescent="0.3">
      <c r="A686">
        <f t="shared" si="115"/>
        <v>683</v>
      </c>
      <c r="B686">
        <f t="shared" si="116"/>
        <v>57</v>
      </c>
      <c r="C686">
        <f t="shared" si="117"/>
        <v>688</v>
      </c>
      <c r="D686">
        <f t="shared" si="111"/>
        <v>58</v>
      </c>
      <c r="E686">
        <f>[1]model_point!$C$2+D686-1</f>
        <v>62</v>
      </c>
      <c r="F686">
        <f>VLOOKUP(E686,'[1]202512 BE mortality'!$A:$C,3,0)</f>
        <v>9.7591073293983761E-3</v>
      </c>
      <c r="G686">
        <f>VLOOKUP(D686,'[1]202512 BE lapse'!$C:$D,2,0)</f>
        <v>7.79045522649919E-3</v>
      </c>
      <c r="H686">
        <f>VLOOKUP($B686,'[1]202512 RFR'!$A:$B,2,0)</f>
        <v>1.2E-2</v>
      </c>
      <c r="I686">
        <f t="shared" si="118"/>
        <v>1.1046974256115745</v>
      </c>
      <c r="J686">
        <f t="shared" si="119"/>
        <v>9.0318662530503718E-4</v>
      </c>
      <c r="K686">
        <f t="shared" si="120"/>
        <v>0</v>
      </c>
      <c r="L686">
        <f t="shared" si="112"/>
        <v>0.43930227167049762</v>
      </c>
      <c r="M686">
        <f>IF(AND(MOD(C686,12)=1,D686&lt;='[1]Product parameters'!$C$2),I685*[1]model_point!$G$2,0)</f>
        <v>0</v>
      </c>
      <c r="N686">
        <f t="shared" si="113"/>
        <v>0</v>
      </c>
      <c r="O686">
        <f>[2]results_sample_product_cf!G685</f>
        <v>0</v>
      </c>
      <c r="P686">
        <f>[2]results_sample_product_cf!H685</f>
        <v>0</v>
      </c>
      <c r="Q686">
        <f t="shared" si="114"/>
        <v>0</v>
      </c>
      <c r="R686">
        <f t="shared" si="110"/>
        <v>0</v>
      </c>
    </row>
    <row r="687" spans="1:18" x14ac:dyDescent="0.3">
      <c r="A687">
        <f t="shared" si="115"/>
        <v>684</v>
      </c>
      <c r="B687">
        <f t="shared" si="116"/>
        <v>57</v>
      </c>
      <c r="C687">
        <f t="shared" si="117"/>
        <v>689</v>
      </c>
      <c r="D687">
        <f t="shared" si="111"/>
        <v>58</v>
      </c>
      <c r="E687">
        <f>[1]model_point!$C$2+D687-1</f>
        <v>62</v>
      </c>
      <c r="F687">
        <f>VLOOKUP(E687,'[1]202512 BE mortality'!$A:$C,3,0)</f>
        <v>9.7591073293983761E-3</v>
      </c>
      <c r="G687">
        <f>VLOOKUP(D687,'[1]202512 BE lapse'!$C:$D,2,0)</f>
        <v>7.79045522649919E-3</v>
      </c>
      <c r="H687">
        <f>VLOOKUP($B687,'[1]202512 RFR'!$A:$B,2,0)</f>
        <v>1.2E-2</v>
      </c>
      <c r="I687">
        <f t="shared" si="118"/>
        <v>1.1037949768169752</v>
      </c>
      <c r="J687">
        <f t="shared" si="119"/>
        <v>9.024487945991736E-4</v>
      </c>
      <c r="K687">
        <f t="shared" si="120"/>
        <v>0</v>
      </c>
      <c r="L687">
        <f t="shared" si="112"/>
        <v>0.43886580128602665</v>
      </c>
      <c r="M687">
        <f>IF(AND(MOD(C687,12)=1,D687&lt;='[1]Product parameters'!$C$2),I686*[1]model_point!$G$2,0)</f>
        <v>0</v>
      </c>
      <c r="N687">
        <f t="shared" si="113"/>
        <v>0</v>
      </c>
      <c r="O687">
        <f>[2]results_sample_product_cf!G686</f>
        <v>0</v>
      </c>
      <c r="P687">
        <f>[2]results_sample_product_cf!H686</f>
        <v>0</v>
      </c>
      <c r="Q687">
        <f t="shared" si="114"/>
        <v>0</v>
      </c>
      <c r="R687">
        <f t="shared" si="110"/>
        <v>0</v>
      </c>
    </row>
    <row r="688" spans="1:18" x14ac:dyDescent="0.3">
      <c r="A688">
        <f t="shared" si="115"/>
        <v>685</v>
      </c>
      <c r="B688">
        <f t="shared" si="116"/>
        <v>58</v>
      </c>
      <c r="C688">
        <f t="shared" si="117"/>
        <v>690</v>
      </c>
      <c r="D688">
        <f t="shared" si="111"/>
        <v>58</v>
      </c>
      <c r="E688">
        <f>[1]model_point!$C$2+D688-1</f>
        <v>62</v>
      </c>
      <c r="F688">
        <f>VLOOKUP(E688,'[1]202512 BE mortality'!$A:$C,3,0)</f>
        <v>9.7591073293983761E-3</v>
      </c>
      <c r="G688">
        <f>VLOOKUP(D688,'[1]202512 BE lapse'!$C:$D,2,0)</f>
        <v>7.79045522649919E-3</v>
      </c>
      <c r="H688">
        <f>VLOOKUP($B688,'[1]202512 RFR'!$A:$B,2,0)</f>
        <v>1.2E-2</v>
      </c>
      <c r="I688">
        <f t="shared" si="118"/>
        <v>1.1028932652503336</v>
      </c>
      <c r="J688">
        <f t="shared" si="119"/>
        <v>9.0171156664155185E-4</v>
      </c>
      <c r="K688">
        <f t="shared" si="120"/>
        <v>0</v>
      </c>
      <c r="L688">
        <f t="shared" si="112"/>
        <v>0.43842976455830823</v>
      </c>
      <c r="M688">
        <f>IF(AND(MOD(C688,12)=1,D688&lt;='[1]Product parameters'!$C$2),I687*[1]model_point!$G$2,0)</f>
        <v>0</v>
      </c>
      <c r="N688">
        <f t="shared" si="113"/>
        <v>0</v>
      </c>
      <c r="O688">
        <f>[2]results_sample_product_cf!G687</f>
        <v>0</v>
      </c>
      <c r="P688">
        <f>[2]results_sample_product_cf!H687</f>
        <v>0</v>
      </c>
      <c r="Q688">
        <f t="shared" si="114"/>
        <v>0</v>
      </c>
      <c r="R688">
        <f t="shared" si="110"/>
        <v>0</v>
      </c>
    </row>
    <row r="689" spans="1:18" x14ac:dyDescent="0.3">
      <c r="A689">
        <f t="shared" si="115"/>
        <v>686</v>
      </c>
      <c r="B689">
        <f t="shared" si="116"/>
        <v>58</v>
      </c>
      <c r="C689">
        <f t="shared" si="117"/>
        <v>691</v>
      </c>
      <c r="D689">
        <f t="shared" si="111"/>
        <v>58</v>
      </c>
      <c r="E689">
        <f>[1]model_point!$C$2+D689-1</f>
        <v>62</v>
      </c>
      <c r="F689">
        <f>VLOOKUP(E689,'[1]202512 BE mortality'!$A:$C,3,0)</f>
        <v>9.7591073293983761E-3</v>
      </c>
      <c r="G689">
        <f>VLOOKUP(D689,'[1]202512 BE lapse'!$C:$D,2,0)</f>
        <v>7.79045522649919E-3</v>
      </c>
      <c r="H689">
        <f>VLOOKUP($B689,'[1]202512 RFR'!$A:$B,2,0)</f>
        <v>1.2E-2</v>
      </c>
      <c r="I689">
        <f t="shared" si="118"/>
        <v>1.1019922903093937</v>
      </c>
      <c r="J689">
        <f t="shared" si="119"/>
        <v>9.0097494093977534E-4</v>
      </c>
      <c r="K689">
        <f t="shared" si="120"/>
        <v>0</v>
      </c>
      <c r="L689">
        <f t="shared" si="112"/>
        <v>0.43799416105648109</v>
      </c>
      <c r="M689">
        <f>IF(AND(MOD(C689,12)=1,D689&lt;='[1]Product parameters'!$C$2),I688*[1]model_point!$G$2,0)</f>
        <v>0</v>
      </c>
      <c r="N689">
        <f t="shared" si="113"/>
        <v>0</v>
      </c>
      <c r="O689">
        <f>[2]results_sample_product_cf!G688</f>
        <v>0</v>
      </c>
      <c r="P689">
        <f>[2]results_sample_product_cf!H688</f>
        <v>0</v>
      </c>
      <c r="Q689">
        <f t="shared" si="114"/>
        <v>0</v>
      </c>
      <c r="R689">
        <f t="shared" si="110"/>
        <v>0</v>
      </c>
    </row>
    <row r="690" spans="1:18" x14ac:dyDescent="0.3">
      <c r="A690">
        <f t="shared" si="115"/>
        <v>687</v>
      </c>
      <c r="B690">
        <f t="shared" si="116"/>
        <v>58</v>
      </c>
      <c r="C690">
        <f t="shared" si="117"/>
        <v>692</v>
      </c>
      <c r="D690">
        <f t="shared" si="111"/>
        <v>58</v>
      </c>
      <c r="E690">
        <f>[1]model_point!$C$2+D690-1</f>
        <v>62</v>
      </c>
      <c r="F690">
        <f>VLOOKUP(E690,'[1]202512 BE mortality'!$A:$C,3,0)</f>
        <v>9.7591073293983761E-3</v>
      </c>
      <c r="G690">
        <f>VLOOKUP(D690,'[1]202512 BE lapse'!$C:$D,2,0)</f>
        <v>7.79045522649919E-3</v>
      </c>
      <c r="H690">
        <f>VLOOKUP($B690,'[1]202512 RFR'!$A:$B,2,0)</f>
        <v>1.2E-2</v>
      </c>
      <c r="I690">
        <f t="shared" si="118"/>
        <v>1.1010920513923919</v>
      </c>
      <c r="J690">
        <f t="shared" si="119"/>
        <v>9.0023891700184938E-4</v>
      </c>
      <c r="K690">
        <f t="shared" si="120"/>
        <v>0</v>
      </c>
      <c r="L690">
        <f t="shared" si="112"/>
        <v>0.43755899035011209</v>
      </c>
      <c r="M690">
        <f>IF(AND(MOD(C690,12)=1,D690&lt;='[1]Product parameters'!$C$2),I689*[1]model_point!$G$2,0)</f>
        <v>0</v>
      </c>
      <c r="N690">
        <f t="shared" si="113"/>
        <v>0</v>
      </c>
      <c r="O690">
        <f>[2]results_sample_product_cf!G689</f>
        <v>0</v>
      </c>
      <c r="P690">
        <f>[2]results_sample_product_cf!H689</f>
        <v>0</v>
      </c>
      <c r="Q690">
        <f t="shared" si="114"/>
        <v>0</v>
      </c>
      <c r="R690">
        <f t="shared" si="110"/>
        <v>0</v>
      </c>
    </row>
    <row r="691" spans="1:18" x14ac:dyDescent="0.3">
      <c r="A691">
        <f t="shared" si="115"/>
        <v>688</v>
      </c>
      <c r="B691">
        <f t="shared" si="116"/>
        <v>58</v>
      </c>
      <c r="C691">
        <f t="shared" si="117"/>
        <v>693</v>
      </c>
      <c r="D691">
        <f t="shared" si="111"/>
        <v>58</v>
      </c>
      <c r="E691">
        <f>[1]model_point!$C$2+D691-1</f>
        <v>62</v>
      </c>
      <c r="F691">
        <f>VLOOKUP(E691,'[1]202512 BE mortality'!$A:$C,3,0)</f>
        <v>9.7591073293983761E-3</v>
      </c>
      <c r="G691">
        <f>VLOOKUP(D691,'[1]202512 BE lapse'!$C:$D,2,0)</f>
        <v>7.79045522649919E-3</v>
      </c>
      <c r="H691">
        <f>VLOOKUP($B691,'[1]202512 RFR'!$A:$B,2,0)</f>
        <v>1.2E-2</v>
      </c>
      <c r="I691">
        <f t="shared" si="118"/>
        <v>1.1001925478980557</v>
      </c>
      <c r="J691">
        <f t="shared" si="119"/>
        <v>8.9950349433618165E-4</v>
      </c>
      <c r="K691">
        <f t="shared" si="120"/>
        <v>0</v>
      </c>
      <c r="L691">
        <f t="shared" si="112"/>
        <v>0.43712425200919569</v>
      </c>
      <c r="M691">
        <f>IF(AND(MOD(C691,12)=1,D691&lt;='[1]Product parameters'!$C$2),I690*[1]model_point!$G$2,0)</f>
        <v>0</v>
      </c>
      <c r="N691">
        <f t="shared" si="113"/>
        <v>0</v>
      </c>
      <c r="O691">
        <f>[2]results_sample_product_cf!G690</f>
        <v>0</v>
      </c>
      <c r="P691">
        <f>[2]results_sample_product_cf!H690</f>
        <v>0</v>
      </c>
      <c r="Q691">
        <f t="shared" si="114"/>
        <v>0</v>
      </c>
      <c r="R691">
        <f t="shared" si="110"/>
        <v>0</v>
      </c>
    </row>
    <row r="692" spans="1:18" x14ac:dyDescent="0.3">
      <c r="A692">
        <f t="shared" si="115"/>
        <v>689</v>
      </c>
      <c r="B692">
        <f t="shared" si="116"/>
        <v>58</v>
      </c>
      <c r="C692">
        <f t="shared" si="117"/>
        <v>694</v>
      </c>
      <c r="D692">
        <f t="shared" si="111"/>
        <v>58</v>
      </c>
      <c r="E692">
        <f>[1]model_point!$C$2+D692-1</f>
        <v>62</v>
      </c>
      <c r="F692">
        <f>VLOOKUP(E692,'[1]202512 BE mortality'!$A:$C,3,0)</f>
        <v>9.7591073293983761E-3</v>
      </c>
      <c r="G692">
        <f>VLOOKUP(D692,'[1]202512 BE lapse'!$C:$D,2,0)</f>
        <v>7.79045522649919E-3</v>
      </c>
      <c r="H692">
        <f>VLOOKUP($B692,'[1]202512 RFR'!$A:$B,2,0)</f>
        <v>1.2E-2</v>
      </c>
      <c r="I692">
        <f t="shared" si="118"/>
        <v>1.0992937792256041</v>
      </c>
      <c r="J692">
        <f t="shared" si="119"/>
        <v>8.9876867245158095E-4</v>
      </c>
      <c r="K692">
        <f t="shared" si="120"/>
        <v>0</v>
      </c>
      <c r="L692">
        <f t="shared" si="112"/>
        <v>0.43668994560415358</v>
      </c>
      <c r="M692">
        <f>IF(AND(MOD(C692,12)=1,D692&lt;='[1]Product parameters'!$C$2),I691*[1]model_point!$G$2,0)</f>
        <v>0</v>
      </c>
      <c r="N692">
        <f t="shared" si="113"/>
        <v>0</v>
      </c>
      <c r="O692">
        <f>[2]results_sample_product_cf!G691</f>
        <v>0</v>
      </c>
      <c r="P692">
        <f>[2]results_sample_product_cf!H691</f>
        <v>0</v>
      </c>
      <c r="Q692">
        <f t="shared" si="114"/>
        <v>0</v>
      </c>
      <c r="R692">
        <f t="shared" si="110"/>
        <v>0</v>
      </c>
    </row>
    <row r="693" spans="1:18" x14ac:dyDescent="0.3">
      <c r="A693">
        <f t="shared" si="115"/>
        <v>690</v>
      </c>
      <c r="B693">
        <f t="shared" si="116"/>
        <v>58</v>
      </c>
      <c r="C693">
        <f t="shared" si="117"/>
        <v>695</v>
      </c>
      <c r="D693">
        <f t="shared" si="111"/>
        <v>58</v>
      </c>
      <c r="E693">
        <f>[1]model_point!$C$2+D693-1</f>
        <v>62</v>
      </c>
      <c r="F693">
        <f>VLOOKUP(E693,'[1]202512 BE mortality'!$A:$C,3,0)</f>
        <v>9.7591073293983761E-3</v>
      </c>
      <c r="G693">
        <f>VLOOKUP(D693,'[1]202512 BE lapse'!$C:$D,2,0)</f>
        <v>7.79045522649919E-3</v>
      </c>
      <c r="H693">
        <f>VLOOKUP($B693,'[1]202512 RFR'!$A:$B,2,0)</f>
        <v>1.2E-2</v>
      </c>
      <c r="I693">
        <f t="shared" si="118"/>
        <v>1.0983957447747468</v>
      </c>
      <c r="J693">
        <f t="shared" si="119"/>
        <v>8.9803445085725759E-4</v>
      </c>
      <c r="K693">
        <f t="shared" si="120"/>
        <v>0</v>
      </c>
      <c r="L693">
        <f t="shared" si="112"/>
        <v>0.43625607070583433</v>
      </c>
      <c r="M693">
        <f>IF(AND(MOD(C693,12)=1,D693&lt;='[1]Product parameters'!$C$2),I692*[1]model_point!$G$2,0)</f>
        <v>0</v>
      </c>
      <c r="N693">
        <f t="shared" si="113"/>
        <v>0</v>
      </c>
      <c r="O693">
        <f>[2]results_sample_product_cf!G692</f>
        <v>0</v>
      </c>
      <c r="P693">
        <f>[2]results_sample_product_cf!H692</f>
        <v>0</v>
      </c>
      <c r="Q693">
        <f t="shared" si="114"/>
        <v>0</v>
      </c>
      <c r="R693">
        <f t="shared" si="110"/>
        <v>0</v>
      </c>
    </row>
    <row r="694" spans="1:18" x14ac:dyDescent="0.3">
      <c r="A694">
        <f t="shared" si="115"/>
        <v>691</v>
      </c>
      <c r="B694">
        <f t="shared" si="116"/>
        <v>58</v>
      </c>
      <c r="C694">
        <f t="shared" si="117"/>
        <v>696</v>
      </c>
      <c r="D694">
        <f t="shared" si="111"/>
        <v>58</v>
      </c>
      <c r="E694">
        <f>[1]model_point!$C$2+D694-1</f>
        <v>62</v>
      </c>
      <c r="F694">
        <f>VLOOKUP(E694,'[1]202512 BE mortality'!$A:$C,3,0)</f>
        <v>9.7591073293983761E-3</v>
      </c>
      <c r="G694">
        <f>VLOOKUP(D694,'[1]202512 BE lapse'!$C:$D,2,0)</f>
        <v>7.79045522649919E-3</v>
      </c>
      <c r="H694">
        <f>VLOOKUP($B694,'[1]202512 RFR'!$A:$B,2,0)</f>
        <v>1.2E-2</v>
      </c>
      <c r="I694">
        <f t="shared" si="118"/>
        <v>1.0889484314569724</v>
      </c>
      <c r="J694">
        <f t="shared" si="119"/>
        <v>8.973008290628227E-4</v>
      </c>
      <c r="K694">
        <f t="shared" si="120"/>
        <v>8.5500124887113813E-3</v>
      </c>
      <c r="L694">
        <f t="shared" si="112"/>
        <v>0.43582262688551282</v>
      </c>
      <c r="M694">
        <f>IF(AND(MOD(C694,12)=1,D694&lt;='[1]Product parameters'!$C$2),I693*[1]model_point!$G$2,0)</f>
        <v>0</v>
      </c>
      <c r="N694">
        <f t="shared" si="113"/>
        <v>0</v>
      </c>
      <c r="O694">
        <f>[2]results_sample_product_cf!G693</f>
        <v>0</v>
      </c>
      <c r="P694">
        <f>[2]results_sample_product_cf!H693</f>
        <v>0</v>
      </c>
      <c r="Q694">
        <f t="shared" si="114"/>
        <v>0</v>
      </c>
      <c r="R694">
        <f t="shared" si="110"/>
        <v>0</v>
      </c>
    </row>
    <row r="695" spans="1:18" x14ac:dyDescent="0.3">
      <c r="A695">
        <f t="shared" si="115"/>
        <v>692</v>
      </c>
      <c r="B695">
        <f t="shared" si="116"/>
        <v>58</v>
      </c>
      <c r="C695">
        <f t="shared" si="117"/>
        <v>697</v>
      </c>
      <c r="D695">
        <f t="shared" si="111"/>
        <v>59</v>
      </c>
      <c r="E695">
        <f>[1]model_point!$C$2+D695-1</f>
        <v>63</v>
      </c>
      <c r="F695">
        <f>VLOOKUP(E695,'[1]202512 BE mortality'!$A:$C,3,0)</f>
        <v>7.8411855407108082E-3</v>
      </c>
      <c r="G695">
        <f>VLOOKUP(D695,'[1]202512 BE lapse'!$C:$D,2,0)</f>
        <v>1.9698924048229803E-3</v>
      </c>
      <c r="H695">
        <f>VLOOKUP($B695,'[1]202512 RFR'!$A:$B,2,0)</f>
        <v>1.2E-2</v>
      </c>
      <c r="I695">
        <f t="shared" si="118"/>
        <v>1.0882343074441887</v>
      </c>
      <c r="J695">
        <f t="shared" si="119"/>
        <v>7.1412401278370401E-4</v>
      </c>
      <c r="K695">
        <f t="shared" si="120"/>
        <v>0</v>
      </c>
      <c r="L695">
        <f t="shared" si="112"/>
        <v>0.43538961371488993</v>
      </c>
      <c r="M695">
        <f>IF(AND(MOD(C695,12)=1,D695&lt;='[1]Product parameters'!$C$2),I694*[1]model_point!$G$2,0)</f>
        <v>0</v>
      </c>
      <c r="N695">
        <f t="shared" si="113"/>
        <v>0</v>
      </c>
      <c r="O695">
        <f>[2]results_sample_product_cf!G694</f>
        <v>0</v>
      </c>
      <c r="P695">
        <f>[2]results_sample_product_cf!H694</f>
        <v>0</v>
      </c>
      <c r="Q695">
        <f t="shared" si="114"/>
        <v>0</v>
      </c>
      <c r="R695">
        <f t="shared" si="110"/>
        <v>0</v>
      </c>
    </row>
    <row r="696" spans="1:18" x14ac:dyDescent="0.3">
      <c r="A696">
        <f t="shared" si="115"/>
        <v>693</v>
      </c>
      <c r="B696">
        <f t="shared" si="116"/>
        <v>58</v>
      </c>
      <c r="C696">
        <f t="shared" si="117"/>
        <v>698</v>
      </c>
      <c r="D696">
        <f t="shared" si="111"/>
        <v>59</v>
      </c>
      <c r="E696">
        <f>[1]model_point!$C$2+D696-1</f>
        <v>63</v>
      </c>
      <c r="F696">
        <f>VLOOKUP(E696,'[1]202512 BE mortality'!$A:$C,3,0)</f>
        <v>7.8411855407108082E-3</v>
      </c>
      <c r="G696">
        <f>VLOOKUP(D696,'[1]202512 BE lapse'!$C:$D,2,0)</f>
        <v>1.9698924048229803E-3</v>
      </c>
      <c r="H696">
        <f>VLOOKUP($B696,'[1]202512 RFR'!$A:$B,2,0)</f>
        <v>1.2E-2</v>
      </c>
      <c r="I696">
        <f t="shared" si="118"/>
        <v>1.0875206517484446</v>
      </c>
      <c r="J696">
        <f t="shared" si="119"/>
        <v>7.1365569574416161E-4</v>
      </c>
      <c r="K696">
        <f t="shared" si="120"/>
        <v>0</v>
      </c>
      <c r="L696">
        <f t="shared" si="112"/>
        <v>0.4349570307660921</v>
      </c>
      <c r="M696">
        <f>IF(AND(MOD(C696,12)=1,D696&lt;='[1]Product parameters'!$C$2),I695*[1]model_point!$G$2,0)</f>
        <v>0</v>
      </c>
      <c r="N696">
        <f t="shared" si="113"/>
        <v>0</v>
      </c>
      <c r="O696">
        <f>[2]results_sample_product_cf!G695</f>
        <v>0</v>
      </c>
      <c r="P696">
        <f>[2]results_sample_product_cf!H695</f>
        <v>0</v>
      </c>
      <c r="Q696">
        <f t="shared" si="114"/>
        <v>0</v>
      </c>
      <c r="R696">
        <f t="shared" si="110"/>
        <v>0</v>
      </c>
    </row>
    <row r="697" spans="1:18" x14ac:dyDescent="0.3">
      <c r="A697">
        <f t="shared" si="115"/>
        <v>694</v>
      </c>
      <c r="B697">
        <f t="shared" si="116"/>
        <v>58</v>
      </c>
      <c r="C697">
        <f t="shared" si="117"/>
        <v>699</v>
      </c>
      <c r="D697">
        <f t="shared" si="111"/>
        <v>59</v>
      </c>
      <c r="E697">
        <f>[1]model_point!$C$2+D697-1</f>
        <v>63</v>
      </c>
      <c r="F697">
        <f>VLOOKUP(E697,'[1]202512 BE mortality'!$A:$C,3,0)</f>
        <v>7.8411855407108082E-3</v>
      </c>
      <c r="G697">
        <f>VLOOKUP(D697,'[1]202512 BE lapse'!$C:$D,2,0)</f>
        <v>1.9698924048229803E-3</v>
      </c>
      <c r="H697">
        <f>VLOOKUP($B697,'[1]202512 RFR'!$A:$B,2,0)</f>
        <v>1.2E-2</v>
      </c>
      <c r="I697">
        <f t="shared" si="118"/>
        <v>1.0868074640626213</v>
      </c>
      <c r="J697">
        <f t="shared" si="119"/>
        <v>7.1318768582333476E-4</v>
      </c>
      <c r="K697">
        <f t="shared" si="120"/>
        <v>0</v>
      </c>
      <c r="L697">
        <f t="shared" si="112"/>
        <v>0.43452487761167086</v>
      </c>
      <c r="M697">
        <f>IF(AND(MOD(C697,12)=1,D697&lt;='[1]Product parameters'!$C$2),I696*[1]model_point!$G$2,0)</f>
        <v>0</v>
      </c>
      <c r="N697">
        <f t="shared" si="113"/>
        <v>0</v>
      </c>
      <c r="O697">
        <f>[2]results_sample_product_cf!G696</f>
        <v>0</v>
      </c>
      <c r="P697">
        <f>[2]results_sample_product_cf!H696</f>
        <v>0</v>
      </c>
      <c r="Q697">
        <f t="shared" si="114"/>
        <v>0</v>
      </c>
      <c r="R697">
        <f t="shared" si="110"/>
        <v>0</v>
      </c>
    </row>
    <row r="698" spans="1:18" x14ac:dyDescent="0.3">
      <c r="A698">
        <f t="shared" si="115"/>
        <v>695</v>
      </c>
      <c r="B698">
        <f t="shared" si="116"/>
        <v>58</v>
      </c>
      <c r="C698">
        <f t="shared" si="117"/>
        <v>700</v>
      </c>
      <c r="D698">
        <f t="shared" si="111"/>
        <v>59</v>
      </c>
      <c r="E698">
        <f>[1]model_point!$C$2+D698-1</f>
        <v>63</v>
      </c>
      <c r="F698">
        <f>VLOOKUP(E698,'[1]202512 BE mortality'!$A:$C,3,0)</f>
        <v>7.8411855407108082E-3</v>
      </c>
      <c r="G698">
        <f>VLOOKUP(D698,'[1]202512 BE lapse'!$C:$D,2,0)</f>
        <v>1.9698924048229803E-3</v>
      </c>
      <c r="H698">
        <f>VLOOKUP($B698,'[1]202512 RFR'!$A:$B,2,0)</f>
        <v>1.2E-2</v>
      </c>
      <c r="I698">
        <f t="shared" si="118"/>
        <v>1.0860947440798014</v>
      </c>
      <c r="J698">
        <f t="shared" si="119"/>
        <v>7.1271998281981729E-4</v>
      </c>
      <c r="K698">
        <f t="shared" si="120"/>
        <v>0</v>
      </c>
      <c r="L698">
        <f t="shared" si="112"/>
        <v>0.4340931538246024</v>
      </c>
      <c r="M698">
        <f>IF(AND(MOD(C698,12)=1,D698&lt;='[1]Product parameters'!$C$2),I697*[1]model_point!$G$2,0)</f>
        <v>0</v>
      </c>
      <c r="N698">
        <f t="shared" si="113"/>
        <v>0</v>
      </c>
      <c r="O698">
        <f>[2]results_sample_product_cf!G697</f>
        <v>0</v>
      </c>
      <c r="P698">
        <f>[2]results_sample_product_cf!H697</f>
        <v>0</v>
      </c>
      <c r="Q698">
        <f t="shared" si="114"/>
        <v>0</v>
      </c>
      <c r="R698">
        <f t="shared" si="110"/>
        <v>0</v>
      </c>
    </row>
    <row r="699" spans="1:18" x14ac:dyDescent="0.3">
      <c r="A699">
        <f t="shared" si="115"/>
        <v>696</v>
      </c>
      <c r="B699">
        <f t="shared" si="116"/>
        <v>58</v>
      </c>
      <c r="C699">
        <f t="shared" si="117"/>
        <v>701</v>
      </c>
      <c r="D699">
        <f t="shared" si="111"/>
        <v>59</v>
      </c>
      <c r="E699">
        <f>[1]model_point!$C$2+D699-1</f>
        <v>63</v>
      </c>
      <c r="F699">
        <f>VLOOKUP(E699,'[1]202512 BE mortality'!$A:$C,3,0)</f>
        <v>7.8411855407108082E-3</v>
      </c>
      <c r="G699">
        <f>VLOOKUP(D699,'[1]202512 BE lapse'!$C:$D,2,0)</f>
        <v>1.9698924048229803E-3</v>
      </c>
      <c r="H699">
        <f>VLOOKUP($B699,'[1]202512 RFR'!$A:$B,2,0)</f>
        <v>1.2E-2</v>
      </c>
      <c r="I699">
        <f t="shared" si="118"/>
        <v>1.085382491493269</v>
      </c>
      <c r="J699">
        <f t="shared" si="119"/>
        <v>7.122525865323352E-4</v>
      </c>
      <c r="K699">
        <f t="shared" si="120"/>
        <v>0</v>
      </c>
      <c r="L699">
        <f t="shared" si="112"/>
        <v>0.43366185897828718</v>
      </c>
      <c r="M699">
        <f>IF(AND(MOD(C699,12)=1,D699&lt;='[1]Product parameters'!$C$2),I698*[1]model_point!$G$2,0)</f>
        <v>0</v>
      </c>
      <c r="N699">
        <f t="shared" si="113"/>
        <v>0</v>
      </c>
      <c r="O699">
        <f>[2]results_sample_product_cf!G698</f>
        <v>0</v>
      </c>
      <c r="P699">
        <f>[2]results_sample_product_cf!H698</f>
        <v>0</v>
      </c>
      <c r="Q699">
        <f t="shared" si="114"/>
        <v>0</v>
      </c>
      <c r="R699">
        <f t="shared" si="110"/>
        <v>0</v>
      </c>
    </row>
    <row r="700" spans="1:18" x14ac:dyDescent="0.3">
      <c r="A700">
        <f t="shared" si="115"/>
        <v>697</v>
      </c>
      <c r="B700">
        <f t="shared" si="116"/>
        <v>59</v>
      </c>
      <c r="C700">
        <f t="shared" si="117"/>
        <v>702</v>
      </c>
      <c r="D700">
        <f t="shared" si="111"/>
        <v>59</v>
      </c>
      <c r="E700">
        <f>[1]model_point!$C$2+D700-1</f>
        <v>63</v>
      </c>
      <c r="F700">
        <f>VLOOKUP(E700,'[1]202512 BE mortality'!$A:$C,3,0)</f>
        <v>7.8411855407108082E-3</v>
      </c>
      <c r="G700">
        <f>VLOOKUP(D700,'[1]202512 BE lapse'!$C:$D,2,0)</f>
        <v>1.9698924048229803E-3</v>
      </c>
      <c r="H700">
        <f>VLOOKUP($B700,'[1]202512 RFR'!$A:$B,2,0)</f>
        <v>1.2E-2</v>
      </c>
      <c r="I700">
        <f t="shared" si="118"/>
        <v>1.0846707059965093</v>
      </c>
      <c r="J700">
        <f t="shared" si="119"/>
        <v>7.1178549675974645E-4</v>
      </c>
      <c r="K700">
        <f t="shared" si="120"/>
        <v>0</v>
      </c>
      <c r="L700">
        <f t="shared" si="112"/>
        <v>0.43323099264654963</v>
      </c>
      <c r="M700">
        <f>IF(AND(MOD(C700,12)=1,D700&lt;='[1]Product parameters'!$C$2),I699*[1]model_point!$G$2,0)</f>
        <v>0</v>
      </c>
      <c r="N700">
        <f t="shared" si="113"/>
        <v>0</v>
      </c>
      <c r="O700">
        <f>[2]results_sample_product_cf!G699</f>
        <v>0</v>
      </c>
      <c r="P700">
        <f>[2]results_sample_product_cf!H699</f>
        <v>0</v>
      </c>
      <c r="Q700">
        <f t="shared" si="114"/>
        <v>0</v>
      </c>
      <c r="R700">
        <f t="shared" si="110"/>
        <v>0</v>
      </c>
    </row>
    <row r="701" spans="1:18" x14ac:dyDescent="0.3">
      <c r="A701">
        <f t="shared" si="115"/>
        <v>698</v>
      </c>
      <c r="B701">
        <f t="shared" si="116"/>
        <v>59</v>
      </c>
      <c r="C701">
        <f t="shared" si="117"/>
        <v>703</v>
      </c>
      <c r="D701">
        <f t="shared" si="111"/>
        <v>59</v>
      </c>
      <c r="E701">
        <f>[1]model_point!$C$2+D701-1</f>
        <v>63</v>
      </c>
      <c r="F701">
        <f>VLOOKUP(E701,'[1]202512 BE mortality'!$A:$C,3,0)</f>
        <v>7.8411855407108082E-3</v>
      </c>
      <c r="G701">
        <f>VLOOKUP(D701,'[1]202512 BE lapse'!$C:$D,2,0)</f>
        <v>1.9698924048229803E-3</v>
      </c>
      <c r="H701">
        <f>VLOOKUP($B701,'[1]202512 RFR'!$A:$B,2,0)</f>
        <v>1.2E-2</v>
      </c>
      <c r="I701">
        <f t="shared" si="118"/>
        <v>1.0839593872832083</v>
      </c>
      <c r="J701">
        <f t="shared" si="119"/>
        <v>7.1131871330104102E-4</v>
      </c>
      <c r="K701">
        <f t="shared" si="120"/>
        <v>0</v>
      </c>
      <c r="L701">
        <f t="shared" si="112"/>
        <v>0.43280055440363746</v>
      </c>
      <c r="M701">
        <f>IF(AND(MOD(C701,12)=1,D701&lt;='[1]Product parameters'!$C$2),I700*[1]model_point!$G$2,0)</f>
        <v>0</v>
      </c>
      <c r="N701">
        <f t="shared" si="113"/>
        <v>0</v>
      </c>
      <c r="O701">
        <f>[2]results_sample_product_cf!G700</f>
        <v>0</v>
      </c>
      <c r="P701">
        <f>[2]results_sample_product_cf!H700</f>
        <v>0</v>
      </c>
      <c r="Q701">
        <f t="shared" si="114"/>
        <v>0</v>
      </c>
      <c r="R701">
        <f t="shared" si="110"/>
        <v>0</v>
      </c>
    </row>
    <row r="702" spans="1:18" x14ac:dyDescent="0.3">
      <c r="A702">
        <f t="shared" si="115"/>
        <v>699</v>
      </c>
      <c r="B702">
        <f t="shared" si="116"/>
        <v>59</v>
      </c>
      <c r="C702">
        <f t="shared" si="117"/>
        <v>704</v>
      </c>
      <c r="D702">
        <f t="shared" si="111"/>
        <v>59</v>
      </c>
      <c r="E702">
        <f>[1]model_point!$C$2+D702-1</f>
        <v>63</v>
      </c>
      <c r="F702">
        <f>VLOOKUP(E702,'[1]202512 BE mortality'!$A:$C,3,0)</f>
        <v>7.8411855407108082E-3</v>
      </c>
      <c r="G702">
        <f>VLOOKUP(D702,'[1]202512 BE lapse'!$C:$D,2,0)</f>
        <v>1.9698924048229803E-3</v>
      </c>
      <c r="H702">
        <f>VLOOKUP($B702,'[1]202512 RFR'!$A:$B,2,0)</f>
        <v>1.2E-2</v>
      </c>
      <c r="I702">
        <f t="shared" si="118"/>
        <v>1.0832485350472529</v>
      </c>
      <c r="J702">
        <f t="shared" si="119"/>
        <v>7.1085223595534065E-4</v>
      </c>
      <c r="K702">
        <f t="shared" si="120"/>
        <v>0</v>
      </c>
      <c r="L702">
        <f t="shared" si="112"/>
        <v>0.43237054382422141</v>
      </c>
      <c r="M702">
        <f>IF(AND(MOD(C702,12)=1,D702&lt;='[1]Product parameters'!$C$2),I701*[1]model_point!$G$2,0)</f>
        <v>0</v>
      </c>
      <c r="N702">
        <f t="shared" si="113"/>
        <v>0</v>
      </c>
      <c r="O702">
        <f>[2]results_sample_product_cf!G701</f>
        <v>0</v>
      </c>
      <c r="P702">
        <f>[2]results_sample_product_cf!H701</f>
        <v>0</v>
      </c>
      <c r="Q702">
        <f t="shared" si="114"/>
        <v>0</v>
      </c>
      <c r="R702">
        <f t="shared" si="110"/>
        <v>0</v>
      </c>
    </row>
    <row r="703" spans="1:18" x14ac:dyDescent="0.3">
      <c r="A703">
        <f t="shared" si="115"/>
        <v>700</v>
      </c>
      <c r="B703">
        <f t="shared" si="116"/>
        <v>59</v>
      </c>
      <c r="C703">
        <f t="shared" si="117"/>
        <v>705</v>
      </c>
      <c r="D703">
        <f t="shared" si="111"/>
        <v>59</v>
      </c>
      <c r="E703">
        <f>[1]model_point!$C$2+D703-1</f>
        <v>63</v>
      </c>
      <c r="F703">
        <f>VLOOKUP(E703,'[1]202512 BE mortality'!$A:$C,3,0)</f>
        <v>7.8411855407108082E-3</v>
      </c>
      <c r="G703">
        <f>VLOOKUP(D703,'[1]202512 BE lapse'!$C:$D,2,0)</f>
        <v>1.9698924048229803E-3</v>
      </c>
      <c r="H703">
        <f>VLOOKUP($B703,'[1]202512 RFR'!$A:$B,2,0)</f>
        <v>1.2E-2</v>
      </c>
      <c r="I703">
        <f t="shared" si="118"/>
        <v>1.082538148982731</v>
      </c>
      <c r="J703">
        <f t="shared" si="119"/>
        <v>7.1038606452189859E-4</v>
      </c>
      <c r="K703">
        <f t="shared" si="120"/>
        <v>0</v>
      </c>
      <c r="L703">
        <f t="shared" si="112"/>
        <v>0.43194096048339492</v>
      </c>
      <c r="M703">
        <f>IF(AND(MOD(C703,12)=1,D703&lt;='[1]Product parameters'!$C$2),I702*[1]model_point!$G$2,0)</f>
        <v>0</v>
      </c>
      <c r="N703">
        <f t="shared" si="113"/>
        <v>0</v>
      </c>
      <c r="O703">
        <f>[2]results_sample_product_cf!G702</f>
        <v>0</v>
      </c>
      <c r="P703">
        <f>[2]results_sample_product_cf!H702</f>
        <v>0</v>
      </c>
      <c r="Q703">
        <f t="shared" si="114"/>
        <v>0</v>
      </c>
      <c r="R703">
        <f t="shared" si="110"/>
        <v>0</v>
      </c>
    </row>
    <row r="704" spans="1:18" x14ac:dyDescent="0.3">
      <c r="A704">
        <f t="shared" si="115"/>
        <v>701</v>
      </c>
      <c r="B704">
        <f t="shared" si="116"/>
        <v>59</v>
      </c>
      <c r="C704">
        <f t="shared" si="117"/>
        <v>706</v>
      </c>
      <c r="D704">
        <f t="shared" si="111"/>
        <v>59</v>
      </c>
      <c r="E704">
        <f>[1]model_point!$C$2+D704-1</f>
        <v>63</v>
      </c>
      <c r="F704">
        <f>VLOOKUP(E704,'[1]202512 BE mortality'!$A:$C,3,0)</f>
        <v>7.8411855407108082E-3</v>
      </c>
      <c r="G704">
        <f>VLOOKUP(D704,'[1]202512 BE lapse'!$C:$D,2,0)</f>
        <v>1.9698924048229803E-3</v>
      </c>
      <c r="H704">
        <f>VLOOKUP($B704,'[1]202512 RFR'!$A:$B,2,0)</f>
        <v>1.2E-2</v>
      </c>
      <c r="I704">
        <f t="shared" si="118"/>
        <v>1.0818282287839309</v>
      </c>
      <c r="J704">
        <f t="shared" si="119"/>
        <v>7.0992019880010014E-4</v>
      </c>
      <c r="K704">
        <f t="shared" si="120"/>
        <v>0</v>
      </c>
      <c r="L704">
        <f t="shared" si="112"/>
        <v>0.43151180395667349</v>
      </c>
      <c r="M704">
        <f>IF(AND(MOD(C704,12)=1,D704&lt;='[1]Product parameters'!$C$2),I703*[1]model_point!$G$2,0)</f>
        <v>0</v>
      </c>
      <c r="N704">
        <f t="shared" si="113"/>
        <v>0</v>
      </c>
      <c r="O704">
        <f>[2]results_sample_product_cf!G703</f>
        <v>0</v>
      </c>
      <c r="P704">
        <f>[2]results_sample_product_cf!H703</f>
        <v>0</v>
      </c>
      <c r="Q704">
        <f t="shared" si="114"/>
        <v>0</v>
      </c>
      <c r="R704">
        <f t="shared" si="110"/>
        <v>0</v>
      </c>
    </row>
    <row r="705" spans="1:18" x14ac:dyDescent="0.3">
      <c r="A705">
        <f t="shared" si="115"/>
        <v>702</v>
      </c>
      <c r="B705">
        <f t="shared" si="116"/>
        <v>59</v>
      </c>
      <c r="C705">
        <f t="shared" si="117"/>
        <v>707</v>
      </c>
      <c r="D705">
        <f t="shared" si="111"/>
        <v>59</v>
      </c>
      <c r="E705">
        <f>[1]model_point!$C$2+D705-1</f>
        <v>63</v>
      </c>
      <c r="F705">
        <f>VLOOKUP(E705,'[1]202512 BE mortality'!$A:$C,3,0)</f>
        <v>7.8411855407108082E-3</v>
      </c>
      <c r="G705">
        <f>VLOOKUP(D705,'[1]202512 BE lapse'!$C:$D,2,0)</f>
        <v>1.9698924048229803E-3</v>
      </c>
      <c r="H705">
        <f>VLOOKUP($B705,'[1]202512 RFR'!$A:$B,2,0)</f>
        <v>1.2E-2</v>
      </c>
      <c r="I705">
        <f t="shared" si="118"/>
        <v>1.0811187741453414</v>
      </c>
      <c r="J705">
        <f t="shared" si="119"/>
        <v>7.094546385894619E-4</v>
      </c>
      <c r="K705">
        <f t="shared" si="120"/>
        <v>0</v>
      </c>
      <c r="L705">
        <f t="shared" si="112"/>
        <v>0.43108307381999439</v>
      </c>
      <c r="M705">
        <f>IF(AND(MOD(C705,12)=1,D705&lt;='[1]Product parameters'!$C$2),I704*[1]model_point!$G$2,0)</f>
        <v>0</v>
      </c>
      <c r="N705">
        <f t="shared" si="113"/>
        <v>0</v>
      </c>
      <c r="O705">
        <f>[2]results_sample_product_cf!G704</f>
        <v>0</v>
      </c>
      <c r="P705">
        <f>[2]results_sample_product_cf!H704</f>
        <v>0</v>
      </c>
      <c r="Q705">
        <f t="shared" si="114"/>
        <v>0</v>
      </c>
      <c r="R705">
        <f t="shared" si="110"/>
        <v>0</v>
      </c>
    </row>
    <row r="706" spans="1:18" x14ac:dyDescent="0.3">
      <c r="A706">
        <f t="shared" si="115"/>
        <v>703</v>
      </c>
      <c r="B706">
        <f t="shared" si="116"/>
        <v>59</v>
      </c>
      <c r="C706">
        <f t="shared" si="117"/>
        <v>708</v>
      </c>
      <c r="D706">
        <f t="shared" si="111"/>
        <v>59</v>
      </c>
      <c r="E706">
        <f>[1]model_point!$C$2+D706-1</f>
        <v>63</v>
      </c>
      <c r="F706">
        <f>VLOOKUP(E706,'[1]202512 BE mortality'!$A:$C,3,0)</f>
        <v>7.8411855407108082E-3</v>
      </c>
      <c r="G706">
        <f>VLOOKUP(D706,'[1]202512 BE lapse'!$C:$D,2,0)</f>
        <v>1.9698924048229803E-3</v>
      </c>
      <c r="H706">
        <f>VLOOKUP($B706,'[1]202512 RFR'!$A:$B,2,0)</f>
        <v>1.2E-2</v>
      </c>
      <c r="I706">
        <f t="shared" si="118"/>
        <v>1.0782814937325533</v>
      </c>
      <c r="J706">
        <f t="shared" si="119"/>
        <v>7.0898938368963186E-4</v>
      </c>
      <c r="K706">
        <f t="shared" si="120"/>
        <v>2.1282910290984086E-3</v>
      </c>
      <c r="L706">
        <f t="shared" si="112"/>
        <v>0.43065476964971622</v>
      </c>
      <c r="M706">
        <f>IF(AND(MOD(C706,12)=1,D706&lt;='[1]Product parameters'!$C$2),I705*[1]model_point!$G$2,0)</f>
        <v>0</v>
      </c>
      <c r="N706">
        <f t="shared" si="113"/>
        <v>0</v>
      </c>
      <c r="O706">
        <f>[2]results_sample_product_cf!G705</f>
        <v>0</v>
      </c>
      <c r="P706">
        <f>[2]results_sample_product_cf!H705</f>
        <v>0</v>
      </c>
      <c r="Q706">
        <f t="shared" si="114"/>
        <v>0</v>
      </c>
      <c r="R706">
        <f t="shared" si="110"/>
        <v>0</v>
      </c>
    </row>
    <row r="707" spans="1:18" x14ac:dyDescent="0.3">
      <c r="A707">
        <f t="shared" si="115"/>
        <v>704</v>
      </c>
      <c r="B707">
        <f t="shared" si="116"/>
        <v>59</v>
      </c>
      <c r="C707">
        <f t="shared" si="117"/>
        <v>709</v>
      </c>
      <c r="D707">
        <f t="shared" si="111"/>
        <v>60</v>
      </c>
      <c r="E707">
        <f>[1]model_point!$C$2+D707-1</f>
        <v>64</v>
      </c>
      <c r="F707">
        <f>VLOOKUP(E707,'[1]202512 BE mortality'!$A:$C,3,0)</f>
        <v>4.507058613934062E-3</v>
      </c>
      <c r="G707">
        <f>VLOOKUP(D707,'[1]202512 BE lapse'!$C:$D,2,0)</f>
        <v>7.8245243514103203E-3</v>
      </c>
      <c r="H707">
        <f>VLOOKUP($B707,'[1]202512 RFR'!$A:$B,2,0)</f>
        <v>1.2E-2</v>
      </c>
      <c r="I707">
        <f t="shared" si="118"/>
        <v>1.0778756648893224</v>
      </c>
      <c r="J707">
        <f t="shared" si="119"/>
        <v>4.0582884323091321E-4</v>
      </c>
      <c r="K707">
        <f t="shared" si="120"/>
        <v>0</v>
      </c>
      <c r="L707">
        <f t="shared" si="112"/>
        <v>0.43022689102261852</v>
      </c>
      <c r="M707">
        <f>IF(AND(MOD(C707,12)=1,D707&lt;='[1]Product parameters'!$C$2),I706*[1]model_point!$G$2,0)</f>
        <v>0</v>
      </c>
      <c r="N707">
        <f t="shared" si="113"/>
        <v>0</v>
      </c>
      <c r="O707">
        <f>[2]results_sample_product_cf!G706</f>
        <v>0</v>
      </c>
      <c r="P707">
        <f>[2]results_sample_product_cf!H706</f>
        <v>0</v>
      </c>
      <c r="Q707">
        <f t="shared" si="114"/>
        <v>0</v>
      </c>
      <c r="R707">
        <f t="shared" ref="R707:R770" si="121">ROUND(N707-P707,6)</f>
        <v>0</v>
      </c>
    </row>
    <row r="708" spans="1:18" x14ac:dyDescent="0.3">
      <c r="A708">
        <f t="shared" si="115"/>
        <v>705</v>
      </c>
      <c r="B708">
        <f t="shared" si="116"/>
        <v>59</v>
      </c>
      <c r="C708">
        <f t="shared" si="117"/>
        <v>710</v>
      </c>
      <c r="D708">
        <f t="shared" ref="D708:D771" si="122">TRUNC((C708-1)/12,0)+1</f>
        <v>60</v>
      </c>
      <c r="E708">
        <f>[1]model_point!$C$2+D708-1</f>
        <v>64</v>
      </c>
      <c r="F708">
        <f>VLOOKUP(E708,'[1]202512 BE mortality'!$A:$C,3,0)</f>
        <v>4.507058613934062E-3</v>
      </c>
      <c r="G708">
        <f>VLOOKUP(D708,'[1]202512 BE lapse'!$C:$D,2,0)</f>
        <v>7.8245243514103203E-3</v>
      </c>
      <c r="H708">
        <f>VLOOKUP($B708,'[1]202512 RFR'!$A:$B,2,0)</f>
        <v>1.2E-2</v>
      </c>
      <c r="I708">
        <f t="shared" si="118"/>
        <v>1.0774699887864019</v>
      </c>
      <c r="J708">
        <f t="shared" si="119"/>
        <v>4.0567610292056253E-4</v>
      </c>
      <c r="K708">
        <f t="shared" si="120"/>
        <v>0</v>
      </c>
      <c r="L708">
        <f t="shared" ref="L708:L771" si="123">L707/(1+H708)^(1/12)</f>
        <v>0.42979943751590133</v>
      </c>
      <c r="M708">
        <f>IF(AND(MOD(C708,12)=1,D708&lt;='[1]Product parameters'!$C$2),I707*[1]model_point!$G$2,0)</f>
        <v>0</v>
      </c>
      <c r="N708">
        <f t="shared" ref="N708:N771" si="124">SUMPRODUCT(L708:L1907,M709:M1908)/L708</f>
        <v>0</v>
      </c>
      <c r="O708">
        <f>[2]results_sample_product_cf!G707</f>
        <v>0</v>
      </c>
      <c r="P708">
        <f>[2]results_sample_product_cf!H707</f>
        <v>0</v>
      </c>
      <c r="Q708">
        <f t="shared" ref="Q708:Q771" si="125">ROUND(M708-O708,6)</f>
        <v>0</v>
      </c>
      <c r="R708">
        <f t="shared" si="121"/>
        <v>0</v>
      </c>
    </row>
    <row r="709" spans="1:18" x14ac:dyDescent="0.3">
      <c r="A709">
        <f t="shared" ref="A709:A772" si="126">A708+1</f>
        <v>706</v>
      </c>
      <c r="B709">
        <f t="shared" ref="B709:B772" si="127">INT((A709-1)/12)+1</f>
        <v>59</v>
      </c>
      <c r="C709">
        <f t="shared" ref="C709:C772" si="128">C708+1</f>
        <v>711</v>
      </c>
      <c r="D709">
        <f t="shared" si="122"/>
        <v>60</v>
      </c>
      <c r="E709">
        <f>[1]model_point!$C$2+D709-1</f>
        <v>64</v>
      </c>
      <c r="F709">
        <f>VLOOKUP(E709,'[1]202512 BE mortality'!$A:$C,3,0)</f>
        <v>4.507058613934062E-3</v>
      </c>
      <c r="G709">
        <f>VLOOKUP(D709,'[1]202512 BE lapse'!$C:$D,2,0)</f>
        <v>7.8245243514103203E-3</v>
      </c>
      <c r="H709">
        <f>VLOOKUP($B709,'[1]202512 RFR'!$A:$B,2,0)</f>
        <v>1.2E-2</v>
      </c>
      <c r="I709">
        <f t="shared" ref="I709:I772" si="129">I708-J709-K709</f>
        <v>1.0770644653663053</v>
      </c>
      <c r="J709">
        <f t="shared" ref="J709:J772" si="130">I708*(1-(1-F709)^(1/12))</f>
        <v>4.0552342009652113E-4</v>
      </c>
      <c r="K709">
        <f t="shared" ref="K709:K772" si="131">(I708-J709)*IF(MOD(C709,12)=0,G709,0)</f>
        <v>0</v>
      </c>
      <c r="L709">
        <f t="shared" si="123"/>
        <v>0.42937240870718468</v>
      </c>
      <c r="M709">
        <f>IF(AND(MOD(C709,12)=1,D709&lt;='[1]Product parameters'!$C$2),I708*[1]model_point!$G$2,0)</f>
        <v>0</v>
      </c>
      <c r="N709">
        <f t="shared" si="124"/>
        <v>0</v>
      </c>
      <c r="O709">
        <f>[2]results_sample_product_cf!G708</f>
        <v>0</v>
      </c>
      <c r="P709">
        <f>[2]results_sample_product_cf!H708</f>
        <v>0</v>
      </c>
      <c r="Q709">
        <f t="shared" si="125"/>
        <v>0</v>
      </c>
      <c r="R709">
        <f t="shared" si="121"/>
        <v>0</v>
      </c>
    </row>
    <row r="710" spans="1:18" x14ac:dyDescent="0.3">
      <c r="A710">
        <f t="shared" si="126"/>
        <v>707</v>
      </c>
      <c r="B710">
        <f t="shared" si="127"/>
        <v>59</v>
      </c>
      <c r="C710">
        <f t="shared" si="128"/>
        <v>712</v>
      </c>
      <c r="D710">
        <f t="shared" si="122"/>
        <v>60</v>
      </c>
      <c r="E710">
        <f>[1]model_point!$C$2+D710-1</f>
        <v>64</v>
      </c>
      <c r="F710">
        <f>VLOOKUP(E710,'[1]202512 BE mortality'!$A:$C,3,0)</f>
        <v>4.507058613934062E-3</v>
      </c>
      <c r="G710">
        <f>VLOOKUP(D710,'[1]202512 BE lapse'!$C:$D,2,0)</f>
        <v>7.8245243514103203E-3</v>
      </c>
      <c r="H710">
        <f>VLOOKUP($B710,'[1]202512 RFR'!$A:$B,2,0)</f>
        <v>1.2E-2</v>
      </c>
      <c r="I710">
        <f t="shared" si="129"/>
        <v>1.0766590945715682</v>
      </c>
      <c r="J710">
        <f t="shared" si="130"/>
        <v>4.053707947371531E-4</v>
      </c>
      <c r="K710">
        <f t="shared" si="131"/>
        <v>0</v>
      </c>
      <c r="L710">
        <f t="shared" si="123"/>
        <v>0.42894580417450834</v>
      </c>
      <c r="M710">
        <f>IF(AND(MOD(C710,12)=1,D710&lt;='[1]Product parameters'!$C$2),I709*[1]model_point!$G$2,0)</f>
        <v>0</v>
      </c>
      <c r="N710">
        <f t="shared" si="124"/>
        <v>0</v>
      </c>
      <c r="O710">
        <f>[2]results_sample_product_cf!G709</f>
        <v>0</v>
      </c>
      <c r="P710">
        <f>[2]results_sample_product_cf!H709</f>
        <v>0</v>
      </c>
      <c r="Q710">
        <f t="shared" si="125"/>
        <v>0</v>
      </c>
      <c r="R710">
        <f t="shared" si="121"/>
        <v>0</v>
      </c>
    </row>
    <row r="711" spans="1:18" x14ac:dyDescent="0.3">
      <c r="A711">
        <f t="shared" si="126"/>
        <v>708</v>
      </c>
      <c r="B711">
        <f t="shared" si="127"/>
        <v>59</v>
      </c>
      <c r="C711">
        <f t="shared" si="128"/>
        <v>713</v>
      </c>
      <c r="D711">
        <f t="shared" si="122"/>
        <v>60</v>
      </c>
      <c r="E711">
        <f>[1]model_point!$C$2+D711-1</f>
        <v>64</v>
      </c>
      <c r="F711">
        <f>VLOOKUP(E711,'[1]202512 BE mortality'!$A:$C,3,0)</f>
        <v>4.507058613934062E-3</v>
      </c>
      <c r="G711">
        <f>VLOOKUP(D711,'[1]202512 BE lapse'!$C:$D,2,0)</f>
        <v>7.8245243514103203E-3</v>
      </c>
      <c r="H711">
        <f>VLOOKUP($B711,'[1]202512 RFR'!$A:$B,2,0)</f>
        <v>1.2E-2</v>
      </c>
      <c r="I711">
        <f t="shared" si="129"/>
        <v>1.0762538763447473</v>
      </c>
      <c r="J711">
        <f t="shared" si="130"/>
        <v>4.0521822682083072E-4</v>
      </c>
      <c r="K711">
        <f t="shared" si="131"/>
        <v>0</v>
      </c>
      <c r="L711">
        <f t="shared" si="123"/>
        <v>0.42851962349633127</v>
      </c>
      <c r="M711">
        <f>IF(AND(MOD(C711,12)=1,D711&lt;='[1]Product parameters'!$C$2),I710*[1]model_point!$G$2,0)</f>
        <v>0</v>
      </c>
      <c r="N711">
        <f t="shared" si="124"/>
        <v>0</v>
      </c>
      <c r="O711">
        <f>[2]results_sample_product_cf!G710</f>
        <v>0</v>
      </c>
      <c r="P711">
        <f>[2]results_sample_product_cf!H710</f>
        <v>0</v>
      </c>
      <c r="Q711">
        <f t="shared" si="125"/>
        <v>0</v>
      </c>
      <c r="R711">
        <f t="shared" si="121"/>
        <v>0</v>
      </c>
    </row>
    <row r="712" spans="1:18" x14ac:dyDescent="0.3">
      <c r="A712">
        <f t="shared" si="126"/>
        <v>709</v>
      </c>
      <c r="B712">
        <f t="shared" si="127"/>
        <v>60</v>
      </c>
      <c r="C712">
        <f t="shared" si="128"/>
        <v>714</v>
      </c>
      <c r="D712">
        <f t="shared" si="122"/>
        <v>60</v>
      </c>
      <c r="E712">
        <f>[1]model_point!$C$2+D712-1</f>
        <v>64</v>
      </c>
      <c r="F712">
        <f>VLOOKUP(E712,'[1]202512 BE mortality'!$A:$C,3,0)</f>
        <v>4.507058613934062E-3</v>
      </c>
      <c r="G712">
        <f>VLOOKUP(D712,'[1]202512 BE lapse'!$C:$D,2,0)</f>
        <v>7.8245243514103203E-3</v>
      </c>
      <c r="H712">
        <f>VLOOKUP($B712,'[1]202512 RFR'!$A:$B,2,0)</f>
        <v>1.2E-2</v>
      </c>
      <c r="I712">
        <f t="shared" si="129"/>
        <v>1.0758488106284214</v>
      </c>
      <c r="J712">
        <f t="shared" si="130"/>
        <v>4.050657163259343E-4</v>
      </c>
      <c r="K712">
        <f t="shared" si="131"/>
        <v>0</v>
      </c>
      <c r="L712">
        <f t="shared" si="123"/>
        <v>0.42809386625153129</v>
      </c>
      <c r="M712">
        <f>IF(AND(MOD(C712,12)=1,D712&lt;='[1]Product parameters'!$C$2),I711*[1]model_point!$G$2,0)</f>
        <v>0</v>
      </c>
      <c r="N712">
        <f t="shared" si="124"/>
        <v>0</v>
      </c>
      <c r="O712">
        <f>[2]results_sample_product_cf!G711</f>
        <v>0</v>
      </c>
      <c r="P712">
        <f>[2]results_sample_product_cf!H711</f>
        <v>0</v>
      </c>
      <c r="Q712">
        <f t="shared" si="125"/>
        <v>0</v>
      </c>
      <c r="R712">
        <f t="shared" si="121"/>
        <v>0</v>
      </c>
    </row>
    <row r="713" spans="1:18" x14ac:dyDescent="0.3">
      <c r="A713">
        <f t="shared" si="126"/>
        <v>710</v>
      </c>
      <c r="B713">
        <f t="shared" si="127"/>
        <v>60</v>
      </c>
      <c r="C713">
        <f t="shared" si="128"/>
        <v>715</v>
      </c>
      <c r="D713">
        <f t="shared" si="122"/>
        <v>60</v>
      </c>
      <c r="E713">
        <f>[1]model_point!$C$2+D713-1</f>
        <v>64</v>
      </c>
      <c r="F713">
        <f>VLOOKUP(E713,'[1]202512 BE mortality'!$A:$C,3,0)</f>
        <v>4.507058613934062E-3</v>
      </c>
      <c r="G713">
        <f>VLOOKUP(D713,'[1]202512 BE lapse'!$C:$D,2,0)</f>
        <v>7.8245243514103203E-3</v>
      </c>
      <c r="H713">
        <f>VLOOKUP($B713,'[1]202512 RFR'!$A:$B,2,0)</f>
        <v>1.2E-2</v>
      </c>
      <c r="I713">
        <f t="shared" si="129"/>
        <v>1.0754438973651905</v>
      </c>
      <c r="J713">
        <f t="shared" si="130"/>
        <v>4.0491326323085239E-4</v>
      </c>
      <c r="K713">
        <f t="shared" si="131"/>
        <v>0</v>
      </c>
      <c r="L713">
        <f t="shared" si="123"/>
        <v>0.42766853201940463</v>
      </c>
      <c r="M713">
        <f>IF(AND(MOD(C713,12)=1,D713&lt;='[1]Product parameters'!$C$2),I712*[1]model_point!$G$2,0)</f>
        <v>0</v>
      </c>
      <c r="N713">
        <f t="shared" si="124"/>
        <v>0</v>
      </c>
      <c r="O713">
        <f>[2]results_sample_product_cf!G712</f>
        <v>0</v>
      </c>
      <c r="P713">
        <f>[2]results_sample_product_cf!H712</f>
        <v>0</v>
      </c>
      <c r="Q713">
        <f t="shared" si="125"/>
        <v>0</v>
      </c>
      <c r="R713">
        <f t="shared" si="121"/>
        <v>0</v>
      </c>
    </row>
    <row r="714" spans="1:18" x14ac:dyDescent="0.3">
      <c r="A714">
        <f t="shared" si="126"/>
        <v>711</v>
      </c>
      <c r="B714">
        <f t="shared" si="127"/>
        <v>60</v>
      </c>
      <c r="C714">
        <f t="shared" si="128"/>
        <v>716</v>
      </c>
      <c r="D714">
        <f t="shared" si="122"/>
        <v>60</v>
      </c>
      <c r="E714">
        <f>[1]model_point!$C$2+D714-1</f>
        <v>64</v>
      </c>
      <c r="F714">
        <f>VLOOKUP(E714,'[1]202512 BE mortality'!$A:$C,3,0)</f>
        <v>4.507058613934062E-3</v>
      </c>
      <c r="G714">
        <f>VLOOKUP(D714,'[1]202512 BE lapse'!$C:$D,2,0)</f>
        <v>7.8245243514103203E-3</v>
      </c>
      <c r="H714">
        <f>VLOOKUP($B714,'[1]202512 RFR'!$A:$B,2,0)</f>
        <v>1.2E-2</v>
      </c>
      <c r="I714">
        <f t="shared" si="129"/>
        <v>1.0750391364976766</v>
      </c>
      <c r="J714">
        <f t="shared" si="130"/>
        <v>4.0476086751398165E-4</v>
      </c>
      <c r="K714">
        <f t="shared" si="131"/>
        <v>0</v>
      </c>
      <c r="L714">
        <f t="shared" si="123"/>
        <v>0.42724362037966546</v>
      </c>
      <c r="M714">
        <f>IF(AND(MOD(C714,12)=1,D714&lt;='[1]Product parameters'!$C$2),I713*[1]model_point!$G$2,0)</f>
        <v>0</v>
      </c>
      <c r="N714">
        <f t="shared" si="124"/>
        <v>0</v>
      </c>
      <c r="O714">
        <f>[2]results_sample_product_cf!G713</f>
        <v>0</v>
      </c>
      <c r="P714">
        <f>[2]results_sample_product_cf!H713</f>
        <v>0</v>
      </c>
      <c r="Q714">
        <f t="shared" si="125"/>
        <v>0</v>
      </c>
      <c r="R714">
        <f t="shared" si="121"/>
        <v>0</v>
      </c>
    </row>
    <row r="715" spans="1:18" x14ac:dyDescent="0.3">
      <c r="A715">
        <f t="shared" si="126"/>
        <v>712</v>
      </c>
      <c r="B715">
        <f t="shared" si="127"/>
        <v>60</v>
      </c>
      <c r="C715">
        <f t="shared" si="128"/>
        <v>717</v>
      </c>
      <c r="D715">
        <f t="shared" si="122"/>
        <v>60</v>
      </c>
      <c r="E715">
        <f>[1]model_point!$C$2+D715-1</f>
        <v>64</v>
      </c>
      <c r="F715">
        <f>VLOOKUP(E715,'[1]202512 BE mortality'!$A:$C,3,0)</f>
        <v>4.507058613934062E-3</v>
      </c>
      <c r="G715">
        <f>VLOOKUP(D715,'[1]202512 BE lapse'!$C:$D,2,0)</f>
        <v>7.8245243514103203E-3</v>
      </c>
      <c r="H715">
        <f>VLOOKUP($B715,'[1]202512 RFR'!$A:$B,2,0)</f>
        <v>1.2E-2</v>
      </c>
      <c r="I715">
        <f t="shared" si="129"/>
        <v>1.0746345279685228</v>
      </c>
      <c r="J715">
        <f t="shared" si="130"/>
        <v>4.0460852915372684E-4</v>
      </c>
      <c r="K715">
        <f t="shared" si="131"/>
        <v>0</v>
      </c>
      <c r="L715">
        <f t="shared" si="123"/>
        <v>0.42681913091244561</v>
      </c>
      <c r="M715">
        <f>IF(AND(MOD(C715,12)=1,D715&lt;='[1]Product parameters'!$C$2),I714*[1]model_point!$G$2,0)</f>
        <v>0</v>
      </c>
      <c r="N715">
        <f t="shared" si="124"/>
        <v>0</v>
      </c>
      <c r="O715">
        <f>[2]results_sample_product_cf!G714</f>
        <v>0</v>
      </c>
      <c r="P715">
        <f>[2]results_sample_product_cf!H714</f>
        <v>0</v>
      </c>
      <c r="Q715">
        <f t="shared" si="125"/>
        <v>0</v>
      </c>
      <c r="R715">
        <f t="shared" si="121"/>
        <v>0</v>
      </c>
    </row>
    <row r="716" spans="1:18" x14ac:dyDescent="0.3">
      <c r="A716">
        <f t="shared" si="126"/>
        <v>713</v>
      </c>
      <c r="B716">
        <f t="shared" si="127"/>
        <v>60</v>
      </c>
      <c r="C716">
        <f t="shared" si="128"/>
        <v>718</v>
      </c>
      <c r="D716">
        <f t="shared" si="122"/>
        <v>60</v>
      </c>
      <c r="E716">
        <f>[1]model_point!$C$2+D716-1</f>
        <v>64</v>
      </c>
      <c r="F716">
        <f>VLOOKUP(E716,'[1]202512 BE mortality'!$A:$C,3,0)</f>
        <v>4.507058613934062E-3</v>
      </c>
      <c r="G716">
        <f>VLOOKUP(D716,'[1]202512 BE lapse'!$C:$D,2,0)</f>
        <v>7.8245243514103203E-3</v>
      </c>
      <c r="H716">
        <f>VLOOKUP($B716,'[1]202512 RFR'!$A:$B,2,0)</f>
        <v>1.2E-2</v>
      </c>
      <c r="I716">
        <f t="shared" si="129"/>
        <v>1.0742300717203943</v>
      </c>
      <c r="J716">
        <f t="shared" si="130"/>
        <v>4.044562481285008E-4</v>
      </c>
      <c r="K716">
        <f t="shared" si="131"/>
        <v>0</v>
      </c>
      <c r="L716">
        <f t="shared" si="123"/>
        <v>0.42639506319829401</v>
      </c>
      <c r="M716">
        <f>IF(AND(MOD(C716,12)=1,D716&lt;='[1]Product parameters'!$C$2),I715*[1]model_point!$G$2,0)</f>
        <v>0</v>
      </c>
      <c r="N716">
        <f t="shared" si="124"/>
        <v>0</v>
      </c>
      <c r="O716">
        <f>[2]results_sample_product_cf!G715</f>
        <v>0</v>
      </c>
      <c r="P716">
        <f>[2]results_sample_product_cf!H715</f>
        <v>0</v>
      </c>
      <c r="Q716">
        <f t="shared" si="125"/>
        <v>0</v>
      </c>
      <c r="R716">
        <f t="shared" si="121"/>
        <v>0</v>
      </c>
    </row>
    <row r="717" spans="1:18" x14ac:dyDescent="0.3">
      <c r="A717">
        <f t="shared" si="126"/>
        <v>714</v>
      </c>
      <c r="B717">
        <f t="shared" si="127"/>
        <v>60</v>
      </c>
      <c r="C717">
        <f t="shared" si="128"/>
        <v>719</v>
      </c>
      <c r="D717">
        <f t="shared" si="122"/>
        <v>60</v>
      </c>
      <c r="E717">
        <f>[1]model_point!$C$2+D717-1</f>
        <v>64</v>
      </c>
      <c r="F717">
        <f>VLOOKUP(E717,'[1]202512 BE mortality'!$A:$C,3,0)</f>
        <v>4.507058613934062E-3</v>
      </c>
      <c r="G717">
        <f>VLOOKUP(D717,'[1]202512 BE lapse'!$C:$D,2,0)</f>
        <v>7.8245243514103203E-3</v>
      </c>
      <c r="H717">
        <f>VLOOKUP($B717,'[1]202512 RFR'!$A:$B,2,0)</f>
        <v>1.2E-2</v>
      </c>
      <c r="I717">
        <f t="shared" si="129"/>
        <v>1.0738257676959775</v>
      </c>
      <c r="J717">
        <f t="shared" si="130"/>
        <v>4.0430402441672469E-4</v>
      </c>
      <c r="K717">
        <f t="shared" si="131"/>
        <v>0</v>
      </c>
      <c r="L717">
        <f t="shared" si="123"/>
        <v>0.4259714168181763</v>
      </c>
      <c r="M717">
        <f>IF(AND(MOD(C717,12)=1,D717&lt;='[1]Product parameters'!$C$2),I716*[1]model_point!$G$2,0)</f>
        <v>0</v>
      </c>
      <c r="N717">
        <f t="shared" si="124"/>
        <v>0</v>
      </c>
      <c r="O717">
        <f>[2]results_sample_product_cf!G716</f>
        <v>0</v>
      </c>
      <c r="P717">
        <f>[2]results_sample_product_cf!H716</f>
        <v>0</v>
      </c>
      <c r="Q717">
        <f t="shared" si="125"/>
        <v>0</v>
      </c>
      <c r="R717">
        <f t="shared" si="121"/>
        <v>0</v>
      </c>
    </row>
    <row r="718" spans="1:18" x14ac:dyDescent="0.3">
      <c r="A718">
        <f t="shared" si="126"/>
        <v>715</v>
      </c>
      <c r="B718">
        <f t="shared" si="127"/>
        <v>60</v>
      </c>
      <c r="C718">
        <f t="shared" si="128"/>
        <v>720</v>
      </c>
      <c r="D718">
        <f t="shared" si="122"/>
        <v>60</v>
      </c>
      <c r="E718">
        <f>[1]model_point!$C$2+D718-1</f>
        <v>64</v>
      </c>
      <c r="F718">
        <f>VLOOKUP(E718,'[1]202512 BE mortality'!$A:$C,3,0)</f>
        <v>4.507058613934062E-3</v>
      </c>
      <c r="G718">
        <f>VLOOKUP(D718,'[1]202512 BE lapse'!$C:$D,2,0)</f>
        <v>7.8245243514103203E-3</v>
      </c>
      <c r="H718">
        <f>VLOOKUP($B718,'[1]202512 RFR'!$A:$B,2,0)</f>
        <v>1.2E-2</v>
      </c>
      <c r="I718">
        <f t="shared" si="129"/>
        <v>1.065022602265526</v>
      </c>
      <c r="J718">
        <f t="shared" si="130"/>
        <v>4.0415185799682745E-4</v>
      </c>
      <c r="K718">
        <f t="shared" si="131"/>
        <v>8.3990135724544921E-3</v>
      </c>
      <c r="L718">
        <f t="shared" si="123"/>
        <v>0.42554819135347455</v>
      </c>
      <c r="M718">
        <f>IF(AND(MOD(C718,12)=1,D718&lt;='[1]Product parameters'!$C$2),I717*[1]model_point!$G$2,0)</f>
        <v>0</v>
      </c>
      <c r="N718">
        <f t="shared" si="124"/>
        <v>0</v>
      </c>
      <c r="O718">
        <f>[2]results_sample_product_cf!G717</f>
        <v>0</v>
      </c>
      <c r="P718">
        <f>[2]results_sample_product_cf!H717</f>
        <v>0</v>
      </c>
      <c r="Q718">
        <f t="shared" si="125"/>
        <v>0</v>
      </c>
      <c r="R718">
        <f t="shared" si="121"/>
        <v>0</v>
      </c>
    </row>
    <row r="719" spans="1:18" x14ac:dyDescent="0.3">
      <c r="A719">
        <f t="shared" si="126"/>
        <v>716</v>
      </c>
      <c r="B719">
        <f t="shared" si="127"/>
        <v>60</v>
      </c>
      <c r="C719">
        <f t="shared" si="128"/>
        <v>721</v>
      </c>
      <c r="D719">
        <f t="shared" si="122"/>
        <v>61</v>
      </c>
      <c r="E719">
        <f>[1]model_point!$C$2+D719-1</f>
        <v>65</v>
      </c>
      <c r="F719">
        <f>VLOOKUP(E719,'[1]202512 BE mortality'!$A:$C,3,0)</f>
        <v>2.2000359675133072E-3</v>
      </c>
      <c r="G719">
        <f>VLOOKUP(D719,'[1]202512 BE lapse'!$C:$D,2,0)</f>
        <v>3.3752112174270442E-3</v>
      </c>
      <c r="H719">
        <f>VLOOKUP($B719,'[1]202512 RFR'!$A:$B,2,0)</f>
        <v>1.2E-2</v>
      </c>
      <c r="I719">
        <f t="shared" si="129"/>
        <v>1.0648271477647078</v>
      </c>
      <c r="J719">
        <f t="shared" si="130"/>
        <v>1.9545450081830606E-4</v>
      </c>
      <c r="K719">
        <f t="shared" si="131"/>
        <v>0</v>
      </c>
      <c r="L719">
        <f t="shared" si="123"/>
        <v>0.42512538638598668</v>
      </c>
      <c r="M719">
        <f>IF(AND(MOD(C719,12)=1,D719&lt;='[1]Product parameters'!$C$2),I718*[1]model_point!$G$2,0)</f>
        <v>0</v>
      </c>
      <c r="N719">
        <f t="shared" si="124"/>
        <v>0</v>
      </c>
      <c r="O719">
        <f>[2]results_sample_product_cf!G718</f>
        <v>0</v>
      </c>
      <c r="P719">
        <f>[2]results_sample_product_cf!H718</f>
        <v>0</v>
      </c>
      <c r="Q719">
        <f t="shared" si="125"/>
        <v>0</v>
      </c>
      <c r="R719">
        <f t="shared" si="121"/>
        <v>0</v>
      </c>
    </row>
    <row r="720" spans="1:18" x14ac:dyDescent="0.3">
      <c r="A720">
        <f t="shared" si="126"/>
        <v>717</v>
      </c>
      <c r="B720">
        <f t="shared" si="127"/>
        <v>60</v>
      </c>
      <c r="C720">
        <f t="shared" si="128"/>
        <v>722</v>
      </c>
      <c r="D720">
        <f t="shared" si="122"/>
        <v>61</v>
      </c>
      <c r="E720">
        <f>[1]model_point!$C$2+D720-1</f>
        <v>65</v>
      </c>
      <c r="F720">
        <f>VLOOKUP(E720,'[1]202512 BE mortality'!$A:$C,3,0)</f>
        <v>2.2000359675133072E-3</v>
      </c>
      <c r="G720">
        <f>VLOOKUP(D720,'[1]202512 BE lapse'!$C:$D,2,0)</f>
        <v>3.3752112174270442E-3</v>
      </c>
      <c r="H720">
        <f>VLOOKUP($B720,'[1]202512 RFR'!$A:$B,2,0)</f>
        <v>1.2E-2</v>
      </c>
      <c r="I720">
        <f t="shared" si="129"/>
        <v>1.0646317291339844</v>
      </c>
      <c r="J720">
        <f t="shared" si="130"/>
        <v>1.954186307233345E-4</v>
      </c>
      <c r="K720">
        <f t="shared" si="131"/>
        <v>0</v>
      </c>
      <c r="L720">
        <f t="shared" si="123"/>
        <v>0.42470300149792617</v>
      </c>
      <c r="M720">
        <f>IF(AND(MOD(C720,12)=1,D720&lt;='[1]Product parameters'!$C$2),I719*[1]model_point!$G$2,0)</f>
        <v>0</v>
      </c>
      <c r="N720">
        <f t="shared" si="124"/>
        <v>0</v>
      </c>
      <c r="O720">
        <f>[2]results_sample_product_cf!G719</f>
        <v>0</v>
      </c>
      <c r="P720">
        <f>[2]results_sample_product_cf!H719</f>
        <v>0</v>
      </c>
      <c r="Q720">
        <f t="shared" si="125"/>
        <v>0</v>
      </c>
      <c r="R720">
        <f t="shared" si="121"/>
        <v>0</v>
      </c>
    </row>
    <row r="721" spans="1:18" x14ac:dyDescent="0.3">
      <c r="A721">
        <f t="shared" si="126"/>
        <v>718</v>
      </c>
      <c r="B721">
        <f t="shared" si="127"/>
        <v>60</v>
      </c>
      <c r="C721">
        <f t="shared" si="128"/>
        <v>723</v>
      </c>
      <c r="D721">
        <f t="shared" si="122"/>
        <v>61</v>
      </c>
      <c r="E721">
        <f>[1]model_point!$C$2+D721-1</f>
        <v>65</v>
      </c>
      <c r="F721">
        <f>VLOOKUP(E721,'[1]202512 BE mortality'!$A:$C,3,0)</f>
        <v>2.2000359675133072E-3</v>
      </c>
      <c r="G721">
        <f>VLOOKUP(D721,'[1]202512 BE lapse'!$C:$D,2,0)</f>
        <v>3.3752112174270442E-3</v>
      </c>
      <c r="H721">
        <f>VLOOKUP($B721,'[1]202512 RFR'!$A:$B,2,0)</f>
        <v>1.2E-2</v>
      </c>
      <c r="I721">
        <f t="shared" si="129"/>
        <v>1.0644363463667732</v>
      </c>
      <c r="J721">
        <f t="shared" si="130"/>
        <v>1.9538276721129506E-4</v>
      </c>
      <c r="K721">
        <f t="shared" si="131"/>
        <v>0</v>
      </c>
      <c r="L721">
        <f t="shared" si="123"/>
        <v>0.42428103627192154</v>
      </c>
      <c r="M721">
        <f>IF(AND(MOD(C721,12)=1,D721&lt;='[1]Product parameters'!$C$2),I720*[1]model_point!$G$2,0)</f>
        <v>0</v>
      </c>
      <c r="N721">
        <f t="shared" si="124"/>
        <v>0</v>
      </c>
      <c r="O721">
        <f>[2]results_sample_product_cf!G720</f>
        <v>0</v>
      </c>
      <c r="P721">
        <f>[2]results_sample_product_cf!H720</f>
        <v>0</v>
      </c>
      <c r="Q721">
        <f t="shared" si="125"/>
        <v>0</v>
      </c>
      <c r="R721">
        <f t="shared" si="121"/>
        <v>0</v>
      </c>
    </row>
    <row r="722" spans="1:18" x14ac:dyDescent="0.3">
      <c r="A722">
        <f t="shared" si="126"/>
        <v>719</v>
      </c>
      <c r="B722">
        <f t="shared" si="127"/>
        <v>60</v>
      </c>
      <c r="C722">
        <f t="shared" si="128"/>
        <v>724</v>
      </c>
      <c r="D722">
        <f t="shared" si="122"/>
        <v>61</v>
      </c>
      <c r="E722">
        <f>[1]model_point!$C$2+D722-1</f>
        <v>65</v>
      </c>
      <c r="F722">
        <f>VLOOKUP(E722,'[1]202512 BE mortality'!$A:$C,3,0)</f>
        <v>2.2000359675133072E-3</v>
      </c>
      <c r="G722">
        <f>VLOOKUP(D722,'[1]202512 BE lapse'!$C:$D,2,0)</f>
        <v>3.3752112174270442E-3</v>
      </c>
      <c r="H722">
        <f>VLOOKUP($B722,'[1]202512 RFR'!$A:$B,2,0)</f>
        <v>1.2E-2</v>
      </c>
      <c r="I722">
        <f t="shared" si="129"/>
        <v>1.0642409994564923</v>
      </c>
      <c r="J722">
        <f t="shared" si="130"/>
        <v>1.9534691028097966E-4</v>
      </c>
      <c r="K722">
        <f t="shared" si="131"/>
        <v>0</v>
      </c>
      <c r="L722">
        <f t="shared" si="123"/>
        <v>0.42385949029101605</v>
      </c>
      <c r="M722">
        <f>IF(AND(MOD(C722,12)=1,D722&lt;='[1]Product parameters'!$C$2),I721*[1]model_point!$G$2,0)</f>
        <v>0</v>
      </c>
      <c r="N722">
        <f t="shared" si="124"/>
        <v>0</v>
      </c>
      <c r="O722">
        <f>[2]results_sample_product_cf!G721</f>
        <v>0</v>
      </c>
      <c r="P722">
        <f>[2]results_sample_product_cf!H721</f>
        <v>0</v>
      </c>
      <c r="Q722">
        <f t="shared" si="125"/>
        <v>0</v>
      </c>
      <c r="R722">
        <f t="shared" si="121"/>
        <v>0</v>
      </c>
    </row>
    <row r="723" spans="1:18" x14ac:dyDescent="0.3">
      <c r="A723">
        <f t="shared" si="126"/>
        <v>720</v>
      </c>
      <c r="B723">
        <f t="shared" si="127"/>
        <v>60</v>
      </c>
      <c r="C723">
        <f t="shared" si="128"/>
        <v>725</v>
      </c>
      <c r="D723">
        <f t="shared" si="122"/>
        <v>61</v>
      </c>
      <c r="E723">
        <f>[1]model_point!$C$2+D723-1</f>
        <v>65</v>
      </c>
      <c r="F723">
        <f>VLOOKUP(E723,'[1]202512 BE mortality'!$A:$C,3,0)</f>
        <v>2.2000359675133072E-3</v>
      </c>
      <c r="G723">
        <f>VLOOKUP(D723,'[1]202512 BE lapse'!$C:$D,2,0)</f>
        <v>3.3752112174270442E-3</v>
      </c>
      <c r="H723">
        <f>VLOOKUP($B723,'[1]202512 RFR'!$A:$B,2,0)</f>
        <v>1.2E-2</v>
      </c>
      <c r="I723">
        <f t="shared" si="129"/>
        <v>1.0640456883965612</v>
      </c>
      <c r="J723">
        <f t="shared" si="130"/>
        <v>1.9531105993118037E-4</v>
      </c>
      <c r="K723">
        <f t="shared" si="131"/>
        <v>0</v>
      </c>
      <c r="L723">
        <f t="shared" si="123"/>
        <v>0.42343836313866717</v>
      </c>
      <c r="M723">
        <f>IF(AND(MOD(C723,12)=1,D723&lt;='[1]Product parameters'!$C$2),I722*[1]model_point!$G$2,0)</f>
        <v>0</v>
      </c>
      <c r="N723">
        <f t="shared" si="124"/>
        <v>0</v>
      </c>
      <c r="O723">
        <f>[2]results_sample_product_cf!G722</f>
        <v>0</v>
      </c>
      <c r="P723">
        <f>[2]results_sample_product_cf!H722</f>
        <v>0</v>
      </c>
      <c r="Q723">
        <f t="shared" si="125"/>
        <v>0</v>
      </c>
      <c r="R723">
        <f t="shared" si="121"/>
        <v>0</v>
      </c>
    </row>
    <row r="724" spans="1:18" x14ac:dyDescent="0.3">
      <c r="A724">
        <f t="shared" si="126"/>
        <v>721</v>
      </c>
      <c r="B724">
        <f t="shared" si="127"/>
        <v>61</v>
      </c>
      <c r="C724">
        <f t="shared" si="128"/>
        <v>726</v>
      </c>
      <c r="D724">
        <f t="shared" si="122"/>
        <v>61</v>
      </c>
      <c r="E724">
        <f>[1]model_point!$C$2+D724-1</f>
        <v>65</v>
      </c>
      <c r="F724">
        <f>VLOOKUP(E724,'[1]202512 BE mortality'!$A:$C,3,0)</f>
        <v>2.2000359675133072E-3</v>
      </c>
      <c r="G724">
        <f>VLOOKUP(D724,'[1]202512 BE lapse'!$C:$D,2,0)</f>
        <v>3.3752112174270442E-3</v>
      </c>
      <c r="H724">
        <f>VLOOKUP($B724,'[1]202512 RFR'!$A:$B,2,0)</f>
        <v>1.2E-2</v>
      </c>
      <c r="I724">
        <f t="shared" si="129"/>
        <v>1.0638504131804005</v>
      </c>
      <c r="J724">
        <f t="shared" si="130"/>
        <v>1.9527521616068957E-4</v>
      </c>
      <c r="K724">
        <f t="shared" si="131"/>
        <v>0</v>
      </c>
      <c r="L724">
        <f t="shared" si="123"/>
        <v>0.42301765439874622</v>
      </c>
      <c r="M724">
        <f>IF(AND(MOD(C724,12)=1,D724&lt;='[1]Product parameters'!$C$2),I723*[1]model_point!$G$2,0)</f>
        <v>0</v>
      </c>
      <c r="N724">
        <f t="shared" si="124"/>
        <v>0</v>
      </c>
      <c r="O724">
        <f>[2]results_sample_product_cf!G723</f>
        <v>0</v>
      </c>
      <c r="P724">
        <f>[2]results_sample_product_cf!H723</f>
        <v>0</v>
      </c>
      <c r="Q724">
        <f t="shared" si="125"/>
        <v>0</v>
      </c>
      <c r="R724">
        <f t="shared" si="121"/>
        <v>0</v>
      </c>
    </row>
    <row r="725" spans="1:18" x14ac:dyDescent="0.3">
      <c r="A725">
        <f t="shared" si="126"/>
        <v>722</v>
      </c>
      <c r="B725">
        <f t="shared" si="127"/>
        <v>61</v>
      </c>
      <c r="C725">
        <f t="shared" si="128"/>
        <v>727</v>
      </c>
      <c r="D725">
        <f t="shared" si="122"/>
        <v>61</v>
      </c>
      <c r="E725">
        <f>[1]model_point!$C$2+D725-1</f>
        <v>65</v>
      </c>
      <c r="F725">
        <f>VLOOKUP(E725,'[1]202512 BE mortality'!$A:$C,3,0)</f>
        <v>2.2000359675133072E-3</v>
      </c>
      <c r="G725">
        <f>VLOOKUP(D725,'[1]202512 BE lapse'!$C:$D,2,0)</f>
        <v>3.3752112174270442E-3</v>
      </c>
      <c r="H725">
        <f>VLOOKUP($B725,'[1]202512 RFR'!$A:$B,2,0)</f>
        <v>1.2E-2</v>
      </c>
      <c r="I725">
        <f t="shared" si="129"/>
        <v>1.0636551738014322</v>
      </c>
      <c r="J725">
        <f t="shared" si="130"/>
        <v>1.9523937896829977E-4</v>
      </c>
      <c r="K725">
        <f t="shared" si="131"/>
        <v>0</v>
      </c>
      <c r="L725">
        <f t="shared" si="123"/>
        <v>0.42259736365553807</v>
      </c>
      <c r="M725">
        <f>IF(AND(MOD(C725,12)=1,D725&lt;='[1]Product parameters'!$C$2),I724*[1]model_point!$G$2,0)</f>
        <v>0</v>
      </c>
      <c r="N725">
        <f t="shared" si="124"/>
        <v>0</v>
      </c>
      <c r="O725">
        <f>[2]results_sample_product_cf!G724</f>
        <v>0</v>
      </c>
      <c r="P725">
        <f>[2]results_sample_product_cf!H724</f>
        <v>0</v>
      </c>
      <c r="Q725">
        <f t="shared" si="125"/>
        <v>0</v>
      </c>
      <c r="R725">
        <f t="shared" si="121"/>
        <v>0</v>
      </c>
    </row>
    <row r="726" spans="1:18" x14ac:dyDescent="0.3">
      <c r="A726">
        <f t="shared" si="126"/>
        <v>723</v>
      </c>
      <c r="B726">
        <f t="shared" si="127"/>
        <v>61</v>
      </c>
      <c r="C726">
        <f t="shared" si="128"/>
        <v>728</v>
      </c>
      <c r="D726">
        <f t="shared" si="122"/>
        <v>61</v>
      </c>
      <c r="E726">
        <f>[1]model_point!$C$2+D726-1</f>
        <v>65</v>
      </c>
      <c r="F726">
        <f>VLOOKUP(E726,'[1]202512 BE mortality'!$A:$C,3,0)</f>
        <v>2.2000359675133072E-3</v>
      </c>
      <c r="G726">
        <f>VLOOKUP(D726,'[1]202512 BE lapse'!$C:$D,2,0)</f>
        <v>3.3752112174270442E-3</v>
      </c>
      <c r="H726">
        <f>VLOOKUP($B726,'[1]202512 RFR'!$A:$B,2,0)</f>
        <v>1.2E-2</v>
      </c>
      <c r="I726">
        <f t="shared" si="129"/>
        <v>1.0634599702530794</v>
      </c>
      <c r="J726">
        <f t="shared" si="130"/>
        <v>1.9520354835280375E-4</v>
      </c>
      <c r="K726">
        <f t="shared" si="131"/>
        <v>0</v>
      </c>
      <c r="L726">
        <f t="shared" si="123"/>
        <v>0.42217749049374048</v>
      </c>
      <c r="M726">
        <f>IF(AND(MOD(C726,12)=1,D726&lt;='[1]Product parameters'!$C$2),I725*[1]model_point!$G$2,0)</f>
        <v>0</v>
      </c>
      <c r="N726">
        <f t="shared" si="124"/>
        <v>0</v>
      </c>
      <c r="O726">
        <f>[2]results_sample_product_cf!G725</f>
        <v>0</v>
      </c>
      <c r="P726">
        <f>[2]results_sample_product_cf!H725</f>
        <v>0</v>
      </c>
      <c r="Q726">
        <f t="shared" si="125"/>
        <v>0</v>
      </c>
      <c r="R726">
        <f t="shared" si="121"/>
        <v>0</v>
      </c>
    </row>
    <row r="727" spans="1:18" x14ac:dyDescent="0.3">
      <c r="A727">
        <f t="shared" si="126"/>
        <v>724</v>
      </c>
      <c r="B727">
        <f t="shared" si="127"/>
        <v>61</v>
      </c>
      <c r="C727">
        <f t="shared" si="128"/>
        <v>729</v>
      </c>
      <c r="D727">
        <f t="shared" si="122"/>
        <v>61</v>
      </c>
      <c r="E727">
        <f>[1]model_point!$C$2+D727-1</f>
        <v>65</v>
      </c>
      <c r="F727">
        <f>VLOOKUP(E727,'[1]202512 BE mortality'!$A:$C,3,0)</f>
        <v>2.2000359675133072E-3</v>
      </c>
      <c r="G727">
        <f>VLOOKUP(D727,'[1]202512 BE lapse'!$C:$D,2,0)</f>
        <v>3.3752112174270442E-3</v>
      </c>
      <c r="H727">
        <f>VLOOKUP($B727,'[1]202512 RFR'!$A:$B,2,0)</f>
        <v>1.2E-2</v>
      </c>
      <c r="I727">
        <f t="shared" si="129"/>
        <v>1.0632648025287663</v>
      </c>
      <c r="J727">
        <f t="shared" si="130"/>
        <v>1.9516772431299456E-4</v>
      </c>
      <c r="K727">
        <f t="shared" si="131"/>
        <v>0</v>
      </c>
      <c r="L727">
        <f t="shared" si="123"/>
        <v>0.42175803449846394</v>
      </c>
      <c r="M727">
        <f>IF(AND(MOD(C727,12)=1,D727&lt;='[1]Product parameters'!$C$2),I726*[1]model_point!$G$2,0)</f>
        <v>0</v>
      </c>
      <c r="N727">
        <f t="shared" si="124"/>
        <v>0</v>
      </c>
      <c r="O727">
        <f>[2]results_sample_product_cf!G726</f>
        <v>0</v>
      </c>
      <c r="P727">
        <f>[2]results_sample_product_cf!H726</f>
        <v>0</v>
      </c>
      <c r="Q727">
        <f t="shared" si="125"/>
        <v>0</v>
      </c>
      <c r="R727">
        <f t="shared" si="121"/>
        <v>0</v>
      </c>
    </row>
    <row r="728" spans="1:18" x14ac:dyDescent="0.3">
      <c r="A728">
        <f t="shared" si="126"/>
        <v>725</v>
      </c>
      <c r="B728">
        <f t="shared" si="127"/>
        <v>61</v>
      </c>
      <c r="C728">
        <f t="shared" si="128"/>
        <v>730</v>
      </c>
      <c r="D728">
        <f t="shared" si="122"/>
        <v>61</v>
      </c>
      <c r="E728">
        <f>[1]model_point!$C$2+D728-1</f>
        <v>65</v>
      </c>
      <c r="F728">
        <f>VLOOKUP(E728,'[1]202512 BE mortality'!$A:$C,3,0)</f>
        <v>2.2000359675133072E-3</v>
      </c>
      <c r="G728">
        <f>VLOOKUP(D728,'[1]202512 BE lapse'!$C:$D,2,0)</f>
        <v>3.3752112174270442E-3</v>
      </c>
      <c r="H728">
        <f>VLOOKUP($B728,'[1]202512 RFR'!$A:$B,2,0)</f>
        <v>1.2E-2</v>
      </c>
      <c r="I728">
        <f t="shared" si="129"/>
        <v>1.0630696706219187</v>
      </c>
      <c r="J728">
        <f t="shared" si="130"/>
        <v>1.9513190684766537E-4</v>
      </c>
      <c r="K728">
        <f t="shared" si="131"/>
        <v>0</v>
      </c>
      <c r="L728">
        <f t="shared" si="123"/>
        <v>0.42133899525523111</v>
      </c>
      <c r="M728">
        <f>IF(AND(MOD(C728,12)=1,D728&lt;='[1]Product parameters'!$C$2),I727*[1]model_point!$G$2,0)</f>
        <v>0</v>
      </c>
      <c r="N728">
        <f t="shared" si="124"/>
        <v>0</v>
      </c>
      <c r="O728">
        <f>[2]results_sample_product_cf!G727</f>
        <v>0</v>
      </c>
      <c r="P728">
        <f>[2]results_sample_product_cf!H727</f>
        <v>0</v>
      </c>
      <c r="Q728">
        <f t="shared" si="125"/>
        <v>0</v>
      </c>
      <c r="R728">
        <f t="shared" si="121"/>
        <v>0</v>
      </c>
    </row>
    <row r="729" spans="1:18" x14ac:dyDescent="0.3">
      <c r="A729">
        <f t="shared" si="126"/>
        <v>726</v>
      </c>
      <c r="B729">
        <f t="shared" si="127"/>
        <v>61</v>
      </c>
      <c r="C729">
        <f t="shared" si="128"/>
        <v>731</v>
      </c>
      <c r="D729">
        <f t="shared" si="122"/>
        <v>61</v>
      </c>
      <c r="E729">
        <f>[1]model_point!$C$2+D729-1</f>
        <v>65</v>
      </c>
      <c r="F729">
        <f>VLOOKUP(E729,'[1]202512 BE mortality'!$A:$C,3,0)</f>
        <v>2.2000359675133072E-3</v>
      </c>
      <c r="G729">
        <f>VLOOKUP(D729,'[1]202512 BE lapse'!$C:$D,2,0)</f>
        <v>3.3752112174270442E-3</v>
      </c>
      <c r="H729">
        <f>VLOOKUP($B729,'[1]202512 RFR'!$A:$B,2,0)</f>
        <v>1.2E-2</v>
      </c>
      <c r="I729">
        <f t="shared" si="129"/>
        <v>1.0628745745259631</v>
      </c>
      <c r="J729">
        <f t="shared" si="130"/>
        <v>1.9509609595560966E-4</v>
      </c>
      <c r="K729">
        <f t="shared" si="131"/>
        <v>0</v>
      </c>
      <c r="L729">
        <f t="shared" si="123"/>
        <v>0.42092037234997648</v>
      </c>
      <c r="M729">
        <f>IF(AND(MOD(C729,12)=1,D729&lt;='[1]Product parameters'!$C$2),I728*[1]model_point!$G$2,0)</f>
        <v>0</v>
      </c>
      <c r="N729">
        <f t="shared" si="124"/>
        <v>0</v>
      </c>
      <c r="O729">
        <f>[2]results_sample_product_cf!G728</f>
        <v>0</v>
      </c>
      <c r="P729">
        <f>[2]results_sample_product_cf!H728</f>
        <v>0</v>
      </c>
      <c r="Q729">
        <f t="shared" si="125"/>
        <v>0</v>
      </c>
      <c r="R729">
        <f t="shared" si="121"/>
        <v>0</v>
      </c>
    </row>
    <row r="730" spans="1:18" x14ac:dyDescent="0.3">
      <c r="A730">
        <f t="shared" si="126"/>
        <v>727</v>
      </c>
      <c r="B730">
        <f t="shared" si="127"/>
        <v>61</v>
      </c>
      <c r="C730">
        <f t="shared" si="128"/>
        <v>732</v>
      </c>
      <c r="D730">
        <f t="shared" si="122"/>
        <v>61</v>
      </c>
      <c r="E730">
        <f>[1]model_point!$C$2+D730-1</f>
        <v>65</v>
      </c>
      <c r="F730">
        <f>VLOOKUP(E730,'[1]202512 BE mortality'!$A:$C,3,0)</f>
        <v>2.2000359675133072E-3</v>
      </c>
      <c r="G730">
        <f>VLOOKUP(D730,'[1]202512 BE lapse'!$C:$D,2,0)</f>
        <v>3.3752112174270442E-3</v>
      </c>
      <c r="H730">
        <f>VLOOKUP($B730,'[1]202512 RFR'!$A:$B,2,0)</f>
        <v>1.2E-2</v>
      </c>
      <c r="I730">
        <f t="shared" si="129"/>
        <v>1.0590927464173538</v>
      </c>
      <c r="J730">
        <f t="shared" si="130"/>
        <v>1.9506029163562105E-4</v>
      </c>
      <c r="K730">
        <f t="shared" si="131"/>
        <v>3.5867678169736244E-3</v>
      </c>
      <c r="L730">
        <f t="shared" si="123"/>
        <v>0.42050216536904589</v>
      </c>
      <c r="M730">
        <f>IF(AND(MOD(C730,12)=1,D730&lt;='[1]Product parameters'!$C$2),I729*[1]model_point!$G$2,0)</f>
        <v>0</v>
      </c>
      <c r="N730">
        <f t="shared" si="124"/>
        <v>0</v>
      </c>
      <c r="O730">
        <f>[2]results_sample_product_cf!G729</f>
        <v>0</v>
      </c>
      <c r="P730">
        <f>[2]results_sample_product_cf!H729</f>
        <v>0</v>
      </c>
      <c r="Q730">
        <f t="shared" si="125"/>
        <v>0</v>
      </c>
      <c r="R730">
        <f t="shared" si="121"/>
        <v>0</v>
      </c>
    </row>
    <row r="731" spans="1:18" x14ac:dyDescent="0.3">
      <c r="A731">
        <f t="shared" si="126"/>
        <v>728</v>
      </c>
      <c r="B731">
        <f t="shared" si="127"/>
        <v>61</v>
      </c>
      <c r="C731">
        <f t="shared" si="128"/>
        <v>733</v>
      </c>
      <c r="D731">
        <f t="shared" si="122"/>
        <v>62</v>
      </c>
      <c r="E731">
        <f>[1]model_point!$C$2+D731-1</f>
        <v>66</v>
      </c>
      <c r="F731">
        <f>VLOOKUP(E731,'[1]202512 BE mortality'!$A:$C,3,0)</f>
        <v>4.9984193649651098E-3</v>
      </c>
      <c r="G731">
        <f>VLOOKUP(D731,'[1]202512 BE lapse'!$C:$D,2,0)</f>
        <v>9.2866407847567393E-3</v>
      </c>
      <c r="H731">
        <f>VLOOKUP($B731,'[1]202512 RFR'!$A:$B,2,0)</f>
        <v>1.2E-2</v>
      </c>
      <c r="I731">
        <f t="shared" si="129"/>
        <v>1.058650583389839</v>
      </c>
      <c r="J731">
        <f t="shared" si="130"/>
        <v>4.4216302751488618E-4</v>
      </c>
      <c r="K731">
        <f t="shared" si="131"/>
        <v>0</v>
      </c>
      <c r="L731">
        <f t="shared" si="123"/>
        <v>0.42008437389919623</v>
      </c>
      <c r="M731">
        <f>IF(AND(MOD(C731,12)=1,D731&lt;='[1]Product parameters'!$C$2),I730*[1]model_point!$G$2,0)</f>
        <v>0</v>
      </c>
      <c r="N731">
        <f t="shared" si="124"/>
        <v>0</v>
      </c>
      <c r="O731">
        <f>[2]results_sample_product_cf!G730</f>
        <v>0</v>
      </c>
      <c r="P731">
        <f>[2]results_sample_product_cf!H730</f>
        <v>0</v>
      </c>
      <c r="Q731">
        <f t="shared" si="125"/>
        <v>0</v>
      </c>
      <c r="R731">
        <f t="shared" si="121"/>
        <v>0</v>
      </c>
    </row>
    <row r="732" spans="1:18" x14ac:dyDescent="0.3">
      <c r="A732">
        <f t="shared" si="126"/>
        <v>729</v>
      </c>
      <c r="B732">
        <f t="shared" si="127"/>
        <v>61</v>
      </c>
      <c r="C732">
        <f t="shared" si="128"/>
        <v>734</v>
      </c>
      <c r="D732">
        <f t="shared" si="122"/>
        <v>62</v>
      </c>
      <c r="E732">
        <f>[1]model_point!$C$2+D732-1</f>
        <v>66</v>
      </c>
      <c r="F732">
        <f>VLOOKUP(E732,'[1]202512 BE mortality'!$A:$C,3,0)</f>
        <v>4.9984193649651098E-3</v>
      </c>
      <c r="G732">
        <f>VLOOKUP(D732,'[1]202512 BE lapse'!$C:$D,2,0)</f>
        <v>9.2866407847567393E-3</v>
      </c>
      <c r="H732">
        <f>VLOOKUP($B732,'[1]202512 RFR'!$A:$B,2,0)</f>
        <v>1.2E-2</v>
      </c>
      <c r="I732">
        <f t="shared" si="129"/>
        <v>1.058208604961967</v>
      </c>
      <c r="J732">
        <f t="shared" si="130"/>
        <v>4.4197842787187811E-4</v>
      </c>
      <c r="K732">
        <f t="shared" si="131"/>
        <v>0</v>
      </c>
      <c r="L732">
        <f t="shared" si="123"/>
        <v>0.41966699752759495</v>
      </c>
      <c r="M732">
        <f>IF(AND(MOD(C732,12)=1,D732&lt;='[1]Product parameters'!$C$2),I731*[1]model_point!$G$2,0)</f>
        <v>0</v>
      </c>
      <c r="N732">
        <f t="shared" si="124"/>
        <v>0</v>
      </c>
      <c r="O732">
        <f>[2]results_sample_product_cf!G731</f>
        <v>0</v>
      </c>
      <c r="P732">
        <f>[2]results_sample_product_cf!H731</f>
        <v>0</v>
      </c>
      <c r="Q732">
        <f t="shared" si="125"/>
        <v>0</v>
      </c>
      <c r="R732">
        <f t="shared" si="121"/>
        <v>0</v>
      </c>
    </row>
    <row r="733" spans="1:18" x14ac:dyDescent="0.3">
      <c r="A733">
        <f t="shared" si="126"/>
        <v>730</v>
      </c>
      <c r="B733">
        <f t="shared" si="127"/>
        <v>61</v>
      </c>
      <c r="C733">
        <f t="shared" si="128"/>
        <v>735</v>
      </c>
      <c r="D733">
        <f t="shared" si="122"/>
        <v>62</v>
      </c>
      <c r="E733">
        <f>[1]model_point!$C$2+D733-1</f>
        <v>66</v>
      </c>
      <c r="F733">
        <f>VLOOKUP(E733,'[1]202512 BE mortality'!$A:$C,3,0)</f>
        <v>4.9984193649651098E-3</v>
      </c>
      <c r="G733">
        <f>VLOOKUP(D733,'[1]202512 BE lapse'!$C:$D,2,0)</f>
        <v>9.2866407847567393E-3</v>
      </c>
      <c r="H733">
        <f>VLOOKUP($B733,'[1]202512 RFR'!$A:$B,2,0)</f>
        <v>1.2E-2</v>
      </c>
      <c r="I733">
        <f t="shared" si="129"/>
        <v>1.0577668110566691</v>
      </c>
      <c r="J733">
        <f t="shared" si="130"/>
        <v>4.4179390529779268E-4</v>
      </c>
      <c r="K733">
        <f t="shared" si="131"/>
        <v>0</v>
      </c>
      <c r="L733">
        <f t="shared" si="123"/>
        <v>0.41925003584181963</v>
      </c>
      <c r="M733">
        <f>IF(AND(MOD(C733,12)=1,D733&lt;='[1]Product parameters'!$C$2),I732*[1]model_point!$G$2,0)</f>
        <v>0</v>
      </c>
      <c r="N733">
        <f t="shared" si="124"/>
        <v>0</v>
      </c>
      <c r="O733">
        <f>[2]results_sample_product_cf!G732</f>
        <v>0</v>
      </c>
      <c r="P733">
        <f>[2]results_sample_product_cf!H732</f>
        <v>0</v>
      </c>
      <c r="Q733">
        <f t="shared" si="125"/>
        <v>0</v>
      </c>
      <c r="R733">
        <f t="shared" si="121"/>
        <v>0</v>
      </c>
    </row>
    <row r="734" spans="1:18" x14ac:dyDescent="0.3">
      <c r="A734">
        <f t="shared" si="126"/>
        <v>731</v>
      </c>
      <c r="B734">
        <f t="shared" si="127"/>
        <v>61</v>
      </c>
      <c r="C734">
        <f t="shared" si="128"/>
        <v>736</v>
      </c>
      <c r="D734">
        <f t="shared" si="122"/>
        <v>62</v>
      </c>
      <c r="E734">
        <f>[1]model_point!$C$2+D734-1</f>
        <v>66</v>
      </c>
      <c r="F734">
        <f>VLOOKUP(E734,'[1]202512 BE mortality'!$A:$C,3,0)</f>
        <v>4.9984193649651098E-3</v>
      </c>
      <c r="G734">
        <f>VLOOKUP(D734,'[1]202512 BE lapse'!$C:$D,2,0)</f>
        <v>9.2866407847567393E-3</v>
      </c>
      <c r="H734">
        <f>VLOOKUP($B734,'[1]202512 RFR'!$A:$B,2,0)</f>
        <v>1.2E-2</v>
      </c>
      <c r="I734">
        <f t="shared" si="129"/>
        <v>1.0573252015969088</v>
      </c>
      <c r="J734">
        <f t="shared" si="130"/>
        <v>4.416094597604543E-4</v>
      </c>
      <c r="K734">
        <f t="shared" si="131"/>
        <v>0</v>
      </c>
      <c r="L734">
        <f t="shared" si="123"/>
        <v>0.41883348842985768</v>
      </c>
      <c r="M734">
        <f>IF(AND(MOD(C734,12)=1,D734&lt;='[1]Product parameters'!$C$2),I733*[1]model_point!$G$2,0)</f>
        <v>0</v>
      </c>
      <c r="N734">
        <f t="shared" si="124"/>
        <v>0</v>
      </c>
      <c r="O734">
        <f>[2]results_sample_product_cf!G733</f>
        <v>0</v>
      </c>
      <c r="P734">
        <f>[2]results_sample_product_cf!H733</f>
        <v>0</v>
      </c>
      <c r="Q734">
        <f t="shared" si="125"/>
        <v>0</v>
      </c>
      <c r="R734">
        <f t="shared" si="121"/>
        <v>0</v>
      </c>
    </row>
    <row r="735" spans="1:18" x14ac:dyDescent="0.3">
      <c r="A735">
        <f t="shared" si="126"/>
        <v>732</v>
      </c>
      <c r="B735">
        <f t="shared" si="127"/>
        <v>61</v>
      </c>
      <c r="C735">
        <f t="shared" si="128"/>
        <v>737</v>
      </c>
      <c r="D735">
        <f t="shared" si="122"/>
        <v>62</v>
      </c>
      <c r="E735">
        <f>[1]model_point!$C$2+D735-1</f>
        <v>66</v>
      </c>
      <c r="F735">
        <f>VLOOKUP(E735,'[1]202512 BE mortality'!$A:$C,3,0)</f>
        <v>4.9984193649651098E-3</v>
      </c>
      <c r="G735">
        <f>VLOOKUP(D735,'[1]202512 BE lapse'!$C:$D,2,0)</f>
        <v>9.2866407847567393E-3</v>
      </c>
      <c r="H735">
        <f>VLOOKUP($B735,'[1]202512 RFR'!$A:$B,2,0)</f>
        <v>1.2E-2</v>
      </c>
      <c r="I735">
        <f t="shared" si="129"/>
        <v>1.0568837765056811</v>
      </c>
      <c r="J735">
        <f t="shared" si="130"/>
        <v>4.4142509122770075E-4</v>
      </c>
      <c r="K735">
        <f t="shared" si="131"/>
        <v>0</v>
      </c>
      <c r="L735">
        <f t="shared" si="123"/>
        <v>0.41841735488010584</v>
      </c>
      <c r="M735">
        <f>IF(AND(MOD(C735,12)=1,D735&lt;='[1]Product parameters'!$C$2),I734*[1]model_point!$G$2,0)</f>
        <v>0</v>
      </c>
      <c r="N735">
        <f t="shared" si="124"/>
        <v>0</v>
      </c>
      <c r="O735">
        <f>[2]results_sample_product_cf!G734</f>
        <v>0</v>
      </c>
      <c r="P735">
        <f>[2]results_sample_product_cf!H734</f>
        <v>0</v>
      </c>
      <c r="Q735">
        <f t="shared" si="125"/>
        <v>0</v>
      </c>
      <c r="R735">
        <f t="shared" si="121"/>
        <v>0</v>
      </c>
    </row>
    <row r="736" spans="1:18" x14ac:dyDescent="0.3">
      <c r="A736">
        <f t="shared" si="126"/>
        <v>733</v>
      </c>
      <c r="B736">
        <f t="shared" si="127"/>
        <v>62</v>
      </c>
      <c r="C736">
        <f t="shared" si="128"/>
        <v>738</v>
      </c>
      <c r="D736">
        <f t="shared" si="122"/>
        <v>62</v>
      </c>
      <c r="E736">
        <f>[1]model_point!$C$2+D736-1</f>
        <v>66</v>
      </c>
      <c r="F736">
        <f>VLOOKUP(E736,'[1]202512 BE mortality'!$A:$C,3,0)</f>
        <v>4.9984193649651098E-3</v>
      </c>
      <c r="G736">
        <f>VLOOKUP(D736,'[1]202512 BE lapse'!$C:$D,2,0)</f>
        <v>9.2866407847567393E-3</v>
      </c>
      <c r="H736">
        <f>VLOOKUP($B736,'[1]202512 RFR'!$A:$B,2,0)</f>
        <v>1.2E-2</v>
      </c>
      <c r="I736">
        <f t="shared" si="129"/>
        <v>1.0564425357060137</v>
      </c>
      <c r="J736">
        <f t="shared" si="130"/>
        <v>4.4124079966738323E-4</v>
      </c>
      <c r="K736">
        <f t="shared" si="131"/>
        <v>0</v>
      </c>
      <c r="L736">
        <f t="shared" si="123"/>
        <v>0.41800163478136976</v>
      </c>
      <c r="M736">
        <f>IF(AND(MOD(C736,12)=1,D736&lt;='[1]Product parameters'!$C$2),I735*[1]model_point!$G$2,0)</f>
        <v>0</v>
      </c>
      <c r="N736">
        <f t="shared" si="124"/>
        <v>0</v>
      </c>
      <c r="O736">
        <f>[2]results_sample_product_cf!G735</f>
        <v>0</v>
      </c>
      <c r="P736">
        <f>[2]results_sample_product_cf!H735</f>
        <v>0</v>
      </c>
      <c r="Q736">
        <f t="shared" si="125"/>
        <v>0</v>
      </c>
      <c r="R736">
        <f t="shared" si="121"/>
        <v>0</v>
      </c>
    </row>
    <row r="737" spans="1:18" x14ac:dyDescent="0.3">
      <c r="A737">
        <f t="shared" si="126"/>
        <v>734</v>
      </c>
      <c r="B737">
        <f t="shared" si="127"/>
        <v>62</v>
      </c>
      <c r="C737">
        <f t="shared" si="128"/>
        <v>739</v>
      </c>
      <c r="D737">
        <f t="shared" si="122"/>
        <v>62</v>
      </c>
      <c r="E737">
        <f>[1]model_point!$C$2+D737-1</f>
        <v>66</v>
      </c>
      <c r="F737">
        <f>VLOOKUP(E737,'[1]202512 BE mortality'!$A:$C,3,0)</f>
        <v>4.9984193649651098E-3</v>
      </c>
      <c r="G737">
        <f>VLOOKUP(D737,'[1]202512 BE lapse'!$C:$D,2,0)</f>
        <v>9.2866407847567393E-3</v>
      </c>
      <c r="H737">
        <f>VLOOKUP($B737,'[1]202512 RFR'!$A:$B,2,0)</f>
        <v>1.2E-2</v>
      </c>
      <c r="I737">
        <f t="shared" si="129"/>
        <v>1.0560014791209662</v>
      </c>
      <c r="J737">
        <f t="shared" si="130"/>
        <v>4.4105658504736618E-4</v>
      </c>
      <c r="K737">
        <f t="shared" si="131"/>
        <v>0</v>
      </c>
      <c r="L737">
        <f t="shared" si="123"/>
        <v>0.41758632772286364</v>
      </c>
      <c r="M737">
        <f>IF(AND(MOD(C737,12)=1,D737&lt;='[1]Product parameters'!$C$2),I736*[1]model_point!$G$2,0)</f>
        <v>0</v>
      </c>
      <c r="N737">
        <f t="shared" si="124"/>
        <v>0</v>
      </c>
      <c r="O737">
        <f>[2]results_sample_product_cf!G736</f>
        <v>0</v>
      </c>
      <c r="P737">
        <f>[2]results_sample_product_cf!H736</f>
        <v>0</v>
      </c>
      <c r="Q737">
        <f t="shared" si="125"/>
        <v>0</v>
      </c>
      <c r="R737">
        <f t="shared" si="121"/>
        <v>0</v>
      </c>
    </row>
    <row r="738" spans="1:18" x14ac:dyDescent="0.3">
      <c r="A738">
        <f t="shared" si="126"/>
        <v>735</v>
      </c>
      <c r="B738">
        <f t="shared" si="127"/>
        <v>62</v>
      </c>
      <c r="C738">
        <f t="shared" si="128"/>
        <v>740</v>
      </c>
      <c r="D738">
        <f t="shared" si="122"/>
        <v>62</v>
      </c>
      <c r="E738">
        <f>[1]model_point!$C$2+D738-1</f>
        <v>66</v>
      </c>
      <c r="F738">
        <f>VLOOKUP(E738,'[1]202512 BE mortality'!$A:$C,3,0)</f>
        <v>4.9984193649651098E-3</v>
      </c>
      <c r="G738">
        <f>VLOOKUP(D738,'[1]202512 BE lapse'!$C:$D,2,0)</f>
        <v>9.2866407847567393E-3</v>
      </c>
      <c r="H738">
        <f>VLOOKUP($B738,'[1]202512 RFR'!$A:$B,2,0)</f>
        <v>1.2E-2</v>
      </c>
      <c r="I738">
        <f t="shared" si="129"/>
        <v>1.0555606066736307</v>
      </c>
      <c r="J738">
        <f t="shared" si="130"/>
        <v>4.4087244733552775E-4</v>
      </c>
      <c r="K738">
        <f t="shared" si="131"/>
        <v>0</v>
      </c>
      <c r="L738">
        <f t="shared" si="123"/>
        <v>0.41717143329420991</v>
      </c>
      <c r="M738">
        <f>IF(AND(MOD(C738,12)=1,D738&lt;='[1]Product parameters'!$C$2),I737*[1]model_point!$G$2,0)</f>
        <v>0</v>
      </c>
      <c r="N738">
        <f t="shared" si="124"/>
        <v>0</v>
      </c>
      <c r="O738">
        <f>[2]results_sample_product_cf!G737</f>
        <v>0</v>
      </c>
      <c r="P738">
        <f>[2]results_sample_product_cf!H737</f>
        <v>0</v>
      </c>
      <c r="Q738">
        <f t="shared" si="125"/>
        <v>0</v>
      </c>
      <c r="R738">
        <f t="shared" si="121"/>
        <v>0</v>
      </c>
    </row>
    <row r="739" spans="1:18" x14ac:dyDescent="0.3">
      <c r="A739">
        <f t="shared" si="126"/>
        <v>736</v>
      </c>
      <c r="B739">
        <f t="shared" si="127"/>
        <v>62</v>
      </c>
      <c r="C739">
        <f t="shared" si="128"/>
        <v>741</v>
      </c>
      <c r="D739">
        <f t="shared" si="122"/>
        <v>62</v>
      </c>
      <c r="E739">
        <f>[1]model_point!$C$2+D739-1</f>
        <v>66</v>
      </c>
      <c r="F739">
        <f>VLOOKUP(E739,'[1]202512 BE mortality'!$A:$C,3,0)</f>
        <v>4.9984193649651098E-3</v>
      </c>
      <c r="G739">
        <f>VLOOKUP(D739,'[1]202512 BE lapse'!$C:$D,2,0)</f>
        <v>9.2866407847567393E-3</v>
      </c>
      <c r="H739">
        <f>VLOOKUP($B739,'[1]202512 RFR'!$A:$B,2,0)</f>
        <v>1.2E-2</v>
      </c>
      <c r="I739">
        <f t="shared" si="129"/>
        <v>1.0551199182871309</v>
      </c>
      <c r="J739">
        <f t="shared" si="130"/>
        <v>4.4068838649975945E-4</v>
      </c>
      <c r="K739">
        <f t="shared" si="131"/>
        <v>0</v>
      </c>
      <c r="L739">
        <f t="shared" si="123"/>
        <v>0.41675695108543864</v>
      </c>
      <c r="M739">
        <f>IF(AND(MOD(C739,12)=1,D739&lt;='[1]Product parameters'!$C$2),I738*[1]model_point!$G$2,0)</f>
        <v>0</v>
      </c>
      <c r="N739">
        <f t="shared" si="124"/>
        <v>0</v>
      </c>
      <c r="O739">
        <f>[2]results_sample_product_cf!G738</f>
        <v>0</v>
      </c>
      <c r="P739">
        <f>[2]results_sample_product_cf!H738</f>
        <v>0</v>
      </c>
      <c r="Q739">
        <f t="shared" si="125"/>
        <v>0</v>
      </c>
      <c r="R739">
        <f t="shared" si="121"/>
        <v>0</v>
      </c>
    </row>
    <row r="740" spans="1:18" x14ac:dyDescent="0.3">
      <c r="A740">
        <f t="shared" si="126"/>
        <v>737</v>
      </c>
      <c r="B740">
        <f t="shared" si="127"/>
        <v>62</v>
      </c>
      <c r="C740">
        <f t="shared" si="128"/>
        <v>742</v>
      </c>
      <c r="D740">
        <f t="shared" si="122"/>
        <v>62</v>
      </c>
      <c r="E740">
        <f>[1]model_point!$C$2+D740-1</f>
        <v>66</v>
      </c>
      <c r="F740">
        <f>VLOOKUP(E740,'[1]202512 BE mortality'!$A:$C,3,0)</f>
        <v>4.9984193649651098E-3</v>
      </c>
      <c r="G740">
        <f>VLOOKUP(D740,'[1]202512 BE lapse'!$C:$D,2,0)</f>
        <v>9.2866407847567393E-3</v>
      </c>
      <c r="H740">
        <f>VLOOKUP($B740,'[1]202512 RFR'!$A:$B,2,0)</f>
        <v>1.2E-2</v>
      </c>
      <c r="I740">
        <f t="shared" si="129"/>
        <v>1.0546794138846229</v>
      </c>
      <c r="J740">
        <f t="shared" si="130"/>
        <v>4.4050440250796596E-4</v>
      </c>
      <c r="K740">
        <f t="shared" si="131"/>
        <v>0</v>
      </c>
      <c r="L740">
        <f t="shared" si="123"/>
        <v>0.41634288068698722</v>
      </c>
      <c r="M740">
        <f>IF(AND(MOD(C740,12)=1,D740&lt;='[1]Product parameters'!$C$2),I739*[1]model_point!$G$2,0)</f>
        <v>0</v>
      </c>
      <c r="N740">
        <f t="shared" si="124"/>
        <v>0</v>
      </c>
      <c r="O740">
        <f>[2]results_sample_product_cf!G739</f>
        <v>0</v>
      </c>
      <c r="P740">
        <f>[2]results_sample_product_cf!H739</f>
        <v>0</v>
      </c>
      <c r="Q740">
        <f t="shared" si="125"/>
        <v>0</v>
      </c>
      <c r="R740">
        <f t="shared" si="121"/>
        <v>0</v>
      </c>
    </row>
    <row r="741" spans="1:18" x14ac:dyDescent="0.3">
      <c r="A741">
        <f t="shared" si="126"/>
        <v>738</v>
      </c>
      <c r="B741">
        <f t="shared" si="127"/>
        <v>62</v>
      </c>
      <c r="C741">
        <f t="shared" si="128"/>
        <v>743</v>
      </c>
      <c r="D741">
        <f t="shared" si="122"/>
        <v>62</v>
      </c>
      <c r="E741">
        <f>[1]model_point!$C$2+D741-1</f>
        <v>66</v>
      </c>
      <c r="F741">
        <f>VLOOKUP(E741,'[1]202512 BE mortality'!$A:$C,3,0)</f>
        <v>4.9984193649651098E-3</v>
      </c>
      <c r="G741">
        <f>VLOOKUP(D741,'[1]202512 BE lapse'!$C:$D,2,0)</f>
        <v>9.2866407847567393E-3</v>
      </c>
      <c r="H741">
        <f>VLOOKUP($B741,'[1]202512 RFR'!$A:$B,2,0)</f>
        <v>1.2E-2</v>
      </c>
      <c r="I741">
        <f t="shared" si="129"/>
        <v>1.0542390933892949</v>
      </c>
      <c r="J741">
        <f t="shared" si="130"/>
        <v>4.4032049532806558E-4</v>
      </c>
      <c r="K741">
        <f t="shared" si="131"/>
        <v>0</v>
      </c>
      <c r="L741">
        <f t="shared" si="123"/>
        <v>0.41592922168970003</v>
      </c>
      <c r="M741">
        <f>IF(AND(MOD(C741,12)=1,D741&lt;='[1]Product parameters'!$C$2),I740*[1]model_point!$G$2,0)</f>
        <v>0</v>
      </c>
      <c r="N741">
        <f t="shared" si="124"/>
        <v>0</v>
      </c>
      <c r="O741">
        <f>[2]results_sample_product_cf!G740</f>
        <v>0</v>
      </c>
      <c r="P741">
        <f>[2]results_sample_product_cf!H740</f>
        <v>0</v>
      </c>
      <c r="Q741">
        <f t="shared" si="125"/>
        <v>0</v>
      </c>
      <c r="R741">
        <f t="shared" si="121"/>
        <v>0</v>
      </c>
    </row>
    <row r="742" spans="1:18" x14ac:dyDescent="0.3">
      <c r="A742">
        <f t="shared" si="126"/>
        <v>739</v>
      </c>
      <c r="B742">
        <f t="shared" si="127"/>
        <v>62</v>
      </c>
      <c r="C742">
        <f t="shared" si="128"/>
        <v>744</v>
      </c>
      <c r="D742">
        <f t="shared" si="122"/>
        <v>62</v>
      </c>
      <c r="E742">
        <f>[1]model_point!$C$2+D742-1</f>
        <v>66</v>
      </c>
      <c r="F742">
        <f>VLOOKUP(E742,'[1]202512 BE mortality'!$A:$C,3,0)</f>
        <v>4.9984193649651098E-3</v>
      </c>
      <c r="G742">
        <f>VLOOKUP(D742,'[1]202512 BE lapse'!$C:$D,2,0)</f>
        <v>9.2866407847567393E-3</v>
      </c>
      <c r="H742">
        <f>VLOOKUP($B742,'[1]202512 RFR'!$A:$B,2,0)</f>
        <v>1.2E-2</v>
      </c>
      <c r="I742">
        <f t="shared" si="129"/>
        <v>1.0440127043539162</v>
      </c>
      <c r="J742">
        <f t="shared" si="130"/>
        <v>4.4013666492798994E-4</v>
      </c>
      <c r="K742">
        <f t="shared" si="131"/>
        <v>9.7862523704506082E-3</v>
      </c>
      <c r="L742">
        <f t="shared" si="123"/>
        <v>0.41551597368482796</v>
      </c>
      <c r="M742">
        <f>IF(AND(MOD(C742,12)=1,D742&lt;='[1]Product parameters'!$C$2),I741*[1]model_point!$G$2,0)</f>
        <v>0</v>
      </c>
      <c r="N742">
        <f t="shared" si="124"/>
        <v>0</v>
      </c>
      <c r="O742">
        <f>[2]results_sample_product_cf!G741</f>
        <v>0</v>
      </c>
      <c r="P742">
        <f>[2]results_sample_product_cf!H741</f>
        <v>0</v>
      </c>
      <c r="Q742">
        <f t="shared" si="125"/>
        <v>0</v>
      </c>
      <c r="R742">
        <f t="shared" si="121"/>
        <v>0</v>
      </c>
    </row>
    <row r="743" spans="1:18" x14ac:dyDescent="0.3">
      <c r="A743">
        <f t="shared" si="126"/>
        <v>740</v>
      </c>
      <c r="B743">
        <f t="shared" si="127"/>
        <v>62</v>
      </c>
      <c r="C743">
        <f t="shared" si="128"/>
        <v>745</v>
      </c>
      <c r="D743">
        <f t="shared" si="122"/>
        <v>63</v>
      </c>
      <c r="E743">
        <f>[1]model_point!$C$2+D743-1</f>
        <v>67</v>
      </c>
      <c r="F743">
        <f>VLOOKUP(E743,'[1]202512 BE mortality'!$A:$C,3,0)</f>
        <v>4.9832381690332042E-3</v>
      </c>
      <c r="G743">
        <f>VLOOKUP(D743,'[1]202512 BE lapse'!$C:$D,2,0)</f>
        <v>9.5382215191284828E-3</v>
      </c>
      <c r="H743">
        <f>VLOOKUP($B743,'[1]202512 RFR'!$A:$B,2,0)</f>
        <v>1.2E-2</v>
      </c>
      <c r="I743">
        <f t="shared" si="129"/>
        <v>1.0435781639789212</v>
      </c>
      <c r="J743">
        <f t="shared" si="130"/>
        <v>4.345403749949597E-4</v>
      </c>
      <c r="K743">
        <f t="shared" si="131"/>
        <v>0</v>
      </c>
      <c r="L743">
        <f t="shared" si="123"/>
        <v>0.41510313626402789</v>
      </c>
      <c r="M743">
        <f>IF(AND(MOD(C743,12)=1,D743&lt;='[1]Product parameters'!$C$2),I742*[1]model_point!$G$2,0)</f>
        <v>0</v>
      </c>
      <c r="N743">
        <f t="shared" si="124"/>
        <v>0</v>
      </c>
      <c r="O743">
        <f>[2]results_sample_product_cf!G742</f>
        <v>0</v>
      </c>
      <c r="P743">
        <f>[2]results_sample_product_cf!H742</f>
        <v>0</v>
      </c>
      <c r="Q743">
        <f t="shared" si="125"/>
        <v>0</v>
      </c>
      <c r="R743">
        <f t="shared" si="121"/>
        <v>0</v>
      </c>
    </row>
    <row r="744" spans="1:18" x14ac:dyDescent="0.3">
      <c r="A744">
        <f t="shared" si="126"/>
        <v>741</v>
      </c>
      <c r="B744">
        <f t="shared" si="127"/>
        <v>62</v>
      </c>
      <c r="C744">
        <f t="shared" si="128"/>
        <v>746</v>
      </c>
      <c r="D744">
        <f t="shared" si="122"/>
        <v>63</v>
      </c>
      <c r="E744">
        <f>[1]model_point!$C$2+D744-1</f>
        <v>67</v>
      </c>
      <c r="F744">
        <f>VLOOKUP(E744,'[1]202512 BE mortality'!$A:$C,3,0)</f>
        <v>4.9832381690332042E-3</v>
      </c>
      <c r="G744">
        <f>VLOOKUP(D744,'[1]202512 BE lapse'!$C:$D,2,0)</f>
        <v>9.5382215191284828E-3</v>
      </c>
      <c r="H744">
        <f>VLOOKUP($B744,'[1]202512 RFR'!$A:$B,2,0)</f>
        <v>1.2E-2</v>
      </c>
      <c r="I744">
        <f t="shared" si="129"/>
        <v>1.0431438044689068</v>
      </c>
      <c r="J744">
        <f t="shared" si="130"/>
        <v>4.3435951001437724E-4</v>
      </c>
      <c r="K744">
        <f t="shared" si="131"/>
        <v>0</v>
      </c>
      <c r="L744">
        <f t="shared" si="123"/>
        <v>0.41469070901936261</v>
      </c>
      <c r="M744">
        <f>IF(AND(MOD(C744,12)=1,D744&lt;='[1]Product parameters'!$C$2),I743*[1]model_point!$G$2,0)</f>
        <v>0</v>
      </c>
      <c r="N744">
        <f t="shared" si="124"/>
        <v>0</v>
      </c>
      <c r="O744">
        <f>[2]results_sample_product_cf!G743</f>
        <v>0</v>
      </c>
      <c r="P744">
        <f>[2]results_sample_product_cf!H743</f>
        <v>0</v>
      </c>
      <c r="Q744">
        <f t="shared" si="125"/>
        <v>0</v>
      </c>
      <c r="R744">
        <f t="shared" si="121"/>
        <v>0</v>
      </c>
    </row>
    <row r="745" spans="1:18" x14ac:dyDescent="0.3">
      <c r="A745">
        <f t="shared" si="126"/>
        <v>742</v>
      </c>
      <c r="B745">
        <f t="shared" si="127"/>
        <v>62</v>
      </c>
      <c r="C745">
        <f t="shared" si="128"/>
        <v>747</v>
      </c>
      <c r="D745">
        <f t="shared" si="122"/>
        <v>63</v>
      </c>
      <c r="E745">
        <f>[1]model_point!$C$2+D745-1</f>
        <v>67</v>
      </c>
      <c r="F745">
        <f>VLOOKUP(E745,'[1]202512 BE mortality'!$A:$C,3,0)</f>
        <v>4.9832381690332042E-3</v>
      </c>
      <c r="G745">
        <f>VLOOKUP(D745,'[1]202512 BE lapse'!$C:$D,2,0)</f>
        <v>9.5382215191284828E-3</v>
      </c>
      <c r="H745">
        <f>VLOOKUP($B745,'[1]202512 RFR'!$A:$B,2,0)</f>
        <v>1.2E-2</v>
      </c>
      <c r="I745">
        <f t="shared" si="129"/>
        <v>1.042709625748593</v>
      </c>
      <c r="J745">
        <f t="shared" si="130"/>
        <v>4.3417872031366079E-4</v>
      </c>
      <c r="K745">
        <f t="shared" si="131"/>
        <v>0</v>
      </c>
      <c r="L745">
        <f t="shared" si="123"/>
        <v>0.41427869154330005</v>
      </c>
      <c r="M745">
        <f>IF(AND(MOD(C745,12)=1,D745&lt;='[1]Product parameters'!$C$2),I744*[1]model_point!$G$2,0)</f>
        <v>0</v>
      </c>
      <c r="N745">
        <f t="shared" si="124"/>
        <v>0</v>
      </c>
      <c r="O745">
        <f>[2]results_sample_product_cf!G744</f>
        <v>0</v>
      </c>
      <c r="P745">
        <f>[2]results_sample_product_cf!H744</f>
        <v>0</v>
      </c>
      <c r="Q745">
        <f t="shared" si="125"/>
        <v>0</v>
      </c>
      <c r="R745">
        <f t="shared" si="121"/>
        <v>0</v>
      </c>
    </row>
    <row r="746" spans="1:18" x14ac:dyDescent="0.3">
      <c r="A746">
        <f t="shared" si="126"/>
        <v>743</v>
      </c>
      <c r="B746">
        <f t="shared" si="127"/>
        <v>62</v>
      </c>
      <c r="C746">
        <f t="shared" si="128"/>
        <v>748</v>
      </c>
      <c r="D746">
        <f t="shared" si="122"/>
        <v>63</v>
      </c>
      <c r="E746">
        <f>[1]model_point!$C$2+D746-1</f>
        <v>67</v>
      </c>
      <c r="F746">
        <f>VLOOKUP(E746,'[1]202512 BE mortality'!$A:$C,3,0)</f>
        <v>4.9832381690332042E-3</v>
      </c>
      <c r="G746">
        <f>VLOOKUP(D746,'[1]202512 BE lapse'!$C:$D,2,0)</f>
        <v>9.5382215191284828E-3</v>
      </c>
      <c r="H746">
        <f>VLOOKUP($B746,'[1]202512 RFR'!$A:$B,2,0)</f>
        <v>1.2E-2</v>
      </c>
      <c r="I746">
        <f t="shared" si="129"/>
        <v>1.0422756277427316</v>
      </c>
      <c r="J746">
        <f t="shared" si="130"/>
        <v>4.3399800586147727E-4</v>
      </c>
      <c r="K746">
        <f t="shared" si="131"/>
        <v>0</v>
      </c>
      <c r="L746">
        <f t="shared" si="123"/>
        <v>0.41386708342871315</v>
      </c>
      <c r="M746">
        <f>IF(AND(MOD(C746,12)=1,D746&lt;='[1]Product parameters'!$C$2),I745*[1]model_point!$G$2,0)</f>
        <v>0</v>
      </c>
      <c r="N746">
        <f t="shared" si="124"/>
        <v>0</v>
      </c>
      <c r="O746">
        <f>[2]results_sample_product_cf!G745</f>
        <v>0</v>
      </c>
      <c r="P746">
        <f>[2]results_sample_product_cf!H745</f>
        <v>0</v>
      </c>
      <c r="Q746">
        <f t="shared" si="125"/>
        <v>0</v>
      </c>
      <c r="R746">
        <f t="shared" si="121"/>
        <v>0</v>
      </c>
    </row>
    <row r="747" spans="1:18" x14ac:dyDescent="0.3">
      <c r="A747">
        <f t="shared" si="126"/>
        <v>744</v>
      </c>
      <c r="B747">
        <f t="shared" si="127"/>
        <v>62</v>
      </c>
      <c r="C747">
        <f t="shared" si="128"/>
        <v>749</v>
      </c>
      <c r="D747">
        <f t="shared" si="122"/>
        <v>63</v>
      </c>
      <c r="E747">
        <f>[1]model_point!$C$2+D747-1</f>
        <v>67</v>
      </c>
      <c r="F747">
        <f>VLOOKUP(E747,'[1]202512 BE mortality'!$A:$C,3,0)</f>
        <v>4.9832381690332042E-3</v>
      </c>
      <c r="G747">
        <f>VLOOKUP(D747,'[1]202512 BE lapse'!$C:$D,2,0)</f>
        <v>9.5382215191284828E-3</v>
      </c>
      <c r="H747">
        <f>VLOOKUP($B747,'[1]202512 RFR'!$A:$B,2,0)</f>
        <v>1.2E-2</v>
      </c>
      <c r="I747">
        <f t="shared" si="129"/>
        <v>1.0418418103761051</v>
      </c>
      <c r="J747">
        <f t="shared" si="130"/>
        <v>4.3381736662650668E-4</v>
      </c>
      <c r="K747">
        <f t="shared" si="131"/>
        <v>0</v>
      </c>
      <c r="L747">
        <f t="shared" si="123"/>
        <v>0.4134558842688793</v>
      </c>
      <c r="M747">
        <f>IF(AND(MOD(C747,12)=1,D747&lt;='[1]Product parameters'!$C$2),I746*[1]model_point!$G$2,0)</f>
        <v>0</v>
      </c>
      <c r="N747">
        <f t="shared" si="124"/>
        <v>0</v>
      </c>
      <c r="O747">
        <f>[2]results_sample_product_cf!G746</f>
        <v>0</v>
      </c>
      <c r="P747">
        <f>[2]results_sample_product_cf!H746</f>
        <v>0</v>
      </c>
      <c r="Q747">
        <f t="shared" si="125"/>
        <v>0</v>
      </c>
      <c r="R747">
        <f t="shared" si="121"/>
        <v>0</v>
      </c>
    </row>
    <row r="748" spans="1:18" x14ac:dyDescent="0.3">
      <c r="A748">
        <f t="shared" si="126"/>
        <v>745</v>
      </c>
      <c r="B748">
        <f t="shared" si="127"/>
        <v>63</v>
      </c>
      <c r="C748">
        <f t="shared" si="128"/>
        <v>750</v>
      </c>
      <c r="D748">
        <f t="shared" si="122"/>
        <v>63</v>
      </c>
      <c r="E748">
        <f>[1]model_point!$C$2+D748-1</f>
        <v>67</v>
      </c>
      <c r="F748">
        <f>VLOOKUP(E748,'[1]202512 BE mortality'!$A:$C,3,0)</f>
        <v>4.9832381690332042E-3</v>
      </c>
      <c r="G748">
        <f>VLOOKUP(D748,'[1]202512 BE lapse'!$C:$D,2,0)</f>
        <v>9.5382215191284828E-3</v>
      </c>
      <c r="H748">
        <f>VLOOKUP($B748,'[1]202512 RFR'!$A:$B,2,0)</f>
        <v>1.2E-2</v>
      </c>
      <c r="I748">
        <f t="shared" si="129"/>
        <v>1.0414081735735277</v>
      </c>
      <c r="J748">
        <f t="shared" si="130"/>
        <v>4.3363680257744189E-4</v>
      </c>
      <c r="K748">
        <f t="shared" si="131"/>
        <v>0</v>
      </c>
      <c r="L748">
        <f t="shared" si="123"/>
        <v>0.41304509365747999</v>
      </c>
      <c r="M748">
        <f>IF(AND(MOD(C748,12)=1,D748&lt;='[1]Product parameters'!$C$2),I747*[1]model_point!$G$2,0)</f>
        <v>0</v>
      </c>
      <c r="N748">
        <f t="shared" si="124"/>
        <v>0</v>
      </c>
      <c r="O748">
        <f>[2]results_sample_product_cf!G747</f>
        <v>0</v>
      </c>
      <c r="P748">
        <f>[2]results_sample_product_cf!H747</f>
        <v>0</v>
      </c>
      <c r="Q748">
        <f t="shared" si="125"/>
        <v>0</v>
      </c>
      <c r="R748">
        <f t="shared" si="121"/>
        <v>0</v>
      </c>
    </row>
    <row r="749" spans="1:18" x14ac:dyDescent="0.3">
      <c r="A749">
        <f t="shared" si="126"/>
        <v>746</v>
      </c>
      <c r="B749">
        <f t="shared" si="127"/>
        <v>63</v>
      </c>
      <c r="C749">
        <f t="shared" si="128"/>
        <v>751</v>
      </c>
      <c r="D749">
        <f t="shared" si="122"/>
        <v>63</v>
      </c>
      <c r="E749">
        <f>[1]model_point!$C$2+D749-1</f>
        <v>67</v>
      </c>
      <c r="F749">
        <f>VLOOKUP(E749,'[1]202512 BE mortality'!$A:$C,3,0)</f>
        <v>4.9832381690332042E-3</v>
      </c>
      <c r="G749">
        <f>VLOOKUP(D749,'[1]202512 BE lapse'!$C:$D,2,0)</f>
        <v>9.5382215191284828E-3</v>
      </c>
      <c r="H749">
        <f>VLOOKUP($B749,'[1]202512 RFR'!$A:$B,2,0)</f>
        <v>1.2E-2</v>
      </c>
      <c r="I749">
        <f t="shared" si="129"/>
        <v>1.0409747172598447</v>
      </c>
      <c r="J749">
        <f t="shared" si="130"/>
        <v>4.3345631368298901E-4</v>
      </c>
      <c r="K749">
        <f t="shared" si="131"/>
        <v>0</v>
      </c>
      <c r="L749">
        <f t="shared" si="123"/>
        <v>0.41263471118860046</v>
      </c>
      <c r="M749">
        <f>IF(AND(MOD(C749,12)=1,D749&lt;='[1]Product parameters'!$C$2),I748*[1]model_point!$G$2,0)</f>
        <v>0</v>
      </c>
      <c r="N749">
        <f t="shared" si="124"/>
        <v>0</v>
      </c>
      <c r="O749">
        <f>[2]results_sample_product_cf!G748</f>
        <v>0</v>
      </c>
      <c r="P749">
        <f>[2]results_sample_product_cf!H748</f>
        <v>0</v>
      </c>
      <c r="Q749">
        <f t="shared" si="125"/>
        <v>0</v>
      </c>
      <c r="R749">
        <f t="shared" si="121"/>
        <v>0</v>
      </c>
    </row>
    <row r="750" spans="1:18" x14ac:dyDescent="0.3">
      <c r="A750">
        <f t="shared" si="126"/>
        <v>747</v>
      </c>
      <c r="B750">
        <f t="shared" si="127"/>
        <v>63</v>
      </c>
      <c r="C750">
        <f t="shared" si="128"/>
        <v>752</v>
      </c>
      <c r="D750">
        <f t="shared" si="122"/>
        <v>63</v>
      </c>
      <c r="E750">
        <f>[1]model_point!$C$2+D750-1</f>
        <v>67</v>
      </c>
      <c r="F750">
        <f>VLOOKUP(E750,'[1]202512 BE mortality'!$A:$C,3,0)</f>
        <v>4.9832381690332042E-3</v>
      </c>
      <c r="G750">
        <f>VLOOKUP(D750,'[1]202512 BE lapse'!$C:$D,2,0)</f>
        <v>9.5382215191284828E-3</v>
      </c>
      <c r="H750">
        <f>VLOOKUP($B750,'[1]202512 RFR'!$A:$B,2,0)</f>
        <v>1.2E-2</v>
      </c>
      <c r="I750">
        <f t="shared" si="129"/>
        <v>1.0405414413599328</v>
      </c>
      <c r="J750">
        <f t="shared" si="130"/>
        <v>4.3327589991186703E-4</v>
      </c>
      <c r="K750">
        <f t="shared" si="131"/>
        <v>0</v>
      </c>
      <c r="L750">
        <f t="shared" si="123"/>
        <v>0.41222473645672919</v>
      </c>
      <c r="M750">
        <f>IF(AND(MOD(C750,12)=1,D750&lt;='[1]Product parameters'!$C$2),I749*[1]model_point!$G$2,0)</f>
        <v>0</v>
      </c>
      <c r="N750">
        <f t="shared" si="124"/>
        <v>0</v>
      </c>
      <c r="O750">
        <f>[2]results_sample_product_cf!G749</f>
        <v>0</v>
      </c>
      <c r="P750">
        <f>[2]results_sample_product_cf!H749</f>
        <v>0</v>
      </c>
      <c r="Q750">
        <f t="shared" si="125"/>
        <v>0</v>
      </c>
      <c r="R750">
        <f t="shared" si="121"/>
        <v>0</v>
      </c>
    </row>
    <row r="751" spans="1:18" x14ac:dyDescent="0.3">
      <c r="A751">
        <f t="shared" si="126"/>
        <v>748</v>
      </c>
      <c r="B751">
        <f t="shared" si="127"/>
        <v>63</v>
      </c>
      <c r="C751">
        <f t="shared" si="128"/>
        <v>753</v>
      </c>
      <c r="D751">
        <f t="shared" si="122"/>
        <v>63</v>
      </c>
      <c r="E751">
        <f>[1]model_point!$C$2+D751-1</f>
        <v>67</v>
      </c>
      <c r="F751">
        <f>VLOOKUP(E751,'[1]202512 BE mortality'!$A:$C,3,0)</f>
        <v>4.9832381690332042E-3</v>
      </c>
      <c r="G751">
        <f>VLOOKUP(D751,'[1]202512 BE lapse'!$C:$D,2,0)</f>
        <v>9.5382215191284828E-3</v>
      </c>
      <c r="H751">
        <f>VLOOKUP($B751,'[1]202512 RFR'!$A:$B,2,0)</f>
        <v>1.2E-2</v>
      </c>
      <c r="I751">
        <f t="shared" si="129"/>
        <v>1.0401083457986999</v>
      </c>
      <c r="J751">
        <f t="shared" si="130"/>
        <v>4.3309556123280804E-4</v>
      </c>
      <c r="K751">
        <f t="shared" si="131"/>
        <v>0</v>
      </c>
      <c r="L751">
        <f t="shared" si="123"/>
        <v>0.41181516905675758</v>
      </c>
      <c r="M751">
        <f>IF(AND(MOD(C751,12)=1,D751&lt;='[1]Product parameters'!$C$2),I750*[1]model_point!$G$2,0)</f>
        <v>0</v>
      </c>
      <c r="N751">
        <f t="shared" si="124"/>
        <v>0</v>
      </c>
      <c r="O751">
        <f>[2]results_sample_product_cf!G750</f>
        <v>0</v>
      </c>
      <c r="P751">
        <f>[2]results_sample_product_cf!H750</f>
        <v>0</v>
      </c>
      <c r="Q751">
        <f t="shared" si="125"/>
        <v>0</v>
      </c>
      <c r="R751">
        <f t="shared" si="121"/>
        <v>0</v>
      </c>
    </row>
    <row r="752" spans="1:18" x14ac:dyDescent="0.3">
      <c r="A752">
        <f t="shared" si="126"/>
        <v>749</v>
      </c>
      <c r="B752">
        <f t="shared" si="127"/>
        <v>63</v>
      </c>
      <c r="C752">
        <f t="shared" si="128"/>
        <v>754</v>
      </c>
      <c r="D752">
        <f t="shared" si="122"/>
        <v>63</v>
      </c>
      <c r="E752">
        <f>[1]model_point!$C$2+D752-1</f>
        <v>67</v>
      </c>
      <c r="F752">
        <f>VLOOKUP(E752,'[1]202512 BE mortality'!$A:$C,3,0)</f>
        <v>4.9832381690332042E-3</v>
      </c>
      <c r="G752">
        <f>VLOOKUP(D752,'[1]202512 BE lapse'!$C:$D,2,0)</f>
        <v>9.5382215191284828E-3</v>
      </c>
      <c r="H752">
        <f>VLOOKUP($B752,'[1]202512 RFR'!$A:$B,2,0)</f>
        <v>1.2E-2</v>
      </c>
      <c r="I752">
        <f t="shared" si="129"/>
        <v>1.0396754305010854</v>
      </c>
      <c r="J752">
        <f t="shared" si="130"/>
        <v>4.329152976145571E-4</v>
      </c>
      <c r="K752">
        <f t="shared" si="131"/>
        <v>0</v>
      </c>
      <c r="L752">
        <f t="shared" si="123"/>
        <v>0.41140600858397952</v>
      </c>
      <c r="M752">
        <f>IF(AND(MOD(C752,12)=1,D752&lt;='[1]Product parameters'!$C$2),I751*[1]model_point!$G$2,0)</f>
        <v>0</v>
      </c>
      <c r="N752">
        <f t="shared" si="124"/>
        <v>0</v>
      </c>
      <c r="O752">
        <f>[2]results_sample_product_cf!G751</f>
        <v>0</v>
      </c>
      <c r="P752">
        <f>[2]results_sample_product_cf!H751</f>
        <v>0</v>
      </c>
      <c r="Q752">
        <f t="shared" si="125"/>
        <v>0</v>
      </c>
      <c r="R752">
        <f t="shared" si="121"/>
        <v>0</v>
      </c>
    </row>
    <row r="753" spans="1:18" x14ac:dyDescent="0.3">
      <c r="A753">
        <f t="shared" si="126"/>
        <v>750</v>
      </c>
      <c r="B753">
        <f t="shared" si="127"/>
        <v>63</v>
      </c>
      <c r="C753">
        <f t="shared" si="128"/>
        <v>755</v>
      </c>
      <c r="D753">
        <f t="shared" si="122"/>
        <v>63</v>
      </c>
      <c r="E753">
        <f>[1]model_point!$C$2+D753-1</f>
        <v>67</v>
      </c>
      <c r="F753">
        <f>VLOOKUP(E753,'[1]202512 BE mortality'!$A:$C,3,0)</f>
        <v>4.9832381690332042E-3</v>
      </c>
      <c r="G753">
        <f>VLOOKUP(D753,'[1]202512 BE lapse'!$C:$D,2,0)</f>
        <v>9.5382215191284828E-3</v>
      </c>
      <c r="H753">
        <f>VLOOKUP($B753,'[1]202512 RFR'!$A:$B,2,0)</f>
        <v>1.2E-2</v>
      </c>
      <c r="I753">
        <f t="shared" si="129"/>
        <v>1.0392426953920595</v>
      </c>
      <c r="J753">
        <f t="shared" si="130"/>
        <v>4.3273510902587232E-4</v>
      </c>
      <c r="K753">
        <f t="shared" si="131"/>
        <v>0</v>
      </c>
      <c r="L753">
        <f t="shared" si="123"/>
        <v>0.41099725463409098</v>
      </c>
      <c r="M753">
        <f>IF(AND(MOD(C753,12)=1,D753&lt;='[1]Product parameters'!$C$2),I752*[1]model_point!$G$2,0)</f>
        <v>0</v>
      </c>
      <c r="N753">
        <f t="shared" si="124"/>
        <v>0</v>
      </c>
      <c r="O753">
        <f>[2]results_sample_product_cf!G752</f>
        <v>0</v>
      </c>
      <c r="P753">
        <f>[2]results_sample_product_cf!H752</f>
        <v>0</v>
      </c>
      <c r="Q753">
        <f t="shared" si="125"/>
        <v>0</v>
      </c>
      <c r="R753">
        <f t="shared" si="121"/>
        <v>0</v>
      </c>
    </row>
    <row r="754" spans="1:18" x14ac:dyDescent="0.3">
      <c r="A754">
        <f t="shared" si="126"/>
        <v>751</v>
      </c>
      <c r="B754">
        <f t="shared" si="127"/>
        <v>63</v>
      </c>
      <c r="C754">
        <f t="shared" si="128"/>
        <v>756</v>
      </c>
      <c r="D754">
        <f t="shared" si="122"/>
        <v>63</v>
      </c>
      <c r="E754">
        <f>[1]model_point!$C$2+D754-1</f>
        <v>67</v>
      </c>
      <c r="F754">
        <f>VLOOKUP(E754,'[1]202512 BE mortality'!$A:$C,3,0)</f>
        <v>4.9832381690332042E-3</v>
      </c>
      <c r="G754">
        <f>VLOOKUP(D754,'[1]202512 BE lapse'!$C:$D,2,0)</f>
        <v>9.5382215191284828E-3</v>
      </c>
      <c r="H754">
        <f>VLOOKUP($B754,'[1]202512 RFR'!$A:$B,2,0)</f>
        <v>1.2E-2</v>
      </c>
      <c r="I754">
        <f t="shared" si="129"/>
        <v>1.0289017391612039</v>
      </c>
      <c r="J754">
        <f t="shared" si="130"/>
        <v>4.3255499543552484E-4</v>
      </c>
      <c r="K754">
        <f t="shared" si="131"/>
        <v>9.9084012354199585E-3</v>
      </c>
      <c r="L754">
        <f t="shared" si="123"/>
        <v>0.41058890680318971</v>
      </c>
      <c r="M754">
        <f>IF(AND(MOD(C754,12)=1,D754&lt;='[1]Product parameters'!$C$2),I753*[1]model_point!$G$2,0)</f>
        <v>0</v>
      </c>
      <c r="N754">
        <f t="shared" si="124"/>
        <v>0</v>
      </c>
      <c r="O754">
        <f>[2]results_sample_product_cf!G753</f>
        <v>0</v>
      </c>
      <c r="P754">
        <f>[2]results_sample_product_cf!H753</f>
        <v>0</v>
      </c>
      <c r="Q754">
        <f t="shared" si="125"/>
        <v>0</v>
      </c>
      <c r="R754">
        <f t="shared" si="121"/>
        <v>0</v>
      </c>
    </row>
    <row r="755" spans="1:18" x14ac:dyDescent="0.3">
      <c r="A755">
        <f t="shared" si="126"/>
        <v>752</v>
      </c>
      <c r="B755">
        <f t="shared" si="127"/>
        <v>63</v>
      </c>
      <c r="C755">
        <f t="shared" si="128"/>
        <v>757</v>
      </c>
      <c r="D755">
        <f t="shared" si="122"/>
        <v>64</v>
      </c>
      <c r="E755">
        <f>[1]model_point!$C$2+D755-1</f>
        <v>68</v>
      </c>
      <c r="F755">
        <f>VLOOKUP(E755,'[1]202512 BE mortality'!$A:$C,3,0)</f>
        <v>1.5420740670244149E-3</v>
      </c>
      <c r="G755">
        <f>VLOOKUP(D755,'[1]202512 BE lapse'!$C:$D,2,0)</f>
        <v>4.8227900849680148E-3</v>
      </c>
      <c r="H755">
        <f>VLOOKUP($B755,'[1]202512 RFR'!$A:$B,2,0)</f>
        <v>1.2E-2</v>
      </c>
      <c r="I755">
        <f t="shared" si="129"/>
        <v>1.0287694253937758</v>
      </c>
      <c r="J755">
        <f t="shared" si="130"/>
        <v>1.3231376742795962E-4</v>
      </c>
      <c r="K755">
        <f t="shared" si="131"/>
        <v>0</v>
      </c>
      <c r="L755">
        <f t="shared" si="123"/>
        <v>0.41018096468777465</v>
      </c>
      <c r="M755">
        <f>IF(AND(MOD(C755,12)=1,D755&lt;='[1]Product parameters'!$C$2),I754*[1]model_point!$G$2,0)</f>
        <v>0</v>
      </c>
      <c r="N755">
        <f t="shared" si="124"/>
        <v>0</v>
      </c>
      <c r="O755">
        <f>[2]results_sample_product_cf!G754</f>
        <v>0</v>
      </c>
      <c r="P755">
        <f>[2]results_sample_product_cf!H754</f>
        <v>0</v>
      </c>
      <c r="Q755">
        <f t="shared" si="125"/>
        <v>0</v>
      </c>
      <c r="R755">
        <f t="shared" si="121"/>
        <v>0</v>
      </c>
    </row>
    <row r="756" spans="1:18" x14ac:dyDescent="0.3">
      <c r="A756">
        <f t="shared" si="126"/>
        <v>753</v>
      </c>
      <c r="B756">
        <f t="shared" si="127"/>
        <v>63</v>
      </c>
      <c r="C756">
        <f t="shared" si="128"/>
        <v>758</v>
      </c>
      <c r="D756">
        <f t="shared" si="122"/>
        <v>64</v>
      </c>
      <c r="E756">
        <f>[1]model_point!$C$2+D756-1</f>
        <v>68</v>
      </c>
      <c r="F756">
        <f>VLOOKUP(E756,'[1]202512 BE mortality'!$A:$C,3,0)</f>
        <v>1.5420740670244149E-3</v>
      </c>
      <c r="G756">
        <f>VLOOKUP(D756,'[1]202512 BE lapse'!$C:$D,2,0)</f>
        <v>4.8227900849680148E-3</v>
      </c>
      <c r="H756">
        <f>VLOOKUP($B756,'[1]202512 RFR'!$A:$B,2,0)</f>
        <v>1.2E-2</v>
      </c>
      <c r="I756">
        <f t="shared" si="129"/>
        <v>1.028637128641513</v>
      </c>
      <c r="J756">
        <f t="shared" si="130"/>
        <v>1.322967522627746E-4</v>
      </c>
      <c r="K756">
        <f t="shared" si="131"/>
        <v>0</v>
      </c>
      <c r="L756">
        <f t="shared" si="123"/>
        <v>0.40977342788474569</v>
      </c>
      <c r="M756">
        <f>IF(AND(MOD(C756,12)=1,D756&lt;='[1]Product parameters'!$C$2),I755*[1]model_point!$G$2,0)</f>
        <v>0</v>
      </c>
      <c r="N756">
        <f t="shared" si="124"/>
        <v>0</v>
      </c>
      <c r="O756">
        <f>[2]results_sample_product_cf!G755</f>
        <v>0</v>
      </c>
      <c r="P756">
        <f>[2]results_sample_product_cf!H755</f>
        <v>0</v>
      </c>
      <c r="Q756">
        <f t="shared" si="125"/>
        <v>0</v>
      </c>
      <c r="R756">
        <f t="shared" si="121"/>
        <v>0</v>
      </c>
    </row>
    <row r="757" spans="1:18" x14ac:dyDescent="0.3">
      <c r="A757">
        <f t="shared" si="126"/>
        <v>754</v>
      </c>
      <c r="B757">
        <f t="shared" si="127"/>
        <v>63</v>
      </c>
      <c r="C757">
        <f t="shared" si="128"/>
        <v>759</v>
      </c>
      <c r="D757">
        <f t="shared" si="122"/>
        <v>64</v>
      </c>
      <c r="E757">
        <f>[1]model_point!$C$2+D757-1</f>
        <v>68</v>
      </c>
      <c r="F757">
        <f>VLOOKUP(E757,'[1]202512 BE mortality'!$A:$C,3,0)</f>
        <v>1.5420740670244149E-3</v>
      </c>
      <c r="G757">
        <f>VLOOKUP(D757,'[1]202512 BE lapse'!$C:$D,2,0)</f>
        <v>4.8227900849680148E-3</v>
      </c>
      <c r="H757">
        <f>VLOOKUP($B757,'[1]202512 RFR'!$A:$B,2,0)</f>
        <v>1.2E-2</v>
      </c>
      <c r="I757">
        <f t="shared" si="129"/>
        <v>1.0285048489022273</v>
      </c>
      <c r="J757">
        <f t="shared" si="130"/>
        <v>1.3227973928569027E-4</v>
      </c>
      <c r="K757">
        <f t="shared" si="131"/>
        <v>0</v>
      </c>
      <c r="L757">
        <f t="shared" si="123"/>
        <v>0.40936629599140323</v>
      </c>
      <c r="M757">
        <f>IF(AND(MOD(C757,12)=1,D757&lt;='[1]Product parameters'!$C$2),I756*[1]model_point!$G$2,0)</f>
        <v>0</v>
      </c>
      <c r="N757">
        <f t="shared" si="124"/>
        <v>0</v>
      </c>
      <c r="O757">
        <f>[2]results_sample_product_cf!G756</f>
        <v>0</v>
      </c>
      <c r="P757">
        <f>[2]results_sample_product_cf!H756</f>
        <v>0</v>
      </c>
      <c r="Q757">
        <f t="shared" si="125"/>
        <v>0</v>
      </c>
      <c r="R757">
        <f t="shared" si="121"/>
        <v>0</v>
      </c>
    </row>
    <row r="758" spans="1:18" x14ac:dyDescent="0.3">
      <c r="A758">
        <f t="shared" si="126"/>
        <v>755</v>
      </c>
      <c r="B758">
        <f t="shared" si="127"/>
        <v>63</v>
      </c>
      <c r="C758">
        <f t="shared" si="128"/>
        <v>760</v>
      </c>
      <c r="D758">
        <f t="shared" si="122"/>
        <v>64</v>
      </c>
      <c r="E758">
        <f>[1]model_point!$C$2+D758-1</f>
        <v>68</v>
      </c>
      <c r="F758">
        <f>VLOOKUP(E758,'[1]202512 BE mortality'!$A:$C,3,0)</f>
        <v>1.5420740670244149E-3</v>
      </c>
      <c r="G758">
        <f>VLOOKUP(D758,'[1]202512 BE lapse'!$C:$D,2,0)</f>
        <v>4.8227900849680148E-3</v>
      </c>
      <c r="H758">
        <f>VLOOKUP($B758,'[1]202512 RFR'!$A:$B,2,0)</f>
        <v>1.2E-2</v>
      </c>
      <c r="I758">
        <f t="shared" si="129"/>
        <v>1.0283725861737307</v>
      </c>
      <c r="J758">
        <f t="shared" si="130"/>
        <v>1.3226272849642525E-4</v>
      </c>
      <c r="K758">
        <f t="shared" si="131"/>
        <v>0</v>
      </c>
      <c r="L758">
        <f t="shared" si="123"/>
        <v>0.4089595686054478</v>
      </c>
      <c r="M758">
        <f>IF(AND(MOD(C758,12)=1,D758&lt;='[1]Product parameters'!$C$2),I757*[1]model_point!$G$2,0)</f>
        <v>0</v>
      </c>
      <c r="N758">
        <f t="shared" si="124"/>
        <v>0</v>
      </c>
      <c r="O758">
        <f>[2]results_sample_product_cf!G757</f>
        <v>0</v>
      </c>
      <c r="P758">
        <f>[2]results_sample_product_cf!H757</f>
        <v>0</v>
      </c>
      <c r="Q758">
        <f t="shared" si="125"/>
        <v>0</v>
      </c>
      <c r="R758">
        <f t="shared" si="121"/>
        <v>0</v>
      </c>
    </row>
    <row r="759" spans="1:18" x14ac:dyDescent="0.3">
      <c r="A759">
        <f t="shared" si="126"/>
        <v>756</v>
      </c>
      <c r="B759">
        <f t="shared" si="127"/>
        <v>63</v>
      </c>
      <c r="C759">
        <f t="shared" si="128"/>
        <v>761</v>
      </c>
      <c r="D759">
        <f t="shared" si="122"/>
        <v>64</v>
      </c>
      <c r="E759">
        <f>[1]model_point!$C$2+D759-1</f>
        <v>68</v>
      </c>
      <c r="F759">
        <f>VLOOKUP(E759,'[1]202512 BE mortality'!$A:$C,3,0)</f>
        <v>1.5420740670244149E-3</v>
      </c>
      <c r="G759">
        <f>VLOOKUP(D759,'[1]202512 BE lapse'!$C:$D,2,0)</f>
        <v>4.8227900849680148E-3</v>
      </c>
      <c r="H759">
        <f>VLOOKUP($B759,'[1]202512 RFR'!$A:$B,2,0)</f>
        <v>1.2E-2</v>
      </c>
      <c r="I759">
        <f t="shared" si="129"/>
        <v>1.0282403404538361</v>
      </c>
      <c r="J759">
        <f t="shared" si="130"/>
        <v>1.3224571989469818E-4</v>
      </c>
      <c r="K759">
        <f t="shared" si="131"/>
        <v>0</v>
      </c>
      <c r="L759">
        <f t="shared" si="123"/>
        <v>0.40855324532497955</v>
      </c>
      <c r="M759">
        <f>IF(AND(MOD(C759,12)=1,D759&lt;='[1]Product parameters'!$C$2),I758*[1]model_point!$G$2,0)</f>
        <v>0</v>
      </c>
      <c r="N759">
        <f t="shared" si="124"/>
        <v>0</v>
      </c>
      <c r="O759">
        <f>[2]results_sample_product_cf!G758</f>
        <v>0</v>
      </c>
      <c r="P759">
        <f>[2]results_sample_product_cf!H758</f>
        <v>0</v>
      </c>
      <c r="Q759">
        <f t="shared" si="125"/>
        <v>0</v>
      </c>
      <c r="R759">
        <f t="shared" si="121"/>
        <v>0</v>
      </c>
    </row>
    <row r="760" spans="1:18" x14ac:dyDescent="0.3">
      <c r="A760">
        <f t="shared" si="126"/>
        <v>757</v>
      </c>
      <c r="B760">
        <f t="shared" si="127"/>
        <v>64</v>
      </c>
      <c r="C760">
        <f t="shared" si="128"/>
        <v>762</v>
      </c>
      <c r="D760">
        <f t="shared" si="122"/>
        <v>64</v>
      </c>
      <c r="E760">
        <f>[1]model_point!$C$2+D760-1</f>
        <v>68</v>
      </c>
      <c r="F760">
        <f>VLOOKUP(E760,'[1]202512 BE mortality'!$A:$C,3,0)</f>
        <v>1.5420740670244149E-3</v>
      </c>
      <c r="G760">
        <f>VLOOKUP(D760,'[1]202512 BE lapse'!$C:$D,2,0)</f>
        <v>4.8227900849680148E-3</v>
      </c>
      <c r="H760">
        <f>VLOOKUP($B760,'[1]202512 RFR'!$A:$B,2,0)</f>
        <v>1.2E-2</v>
      </c>
      <c r="I760">
        <f t="shared" si="129"/>
        <v>1.0281081117403559</v>
      </c>
      <c r="J760">
        <f t="shared" si="130"/>
        <v>1.3222871348022777E-4</v>
      </c>
      <c r="K760">
        <f t="shared" si="131"/>
        <v>0</v>
      </c>
      <c r="L760">
        <f t="shared" si="123"/>
        <v>0.40814732574849805</v>
      </c>
      <c r="M760">
        <f>IF(AND(MOD(C760,12)=1,D760&lt;='[1]Product parameters'!$C$2),I759*[1]model_point!$G$2,0)</f>
        <v>0</v>
      </c>
      <c r="N760">
        <f t="shared" si="124"/>
        <v>0</v>
      </c>
      <c r="O760">
        <f>[2]results_sample_product_cf!G759</f>
        <v>0</v>
      </c>
      <c r="P760">
        <f>[2]results_sample_product_cf!H759</f>
        <v>0</v>
      </c>
      <c r="Q760">
        <f t="shared" si="125"/>
        <v>0</v>
      </c>
      <c r="R760">
        <f t="shared" si="121"/>
        <v>0</v>
      </c>
    </row>
    <row r="761" spans="1:18" x14ac:dyDescent="0.3">
      <c r="A761">
        <f t="shared" si="126"/>
        <v>758</v>
      </c>
      <c r="B761">
        <f t="shared" si="127"/>
        <v>64</v>
      </c>
      <c r="C761">
        <f t="shared" si="128"/>
        <v>763</v>
      </c>
      <c r="D761">
        <f t="shared" si="122"/>
        <v>64</v>
      </c>
      <c r="E761">
        <f>[1]model_point!$C$2+D761-1</f>
        <v>68</v>
      </c>
      <c r="F761">
        <f>VLOOKUP(E761,'[1]202512 BE mortality'!$A:$C,3,0)</f>
        <v>1.5420740670244149E-3</v>
      </c>
      <c r="G761">
        <f>VLOOKUP(D761,'[1]202512 BE lapse'!$C:$D,2,0)</f>
        <v>4.8227900849680148E-3</v>
      </c>
      <c r="H761">
        <f>VLOOKUP($B761,'[1]202512 RFR'!$A:$B,2,0)</f>
        <v>1.2E-2</v>
      </c>
      <c r="I761">
        <f t="shared" si="129"/>
        <v>1.0279759000311031</v>
      </c>
      <c r="J761">
        <f t="shared" si="130"/>
        <v>1.3221170925273277E-4</v>
      </c>
      <c r="K761">
        <f t="shared" si="131"/>
        <v>0</v>
      </c>
      <c r="L761">
        <f t="shared" si="123"/>
        <v>0.40774180947490168</v>
      </c>
      <c r="M761">
        <f>IF(AND(MOD(C761,12)=1,D761&lt;='[1]Product parameters'!$C$2),I760*[1]model_point!$G$2,0)</f>
        <v>0</v>
      </c>
      <c r="N761">
        <f t="shared" si="124"/>
        <v>0</v>
      </c>
      <c r="O761">
        <f>[2]results_sample_product_cf!G760</f>
        <v>0</v>
      </c>
      <c r="P761">
        <f>[2]results_sample_product_cf!H760</f>
        <v>0</v>
      </c>
      <c r="Q761">
        <f t="shared" si="125"/>
        <v>0</v>
      </c>
      <c r="R761">
        <f t="shared" si="121"/>
        <v>0</v>
      </c>
    </row>
    <row r="762" spans="1:18" x14ac:dyDescent="0.3">
      <c r="A762">
        <f t="shared" si="126"/>
        <v>759</v>
      </c>
      <c r="B762">
        <f t="shared" si="127"/>
        <v>64</v>
      </c>
      <c r="C762">
        <f t="shared" si="128"/>
        <v>764</v>
      </c>
      <c r="D762">
        <f t="shared" si="122"/>
        <v>64</v>
      </c>
      <c r="E762">
        <f>[1]model_point!$C$2+D762-1</f>
        <v>68</v>
      </c>
      <c r="F762">
        <f>VLOOKUP(E762,'[1]202512 BE mortality'!$A:$C,3,0)</f>
        <v>1.5420740670244149E-3</v>
      </c>
      <c r="G762">
        <f>VLOOKUP(D762,'[1]202512 BE lapse'!$C:$D,2,0)</f>
        <v>4.8227900849680148E-3</v>
      </c>
      <c r="H762">
        <f>VLOOKUP($B762,'[1]202512 RFR'!$A:$B,2,0)</f>
        <v>1.2E-2</v>
      </c>
      <c r="I762">
        <f t="shared" si="129"/>
        <v>1.0278437053238911</v>
      </c>
      <c r="J762">
        <f t="shared" si="130"/>
        <v>1.3219470721193187E-4</v>
      </c>
      <c r="K762">
        <f t="shared" si="131"/>
        <v>0</v>
      </c>
      <c r="L762">
        <f t="shared" si="123"/>
        <v>0.40733669610348738</v>
      </c>
      <c r="M762">
        <f>IF(AND(MOD(C762,12)=1,D762&lt;='[1]Product parameters'!$C$2),I761*[1]model_point!$G$2,0)</f>
        <v>0</v>
      </c>
      <c r="N762">
        <f t="shared" si="124"/>
        <v>0</v>
      </c>
      <c r="O762">
        <f>[2]results_sample_product_cf!G761</f>
        <v>0</v>
      </c>
      <c r="P762">
        <f>[2]results_sample_product_cf!H761</f>
        <v>0</v>
      </c>
      <c r="Q762">
        <f t="shared" si="125"/>
        <v>0</v>
      </c>
      <c r="R762">
        <f t="shared" si="121"/>
        <v>0</v>
      </c>
    </row>
    <row r="763" spans="1:18" x14ac:dyDescent="0.3">
      <c r="A763">
        <f t="shared" si="126"/>
        <v>760</v>
      </c>
      <c r="B763">
        <f t="shared" si="127"/>
        <v>64</v>
      </c>
      <c r="C763">
        <f t="shared" si="128"/>
        <v>765</v>
      </c>
      <c r="D763">
        <f t="shared" si="122"/>
        <v>64</v>
      </c>
      <c r="E763">
        <f>[1]model_point!$C$2+D763-1</f>
        <v>68</v>
      </c>
      <c r="F763">
        <f>VLOOKUP(E763,'[1]202512 BE mortality'!$A:$C,3,0)</f>
        <v>1.5420740670244149E-3</v>
      </c>
      <c r="G763">
        <f>VLOOKUP(D763,'[1]202512 BE lapse'!$C:$D,2,0)</f>
        <v>4.8227900849680148E-3</v>
      </c>
      <c r="H763">
        <f>VLOOKUP($B763,'[1]202512 RFR'!$A:$B,2,0)</f>
        <v>1.2E-2</v>
      </c>
      <c r="I763">
        <f t="shared" si="129"/>
        <v>1.0277115276165336</v>
      </c>
      <c r="J763">
        <f t="shared" si="130"/>
        <v>1.3217770735754394E-4</v>
      </c>
      <c r="K763">
        <f t="shared" si="131"/>
        <v>0</v>
      </c>
      <c r="L763">
        <f t="shared" si="123"/>
        <v>0.40693198523395019</v>
      </c>
      <c r="M763">
        <f>IF(AND(MOD(C763,12)=1,D763&lt;='[1]Product parameters'!$C$2),I762*[1]model_point!$G$2,0)</f>
        <v>0</v>
      </c>
      <c r="N763">
        <f t="shared" si="124"/>
        <v>0</v>
      </c>
      <c r="O763">
        <f>[2]results_sample_product_cf!G762</f>
        <v>0</v>
      </c>
      <c r="P763">
        <f>[2]results_sample_product_cf!H762</f>
        <v>0</v>
      </c>
      <c r="Q763">
        <f t="shared" si="125"/>
        <v>0</v>
      </c>
      <c r="R763">
        <f t="shared" si="121"/>
        <v>0</v>
      </c>
    </row>
    <row r="764" spans="1:18" x14ac:dyDescent="0.3">
      <c r="A764">
        <f t="shared" si="126"/>
        <v>761</v>
      </c>
      <c r="B764">
        <f t="shared" si="127"/>
        <v>64</v>
      </c>
      <c r="C764">
        <f t="shared" si="128"/>
        <v>766</v>
      </c>
      <c r="D764">
        <f t="shared" si="122"/>
        <v>64</v>
      </c>
      <c r="E764">
        <f>[1]model_point!$C$2+D764-1</f>
        <v>68</v>
      </c>
      <c r="F764">
        <f>VLOOKUP(E764,'[1]202512 BE mortality'!$A:$C,3,0)</f>
        <v>1.5420740670244149E-3</v>
      </c>
      <c r="G764">
        <f>VLOOKUP(D764,'[1]202512 BE lapse'!$C:$D,2,0)</f>
        <v>4.8227900849680148E-3</v>
      </c>
      <c r="H764">
        <f>VLOOKUP($B764,'[1]202512 RFR'!$A:$B,2,0)</f>
        <v>1.2E-2</v>
      </c>
      <c r="I764">
        <f t="shared" si="129"/>
        <v>1.0275793669068443</v>
      </c>
      <c r="J764">
        <f t="shared" si="130"/>
        <v>1.3216070968928776E-4</v>
      </c>
      <c r="K764">
        <f t="shared" si="131"/>
        <v>0</v>
      </c>
      <c r="L764">
        <f t="shared" si="123"/>
        <v>0.40652767646638294</v>
      </c>
      <c r="M764">
        <f>IF(AND(MOD(C764,12)=1,D764&lt;='[1]Product parameters'!$C$2),I763*[1]model_point!$G$2,0)</f>
        <v>0</v>
      </c>
      <c r="N764">
        <f t="shared" si="124"/>
        <v>0</v>
      </c>
      <c r="O764">
        <f>[2]results_sample_product_cf!G763</f>
        <v>0</v>
      </c>
      <c r="P764">
        <f>[2]results_sample_product_cf!H763</f>
        <v>0</v>
      </c>
      <c r="Q764">
        <f t="shared" si="125"/>
        <v>0</v>
      </c>
      <c r="R764">
        <f t="shared" si="121"/>
        <v>0</v>
      </c>
    </row>
    <row r="765" spans="1:18" x14ac:dyDescent="0.3">
      <c r="A765">
        <f t="shared" si="126"/>
        <v>762</v>
      </c>
      <c r="B765">
        <f t="shared" si="127"/>
        <v>64</v>
      </c>
      <c r="C765">
        <f t="shared" si="128"/>
        <v>767</v>
      </c>
      <c r="D765">
        <f t="shared" si="122"/>
        <v>64</v>
      </c>
      <c r="E765">
        <f>[1]model_point!$C$2+D765-1</f>
        <v>68</v>
      </c>
      <c r="F765">
        <f>VLOOKUP(E765,'[1]202512 BE mortality'!$A:$C,3,0)</f>
        <v>1.5420740670244149E-3</v>
      </c>
      <c r="G765">
        <f>VLOOKUP(D765,'[1]202512 BE lapse'!$C:$D,2,0)</f>
        <v>4.8227900849680148E-3</v>
      </c>
      <c r="H765">
        <f>VLOOKUP($B765,'[1]202512 RFR'!$A:$B,2,0)</f>
        <v>1.2E-2</v>
      </c>
      <c r="I765">
        <f t="shared" si="129"/>
        <v>1.0274472231926375</v>
      </c>
      <c r="J765">
        <f t="shared" si="130"/>
        <v>1.3214371420688221E-4</v>
      </c>
      <c r="K765">
        <f t="shared" si="131"/>
        <v>0</v>
      </c>
      <c r="L765">
        <f t="shared" si="123"/>
        <v>0.4061237694012757</v>
      </c>
      <c r="M765">
        <f>IF(AND(MOD(C765,12)=1,D765&lt;='[1]Product parameters'!$C$2),I764*[1]model_point!$G$2,0)</f>
        <v>0</v>
      </c>
      <c r="N765">
        <f t="shared" si="124"/>
        <v>0</v>
      </c>
      <c r="O765">
        <f>[2]results_sample_product_cf!G764</f>
        <v>0</v>
      </c>
      <c r="P765">
        <f>[2]results_sample_product_cf!H764</f>
        <v>0</v>
      </c>
      <c r="Q765">
        <f t="shared" si="125"/>
        <v>0</v>
      </c>
      <c r="R765">
        <f t="shared" si="121"/>
        <v>0</v>
      </c>
    </row>
    <row r="766" spans="1:18" x14ac:dyDescent="0.3">
      <c r="A766">
        <f t="shared" si="126"/>
        <v>763</v>
      </c>
      <c r="B766">
        <f t="shared" si="127"/>
        <v>64</v>
      </c>
      <c r="C766">
        <f t="shared" si="128"/>
        <v>768</v>
      </c>
      <c r="D766">
        <f t="shared" si="122"/>
        <v>64</v>
      </c>
      <c r="E766">
        <f>[1]model_point!$C$2+D766-1</f>
        <v>68</v>
      </c>
      <c r="F766">
        <f>VLOOKUP(E766,'[1]202512 BE mortality'!$A:$C,3,0)</f>
        <v>1.5420740670244149E-3</v>
      </c>
      <c r="G766">
        <f>VLOOKUP(D766,'[1]202512 BE lapse'!$C:$D,2,0)</f>
        <v>4.8227900849680148E-3</v>
      </c>
      <c r="H766">
        <f>VLOOKUP($B766,'[1]202512 RFR'!$A:$B,2,0)</f>
        <v>1.2E-2</v>
      </c>
      <c r="I766">
        <f t="shared" si="129"/>
        <v>1.0223605714103257</v>
      </c>
      <c r="J766">
        <f t="shared" si="130"/>
        <v>1.3212672091004622E-4</v>
      </c>
      <c r="K766">
        <f t="shared" si="131"/>
        <v>4.9545250614018068E-3</v>
      </c>
      <c r="L766">
        <f t="shared" si="123"/>
        <v>0.40572026363951552</v>
      </c>
      <c r="M766">
        <f>IF(AND(MOD(C766,12)=1,D766&lt;='[1]Product parameters'!$C$2),I765*[1]model_point!$G$2,0)</f>
        <v>0</v>
      </c>
      <c r="N766">
        <f t="shared" si="124"/>
        <v>0</v>
      </c>
      <c r="O766">
        <f>[2]results_sample_product_cf!G765</f>
        <v>0</v>
      </c>
      <c r="P766">
        <f>[2]results_sample_product_cf!H765</f>
        <v>0</v>
      </c>
      <c r="Q766">
        <f t="shared" si="125"/>
        <v>0</v>
      </c>
      <c r="R766">
        <f t="shared" si="121"/>
        <v>0</v>
      </c>
    </row>
    <row r="767" spans="1:18" x14ac:dyDescent="0.3">
      <c r="A767">
        <f t="shared" si="126"/>
        <v>764</v>
      </c>
      <c r="B767">
        <f t="shared" si="127"/>
        <v>64</v>
      </c>
      <c r="C767">
        <f t="shared" si="128"/>
        <v>769</v>
      </c>
      <c r="D767">
        <f t="shared" si="122"/>
        <v>65</v>
      </c>
      <c r="E767">
        <f>[1]model_point!$C$2+D767-1</f>
        <v>69</v>
      </c>
      <c r="F767">
        <f>VLOOKUP(E767,'[1]202512 BE mortality'!$A:$C,3,0)</f>
        <v>1.1639362126644225E-3</v>
      </c>
      <c r="G767">
        <f>VLOOKUP(D767,'[1]202512 BE lapse'!$C:$D,2,0)</f>
        <v>7.3420357119554957E-3</v>
      </c>
      <c r="H767">
        <f>VLOOKUP($B767,'[1]202512 RFR'!$A:$B,2,0)</f>
        <v>1.2E-2</v>
      </c>
      <c r="I767">
        <f t="shared" si="129"/>
        <v>1.0222613549291484</v>
      </c>
      <c r="J767">
        <f t="shared" si="130"/>
        <v>9.9216481177199627E-5</v>
      </c>
      <c r="K767">
        <f t="shared" si="131"/>
        <v>0</v>
      </c>
      <c r="L767">
        <f t="shared" si="123"/>
        <v>0.405317158782386</v>
      </c>
      <c r="M767">
        <f>IF(AND(MOD(C767,12)=1,D767&lt;='[1]Product parameters'!$C$2),I766*[1]model_point!$G$2,0)</f>
        <v>0</v>
      </c>
      <c r="N767">
        <f t="shared" si="124"/>
        <v>0</v>
      </c>
      <c r="O767">
        <f>[2]results_sample_product_cf!G766</f>
        <v>0</v>
      </c>
      <c r="P767">
        <f>[2]results_sample_product_cf!H766</f>
        <v>0</v>
      </c>
      <c r="Q767">
        <f t="shared" si="125"/>
        <v>0</v>
      </c>
      <c r="R767">
        <f t="shared" si="121"/>
        <v>0</v>
      </c>
    </row>
    <row r="768" spans="1:18" x14ac:dyDescent="0.3">
      <c r="A768">
        <f t="shared" si="126"/>
        <v>765</v>
      </c>
      <c r="B768">
        <f t="shared" si="127"/>
        <v>64</v>
      </c>
      <c r="C768">
        <f t="shared" si="128"/>
        <v>770</v>
      </c>
      <c r="D768">
        <f t="shared" si="122"/>
        <v>65</v>
      </c>
      <c r="E768">
        <f>[1]model_point!$C$2+D768-1</f>
        <v>69</v>
      </c>
      <c r="F768">
        <f>VLOOKUP(E768,'[1]202512 BE mortality'!$A:$C,3,0)</f>
        <v>1.1639362126644225E-3</v>
      </c>
      <c r="G768">
        <f>VLOOKUP(D768,'[1]202512 BE lapse'!$C:$D,2,0)</f>
        <v>7.3420357119554957E-3</v>
      </c>
      <c r="H768">
        <f>VLOOKUP($B768,'[1]202512 RFR'!$A:$B,2,0)</f>
        <v>1.2E-2</v>
      </c>
      <c r="I768">
        <f t="shared" si="129"/>
        <v>1.0221621480765801</v>
      </c>
      <c r="J768">
        <f t="shared" si="130"/>
        <v>9.9206852568260211E-5</v>
      </c>
      <c r="K768">
        <f t="shared" si="131"/>
        <v>0</v>
      </c>
      <c r="L768">
        <f t="shared" si="123"/>
        <v>0.40491445443156687</v>
      </c>
      <c r="M768">
        <f>IF(AND(MOD(C768,12)=1,D768&lt;='[1]Product parameters'!$C$2),I767*[1]model_point!$G$2,0)</f>
        <v>0</v>
      </c>
      <c r="N768">
        <f t="shared" si="124"/>
        <v>0</v>
      </c>
      <c r="O768">
        <f>[2]results_sample_product_cf!G767</f>
        <v>0</v>
      </c>
      <c r="P768">
        <f>[2]results_sample_product_cf!H767</f>
        <v>0</v>
      </c>
      <c r="Q768">
        <f t="shared" si="125"/>
        <v>0</v>
      </c>
      <c r="R768">
        <f t="shared" si="121"/>
        <v>0</v>
      </c>
    </row>
    <row r="769" spans="1:18" x14ac:dyDescent="0.3">
      <c r="A769">
        <f t="shared" si="126"/>
        <v>766</v>
      </c>
      <c r="B769">
        <f t="shared" si="127"/>
        <v>64</v>
      </c>
      <c r="C769">
        <f t="shared" si="128"/>
        <v>771</v>
      </c>
      <c r="D769">
        <f t="shared" si="122"/>
        <v>65</v>
      </c>
      <c r="E769">
        <f>[1]model_point!$C$2+D769-1</f>
        <v>69</v>
      </c>
      <c r="F769">
        <f>VLOOKUP(E769,'[1]202512 BE mortality'!$A:$C,3,0)</f>
        <v>1.1639362126644225E-3</v>
      </c>
      <c r="G769">
        <f>VLOOKUP(D769,'[1]202512 BE lapse'!$C:$D,2,0)</f>
        <v>7.3420357119554957E-3</v>
      </c>
      <c r="H769">
        <f>VLOOKUP($B769,'[1]202512 RFR'!$A:$B,2,0)</f>
        <v>1.2E-2</v>
      </c>
      <c r="I769">
        <f t="shared" si="129"/>
        <v>1.0220629508516863</v>
      </c>
      <c r="J769">
        <f t="shared" si="130"/>
        <v>9.9197224893743269E-5</v>
      </c>
      <c r="K769">
        <f t="shared" si="131"/>
        <v>0</v>
      </c>
      <c r="L769">
        <f t="shared" si="123"/>
        <v>0.40451215018913361</v>
      </c>
      <c r="M769">
        <f>IF(AND(MOD(C769,12)=1,D769&lt;='[1]Product parameters'!$C$2),I768*[1]model_point!$G$2,0)</f>
        <v>0</v>
      </c>
      <c r="N769">
        <f t="shared" si="124"/>
        <v>0</v>
      </c>
      <c r="O769">
        <f>[2]results_sample_product_cf!G768</f>
        <v>0</v>
      </c>
      <c r="P769">
        <f>[2]results_sample_product_cf!H768</f>
        <v>0</v>
      </c>
      <c r="Q769">
        <f t="shared" si="125"/>
        <v>0</v>
      </c>
      <c r="R769">
        <f t="shared" si="121"/>
        <v>0</v>
      </c>
    </row>
    <row r="770" spans="1:18" x14ac:dyDescent="0.3">
      <c r="A770">
        <f t="shared" si="126"/>
        <v>767</v>
      </c>
      <c r="B770">
        <f t="shared" si="127"/>
        <v>64</v>
      </c>
      <c r="C770">
        <f t="shared" si="128"/>
        <v>772</v>
      </c>
      <c r="D770">
        <f t="shared" si="122"/>
        <v>65</v>
      </c>
      <c r="E770">
        <f>[1]model_point!$C$2+D770-1</f>
        <v>69</v>
      </c>
      <c r="F770">
        <f>VLOOKUP(E770,'[1]202512 BE mortality'!$A:$C,3,0)</f>
        <v>1.1639362126644225E-3</v>
      </c>
      <c r="G770">
        <f>VLOOKUP(D770,'[1]202512 BE lapse'!$C:$D,2,0)</f>
        <v>7.3420357119554957E-3</v>
      </c>
      <c r="H770">
        <f>VLOOKUP($B770,'[1]202512 RFR'!$A:$B,2,0)</f>
        <v>1.2E-2</v>
      </c>
      <c r="I770">
        <f t="shared" si="129"/>
        <v>1.0219637632535328</v>
      </c>
      <c r="J770">
        <f t="shared" si="130"/>
        <v>9.9187598153558122E-5</v>
      </c>
      <c r="K770">
        <f t="shared" si="131"/>
        <v>0</v>
      </c>
      <c r="L770">
        <f t="shared" si="123"/>
        <v>0.4041102456575571</v>
      </c>
      <c r="M770">
        <f>IF(AND(MOD(C770,12)=1,D770&lt;='[1]Product parameters'!$C$2),I769*[1]model_point!$G$2,0)</f>
        <v>0</v>
      </c>
      <c r="N770">
        <f t="shared" si="124"/>
        <v>0</v>
      </c>
      <c r="O770">
        <f>[2]results_sample_product_cf!G769</f>
        <v>0</v>
      </c>
      <c r="P770">
        <f>[2]results_sample_product_cf!H769</f>
        <v>0</v>
      </c>
      <c r="Q770">
        <f t="shared" si="125"/>
        <v>0</v>
      </c>
      <c r="R770">
        <f t="shared" si="121"/>
        <v>0</v>
      </c>
    </row>
    <row r="771" spans="1:18" x14ac:dyDescent="0.3">
      <c r="A771">
        <f t="shared" si="126"/>
        <v>768</v>
      </c>
      <c r="B771">
        <f t="shared" si="127"/>
        <v>64</v>
      </c>
      <c r="C771">
        <f t="shared" si="128"/>
        <v>773</v>
      </c>
      <c r="D771">
        <f t="shared" si="122"/>
        <v>65</v>
      </c>
      <c r="E771">
        <f>[1]model_point!$C$2+D771-1</f>
        <v>69</v>
      </c>
      <c r="F771">
        <f>VLOOKUP(E771,'[1]202512 BE mortality'!$A:$C,3,0)</f>
        <v>1.1639362126644225E-3</v>
      </c>
      <c r="G771">
        <f>VLOOKUP(D771,'[1]202512 BE lapse'!$C:$D,2,0)</f>
        <v>7.3420357119554957E-3</v>
      </c>
      <c r="H771">
        <f>VLOOKUP($B771,'[1]202512 RFR'!$A:$B,2,0)</f>
        <v>1.2E-2</v>
      </c>
      <c r="I771">
        <f t="shared" si="129"/>
        <v>1.0218645852811852</v>
      </c>
      <c r="J771">
        <f t="shared" si="130"/>
        <v>9.9177972347614104E-5</v>
      </c>
      <c r="K771">
        <f t="shared" si="131"/>
        <v>0</v>
      </c>
      <c r="L771">
        <f t="shared" si="123"/>
        <v>0.40370874043970312</v>
      </c>
      <c r="M771">
        <f>IF(AND(MOD(C771,12)=1,D771&lt;='[1]Product parameters'!$C$2),I770*[1]model_point!$G$2,0)</f>
        <v>0</v>
      </c>
      <c r="N771">
        <f t="shared" si="124"/>
        <v>0</v>
      </c>
      <c r="O771">
        <f>[2]results_sample_product_cf!G770</f>
        <v>0</v>
      </c>
      <c r="P771">
        <f>[2]results_sample_product_cf!H770</f>
        <v>0</v>
      </c>
      <c r="Q771">
        <f t="shared" si="125"/>
        <v>0</v>
      </c>
      <c r="R771">
        <f t="shared" ref="R771:R834" si="132">ROUND(N771-P771,6)</f>
        <v>0</v>
      </c>
    </row>
    <row r="772" spans="1:18" x14ac:dyDescent="0.3">
      <c r="A772">
        <f t="shared" si="126"/>
        <v>769</v>
      </c>
      <c r="B772">
        <f t="shared" si="127"/>
        <v>65</v>
      </c>
      <c r="C772">
        <f t="shared" si="128"/>
        <v>774</v>
      </c>
      <c r="D772">
        <f t="shared" ref="D772:D835" si="133">TRUNC((C772-1)/12,0)+1</f>
        <v>65</v>
      </c>
      <c r="E772">
        <f>[1]model_point!$C$2+D772-1</f>
        <v>69</v>
      </c>
      <c r="F772">
        <f>VLOOKUP(E772,'[1]202512 BE mortality'!$A:$C,3,0)</f>
        <v>1.1639362126644225E-3</v>
      </c>
      <c r="G772">
        <f>VLOOKUP(D772,'[1]202512 BE lapse'!$C:$D,2,0)</f>
        <v>7.3420357119554957E-3</v>
      </c>
      <c r="H772">
        <f>VLOOKUP($B772,'[1]202512 RFR'!$A:$B,2,0)</f>
        <v>1.2E-2</v>
      </c>
      <c r="I772">
        <f t="shared" si="129"/>
        <v>1.0217654169337094</v>
      </c>
      <c r="J772">
        <f t="shared" si="130"/>
        <v>9.9168347475820547E-5</v>
      </c>
      <c r="K772">
        <f t="shared" si="131"/>
        <v>0</v>
      </c>
      <c r="L772">
        <f t="shared" ref="L772:L835" si="134">L771/(1+H772)^(1/12)</f>
        <v>0.40330763413883203</v>
      </c>
      <c r="M772">
        <f>IF(AND(MOD(C772,12)=1,D772&lt;='[1]Product parameters'!$C$2),I771*[1]model_point!$G$2,0)</f>
        <v>0</v>
      </c>
      <c r="N772">
        <f t="shared" ref="N772:N835" si="135">SUMPRODUCT(L772:L1971,M773:M1972)/L772</f>
        <v>0</v>
      </c>
      <c r="O772">
        <f>[2]results_sample_product_cf!G771</f>
        <v>0</v>
      </c>
      <c r="P772">
        <f>[2]results_sample_product_cf!H771</f>
        <v>0</v>
      </c>
      <c r="Q772">
        <f t="shared" ref="Q772:Q835" si="136">ROUND(M772-O772,6)</f>
        <v>0</v>
      </c>
      <c r="R772">
        <f t="shared" si="132"/>
        <v>0</v>
      </c>
    </row>
    <row r="773" spans="1:18" x14ac:dyDescent="0.3">
      <c r="A773">
        <f t="shared" ref="A773:A836" si="137">A772+1</f>
        <v>770</v>
      </c>
      <c r="B773">
        <f t="shared" ref="B773:B836" si="138">INT((A773-1)/12)+1</f>
        <v>65</v>
      </c>
      <c r="C773">
        <f t="shared" ref="C773:C836" si="139">C772+1</f>
        <v>775</v>
      </c>
      <c r="D773">
        <f t="shared" si="133"/>
        <v>65</v>
      </c>
      <c r="E773">
        <f>[1]model_point!$C$2+D773-1</f>
        <v>69</v>
      </c>
      <c r="F773">
        <f>VLOOKUP(E773,'[1]202512 BE mortality'!$A:$C,3,0)</f>
        <v>1.1639362126644225E-3</v>
      </c>
      <c r="G773">
        <f>VLOOKUP(D773,'[1]202512 BE lapse'!$C:$D,2,0)</f>
        <v>7.3420357119554957E-3</v>
      </c>
      <c r="H773">
        <f>VLOOKUP($B773,'[1]202512 RFR'!$A:$B,2,0)</f>
        <v>1.2E-2</v>
      </c>
      <c r="I773">
        <f t="shared" ref="I773:I836" si="140">I772-J773-K773</f>
        <v>1.0216662582101712</v>
      </c>
      <c r="J773">
        <f t="shared" ref="J773:J836" si="141">I772*(1-(1-F773)^(1/12))</f>
        <v>9.9158723538086786E-5</v>
      </c>
      <c r="K773">
        <f t="shared" ref="K773:K836" si="142">(I772-J773)*IF(MOD(C773,12)=0,G773,0)</f>
        <v>0</v>
      </c>
      <c r="L773">
        <f t="shared" si="134"/>
        <v>0.40290692635859843</v>
      </c>
      <c r="M773">
        <f>IF(AND(MOD(C773,12)=1,D773&lt;='[1]Product parameters'!$C$2),I772*[1]model_point!$G$2,0)</f>
        <v>0</v>
      </c>
      <c r="N773">
        <f t="shared" si="135"/>
        <v>0</v>
      </c>
      <c r="O773">
        <f>[2]results_sample_product_cf!G772</f>
        <v>0</v>
      </c>
      <c r="P773">
        <f>[2]results_sample_product_cf!H772</f>
        <v>0</v>
      </c>
      <c r="Q773">
        <f t="shared" si="136"/>
        <v>0</v>
      </c>
      <c r="R773">
        <f t="shared" si="132"/>
        <v>0</v>
      </c>
    </row>
    <row r="774" spans="1:18" x14ac:dyDescent="0.3">
      <c r="A774">
        <f t="shared" si="137"/>
        <v>771</v>
      </c>
      <c r="B774">
        <f t="shared" si="138"/>
        <v>65</v>
      </c>
      <c r="C774">
        <f t="shared" si="139"/>
        <v>776</v>
      </c>
      <c r="D774">
        <f t="shared" si="133"/>
        <v>65</v>
      </c>
      <c r="E774">
        <f>[1]model_point!$C$2+D774-1</f>
        <v>69</v>
      </c>
      <c r="F774">
        <f>VLOOKUP(E774,'[1]202512 BE mortality'!$A:$C,3,0)</f>
        <v>1.1639362126644225E-3</v>
      </c>
      <c r="G774">
        <f>VLOOKUP(D774,'[1]202512 BE lapse'!$C:$D,2,0)</f>
        <v>7.3420357119554957E-3</v>
      </c>
      <c r="H774">
        <f>VLOOKUP($B774,'[1]202512 RFR'!$A:$B,2,0)</f>
        <v>1.2E-2</v>
      </c>
      <c r="I774">
        <f t="shared" si="140"/>
        <v>1.021567109109637</v>
      </c>
      <c r="J774">
        <f t="shared" si="141"/>
        <v>9.9149100534322169E-5</v>
      </c>
      <c r="K774">
        <f t="shared" si="142"/>
        <v>0</v>
      </c>
      <c r="L774">
        <f t="shared" si="134"/>
        <v>0.40250661670305071</v>
      </c>
      <c r="M774">
        <f>IF(AND(MOD(C774,12)=1,D774&lt;='[1]Product parameters'!$C$2),I773*[1]model_point!$G$2,0)</f>
        <v>0</v>
      </c>
      <c r="N774">
        <f t="shared" si="135"/>
        <v>0</v>
      </c>
      <c r="O774">
        <f>[2]results_sample_product_cf!G773</f>
        <v>0</v>
      </c>
      <c r="P774">
        <f>[2]results_sample_product_cf!H773</f>
        <v>0</v>
      </c>
      <c r="Q774">
        <f t="shared" si="136"/>
        <v>0</v>
      </c>
      <c r="R774">
        <f t="shared" si="132"/>
        <v>0</v>
      </c>
    </row>
    <row r="775" spans="1:18" x14ac:dyDescent="0.3">
      <c r="A775">
        <f t="shared" si="137"/>
        <v>772</v>
      </c>
      <c r="B775">
        <f t="shared" si="138"/>
        <v>65</v>
      </c>
      <c r="C775">
        <f t="shared" si="139"/>
        <v>777</v>
      </c>
      <c r="D775">
        <f t="shared" si="133"/>
        <v>65</v>
      </c>
      <c r="E775">
        <f>[1]model_point!$C$2+D775-1</f>
        <v>69</v>
      </c>
      <c r="F775">
        <f>VLOOKUP(E775,'[1]202512 BE mortality'!$A:$C,3,0)</f>
        <v>1.1639362126644225E-3</v>
      </c>
      <c r="G775">
        <f>VLOOKUP(D775,'[1]202512 BE lapse'!$C:$D,2,0)</f>
        <v>7.3420357119554957E-3</v>
      </c>
      <c r="H775">
        <f>VLOOKUP($B775,'[1]202512 RFR'!$A:$B,2,0)</f>
        <v>1.2E-2</v>
      </c>
      <c r="I775">
        <f t="shared" si="140"/>
        <v>1.0214679696311726</v>
      </c>
      <c r="J775">
        <f t="shared" si="141"/>
        <v>9.9139478464436081E-5</v>
      </c>
      <c r="K775">
        <f t="shared" si="142"/>
        <v>0</v>
      </c>
      <c r="L775">
        <f t="shared" si="134"/>
        <v>0.40210670477663057</v>
      </c>
      <c r="M775">
        <f>IF(AND(MOD(C775,12)=1,D775&lt;='[1]Product parameters'!$C$2),I774*[1]model_point!$G$2,0)</f>
        <v>0</v>
      </c>
      <c r="N775">
        <f t="shared" si="135"/>
        <v>0</v>
      </c>
      <c r="O775">
        <f>[2]results_sample_product_cf!G774</f>
        <v>0</v>
      </c>
      <c r="P775">
        <f>[2]results_sample_product_cf!H774</f>
        <v>0</v>
      </c>
      <c r="Q775">
        <f t="shared" si="136"/>
        <v>0</v>
      </c>
      <c r="R775">
        <f t="shared" si="132"/>
        <v>0</v>
      </c>
    </row>
    <row r="776" spans="1:18" x14ac:dyDescent="0.3">
      <c r="A776">
        <f t="shared" si="137"/>
        <v>773</v>
      </c>
      <c r="B776">
        <f t="shared" si="138"/>
        <v>65</v>
      </c>
      <c r="C776">
        <f t="shared" si="139"/>
        <v>778</v>
      </c>
      <c r="D776">
        <f t="shared" si="133"/>
        <v>65</v>
      </c>
      <c r="E776">
        <f>[1]model_point!$C$2+D776-1</f>
        <v>69</v>
      </c>
      <c r="F776">
        <f>VLOOKUP(E776,'[1]202512 BE mortality'!$A:$C,3,0)</f>
        <v>1.1639362126644225E-3</v>
      </c>
      <c r="G776">
        <f>VLOOKUP(D776,'[1]202512 BE lapse'!$C:$D,2,0)</f>
        <v>7.3420357119554957E-3</v>
      </c>
      <c r="H776">
        <f>VLOOKUP($B776,'[1]202512 RFR'!$A:$B,2,0)</f>
        <v>1.2E-2</v>
      </c>
      <c r="I776">
        <f t="shared" si="140"/>
        <v>1.0213688397738443</v>
      </c>
      <c r="J776">
        <f t="shared" si="141"/>
        <v>9.9129857328337872E-5</v>
      </c>
      <c r="K776">
        <f t="shared" si="142"/>
        <v>0</v>
      </c>
      <c r="L776">
        <f t="shared" si="134"/>
        <v>0.40170719018417278</v>
      </c>
      <c r="M776">
        <f>IF(AND(MOD(C776,12)=1,D776&lt;='[1]Product parameters'!$C$2),I775*[1]model_point!$G$2,0)</f>
        <v>0</v>
      </c>
      <c r="N776">
        <f t="shared" si="135"/>
        <v>0</v>
      </c>
      <c r="O776">
        <f>[2]results_sample_product_cf!G775</f>
        <v>0</v>
      </c>
      <c r="P776">
        <f>[2]results_sample_product_cf!H775</f>
        <v>0</v>
      </c>
      <c r="Q776">
        <f t="shared" si="136"/>
        <v>0</v>
      </c>
      <c r="R776">
        <f t="shared" si="132"/>
        <v>0</v>
      </c>
    </row>
    <row r="777" spans="1:18" x14ac:dyDescent="0.3">
      <c r="A777">
        <f t="shared" si="137"/>
        <v>774</v>
      </c>
      <c r="B777">
        <f t="shared" si="138"/>
        <v>65</v>
      </c>
      <c r="C777">
        <f t="shared" si="139"/>
        <v>779</v>
      </c>
      <c r="D777">
        <f t="shared" si="133"/>
        <v>65</v>
      </c>
      <c r="E777">
        <f>[1]model_point!$C$2+D777-1</f>
        <v>69</v>
      </c>
      <c r="F777">
        <f>VLOOKUP(E777,'[1]202512 BE mortality'!$A:$C,3,0)</f>
        <v>1.1639362126644225E-3</v>
      </c>
      <c r="G777">
        <f>VLOOKUP(D777,'[1]202512 BE lapse'!$C:$D,2,0)</f>
        <v>7.3420357119554957E-3</v>
      </c>
      <c r="H777">
        <f>VLOOKUP($B777,'[1]202512 RFR'!$A:$B,2,0)</f>
        <v>1.2E-2</v>
      </c>
      <c r="I777">
        <f t="shared" si="140"/>
        <v>1.0212697195367184</v>
      </c>
      <c r="J777">
        <f t="shared" si="141"/>
        <v>9.9120237125936928E-5</v>
      </c>
      <c r="K777">
        <f t="shared" si="142"/>
        <v>0</v>
      </c>
      <c r="L777">
        <f t="shared" si="134"/>
        <v>0.40130807253090478</v>
      </c>
      <c r="M777">
        <f>IF(AND(MOD(C777,12)=1,D777&lt;='[1]Product parameters'!$C$2),I776*[1]model_point!$G$2,0)</f>
        <v>0</v>
      </c>
      <c r="N777">
        <f t="shared" si="135"/>
        <v>0</v>
      </c>
      <c r="O777">
        <f>[2]results_sample_product_cf!G776</f>
        <v>0</v>
      </c>
      <c r="P777">
        <f>[2]results_sample_product_cf!H776</f>
        <v>0</v>
      </c>
      <c r="Q777">
        <f t="shared" si="136"/>
        <v>0</v>
      </c>
      <c r="R777">
        <f t="shared" si="132"/>
        <v>0</v>
      </c>
    </row>
    <row r="778" spans="1:18" x14ac:dyDescent="0.3">
      <c r="A778">
        <f t="shared" si="137"/>
        <v>775</v>
      </c>
      <c r="B778">
        <f t="shared" si="138"/>
        <v>65</v>
      </c>
      <c r="C778">
        <f t="shared" si="139"/>
        <v>780</v>
      </c>
      <c r="D778">
        <f t="shared" si="133"/>
        <v>65</v>
      </c>
      <c r="E778">
        <f>[1]model_point!$C$2+D778-1</f>
        <v>69</v>
      </c>
      <c r="F778">
        <f>VLOOKUP(E778,'[1]202512 BE mortality'!$A:$C,3,0)</f>
        <v>1.1639362126644225E-3</v>
      </c>
      <c r="G778">
        <f>VLOOKUP(D778,'[1]202512 BE lapse'!$C:$D,2,0)</f>
        <v>7.3420357119554957E-3</v>
      </c>
      <c r="H778">
        <f>VLOOKUP($B778,'[1]202512 RFR'!$A:$B,2,0)</f>
        <v>1.2E-2</v>
      </c>
      <c r="I778">
        <f t="shared" si="140"/>
        <v>1.0136731378401795</v>
      </c>
      <c r="J778">
        <f t="shared" si="141"/>
        <v>9.9110617857142637E-5</v>
      </c>
      <c r="K778">
        <f t="shared" si="142"/>
        <v>7.4974710786816189E-3</v>
      </c>
      <c r="L778">
        <f t="shared" si="134"/>
        <v>0.4009093514224461</v>
      </c>
      <c r="M778">
        <f>IF(AND(MOD(C778,12)=1,D778&lt;='[1]Product parameters'!$C$2),I777*[1]model_point!$G$2,0)</f>
        <v>0</v>
      </c>
      <c r="N778">
        <f t="shared" si="135"/>
        <v>0</v>
      </c>
      <c r="O778">
        <f>[2]results_sample_product_cf!G777</f>
        <v>0</v>
      </c>
      <c r="P778">
        <f>[2]results_sample_product_cf!H777</f>
        <v>0</v>
      </c>
      <c r="Q778">
        <f t="shared" si="136"/>
        <v>0</v>
      </c>
      <c r="R778">
        <f t="shared" si="132"/>
        <v>0</v>
      </c>
    </row>
    <row r="779" spans="1:18" x14ac:dyDescent="0.3">
      <c r="A779">
        <f t="shared" si="137"/>
        <v>776</v>
      </c>
      <c r="B779">
        <f t="shared" si="138"/>
        <v>65</v>
      </c>
      <c r="C779">
        <f t="shared" si="139"/>
        <v>781</v>
      </c>
      <c r="D779">
        <f t="shared" si="133"/>
        <v>66</v>
      </c>
      <c r="E779">
        <f>[1]model_point!$C$2+D779-1</f>
        <v>70</v>
      </c>
      <c r="F779">
        <f>VLOOKUP(E779,'[1]202512 BE mortality'!$A:$C,3,0)</f>
        <v>3.9917880245070488E-3</v>
      </c>
      <c r="G779">
        <f>VLOOKUP(D779,'[1]202512 BE lapse'!$C:$D,2,0)</f>
        <v>7.4391380444483856E-3</v>
      </c>
      <c r="H779">
        <f>VLOOKUP($B779,'[1]202512 RFR'!$A:$B,2,0)</f>
        <v>1.2E-2</v>
      </c>
      <c r="I779">
        <f t="shared" si="140"/>
        <v>1.0133353219785293</v>
      </c>
      <c r="J779">
        <f t="shared" si="141"/>
        <v>3.3781586165032991E-4</v>
      </c>
      <c r="K779">
        <f t="shared" si="142"/>
        <v>0</v>
      </c>
      <c r="L779">
        <f t="shared" si="134"/>
        <v>0.40051102646480824</v>
      </c>
      <c r="M779">
        <f>IF(AND(MOD(C779,12)=1,D779&lt;='[1]Product parameters'!$C$2),I778*[1]model_point!$G$2,0)</f>
        <v>0</v>
      </c>
      <c r="N779">
        <f t="shared" si="135"/>
        <v>0</v>
      </c>
      <c r="O779">
        <f>[2]results_sample_product_cf!G778</f>
        <v>0</v>
      </c>
      <c r="P779">
        <f>[2]results_sample_product_cf!H778</f>
        <v>0</v>
      </c>
      <c r="Q779">
        <f t="shared" si="136"/>
        <v>0</v>
      </c>
      <c r="R779">
        <f t="shared" si="132"/>
        <v>0</v>
      </c>
    </row>
    <row r="780" spans="1:18" x14ac:dyDescent="0.3">
      <c r="A780">
        <f t="shared" si="137"/>
        <v>777</v>
      </c>
      <c r="B780">
        <f t="shared" si="138"/>
        <v>65</v>
      </c>
      <c r="C780">
        <f t="shared" si="139"/>
        <v>782</v>
      </c>
      <c r="D780">
        <f t="shared" si="133"/>
        <v>66</v>
      </c>
      <c r="E780">
        <f>[1]model_point!$C$2+D780-1</f>
        <v>70</v>
      </c>
      <c r="F780">
        <f>VLOOKUP(E780,'[1]202512 BE mortality'!$A:$C,3,0)</f>
        <v>3.9917880245070488E-3</v>
      </c>
      <c r="G780">
        <f>VLOOKUP(D780,'[1]202512 BE lapse'!$C:$D,2,0)</f>
        <v>7.4391380444483856E-3</v>
      </c>
      <c r="H780">
        <f>VLOOKUP($B780,'[1]202512 RFR'!$A:$B,2,0)</f>
        <v>1.2E-2</v>
      </c>
      <c r="I780">
        <f t="shared" si="140"/>
        <v>1.0129976186971104</v>
      </c>
      <c r="J780">
        <f t="shared" si="141"/>
        <v>3.3770328141896887E-4</v>
      </c>
      <c r="K780">
        <f t="shared" si="142"/>
        <v>0</v>
      </c>
      <c r="L780">
        <f t="shared" si="134"/>
        <v>0.40011309726439409</v>
      </c>
      <c r="M780">
        <f>IF(AND(MOD(C780,12)=1,D780&lt;='[1]Product parameters'!$C$2),I779*[1]model_point!$G$2,0)</f>
        <v>0</v>
      </c>
      <c r="N780">
        <f t="shared" si="135"/>
        <v>0</v>
      </c>
      <c r="O780">
        <f>[2]results_sample_product_cf!G779</f>
        <v>0</v>
      </c>
      <c r="P780">
        <f>[2]results_sample_product_cf!H779</f>
        <v>0</v>
      </c>
      <c r="Q780">
        <f t="shared" si="136"/>
        <v>0</v>
      </c>
      <c r="R780">
        <f t="shared" si="132"/>
        <v>0</v>
      </c>
    </row>
    <row r="781" spans="1:18" x14ac:dyDescent="0.3">
      <c r="A781">
        <f t="shared" si="137"/>
        <v>778</v>
      </c>
      <c r="B781">
        <f t="shared" si="138"/>
        <v>65</v>
      </c>
      <c r="C781">
        <f t="shared" si="139"/>
        <v>783</v>
      </c>
      <c r="D781">
        <f t="shared" si="133"/>
        <v>66</v>
      </c>
      <c r="E781">
        <f>[1]model_point!$C$2+D781-1</f>
        <v>70</v>
      </c>
      <c r="F781">
        <f>VLOOKUP(E781,'[1]202512 BE mortality'!$A:$C,3,0)</f>
        <v>3.9917880245070488E-3</v>
      </c>
      <c r="G781">
        <f>VLOOKUP(D781,'[1]202512 BE lapse'!$C:$D,2,0)</f>
        <v>7.4391380444483856E-3</v>
      </c>
      <c r="H781">
        <f>VLOOKUP($B781,'[1]202512 RFR'!$A:$B,2,0)</f>
        <v>1.2E-2</v>
      </c>
      <c r="I781">
        <f t="shared" si="140"/>
        <v>1.0126600279584044</v>
      </c>
      <c r="J781">
        <f t="shared" si="141"/>
        <v>3.375907387060015E-4</v>
      </c>
      <c r="K781">
        <f t="shared" si="142"/>
        <v>0</v>
      </c>
      <c r="L781">
        <f t="shared" si="134"/>
        <v>0.39971556342799763</v>
      </c>
      <c r="M781">
        <f>IF(AND(MOD(C781,12)=1,D781&lt;='[1]Product parameters'!$C$2),I780*[1]model_point!$G$2,0)</f>
        <v>0</v>
      </c>
      <c r="N781">
        <f t="shared" si="135"/>
        <v>0</v>
      </c>
      <c r="O781">
        <f>[2]results_sample_product_cf!G780</f>
        <v>0</v>
      </c>
      <c r="P781">
        <f>[2]results_sample_product_cf!H780</f>
        <v>0</v>
      </c>
      <c r="Q781">
        <f t="shared" si="136"/>
        <v>0</v>
      </c>
      <c r="R781">
        <f t="shared" si="132"/>
        <v>0</v>
      </c>
    </row>
    <row r="782" spans="1:18" x14ac:dyDescent="0.3">
      <c r="A782">
        <f t="shared" si="137"/>
        <v>779</v>
      </c>
      <c r="B782">
        <f t="shared" si="138"/>
        <v>65</v>
      </c>
      <c r="C782">
        <f t="shared" si="139"/>
        <v>784</v>
      </c>
      <c r="D782">
        <f t="shared" si="133"/>
        <v>66</v>
      </c>
      <c r="E782">
        <f>[1]model_point!$C$2+D782-1</f>
        <v>70</v>
      </c>
      <c r="F782">
        <f>VLOOKUP(E782,'[1]202512 BE mortality'!$A:$C,3,0)</f>
        <v>3.9917880245070488E-3</v>
      </c>
      <c r="G782">
        <f>VLOOKUP(D782,'[1]202512 BE lapse'!$C:$D,2,0)</f>
        <v>7.4391380444483856E-3</v>
      </c>
      <c r="H782">
        <f>VLOOKUP($B782,'[1]202512 RFR'!$A:$B,2,0)</f>
        <v>1.2E-2</v>
      </c>
      <c r="I782">
        <f t="shared" si="140"/>
        <v>1.0123225497249055</v>
      </c>
      <c r="J782">
        <f t="shared" si="141"/>
        <v>3.3747823349892446E-4</v>
      </c>
      <c r="K782">
        <f t="shared" si="142"/>
        <v>0</v>
      </c>
      <c r="L782">
        <f t="shared" si="134"/>
        <v>0.39931842456280342</v>
      </c>
      <c r="M782">
        <f>IF(AND(MOD(C782,12)=1,D782&lt;='[1]Product parameters'!$C$2),I781*[1]model_point!$G$2,0)</f>
        <v>0</v>
      </c>
      <c r="N782">
        <f t="shared" si="135"/>
        <v>0</v>
      </c>
      <c r="O782">
        <f>[2]results_sample_product_cf!G781</f>
        <v>0</v>
      </c>
      <c r="P782">
        <f>[2]results_sample_product_cf!H781</f>
        <v>0</v>
      </c>
      <c r="Q782">
        <f t="shared" si="136"/>
        <v>0</v>
      </c>
      <c r="R782">
        <f t="shared" si="132"/>
        <v>0</v>
      </c>
    </row>
    <row r="783" spans="1:18" x14ac:dyDescent="0.3">
      <c r="A783">
        <f t="shared" si="137"/>
        <v>780</v>
      </c>
      <c r="B783">
        <f t="shared" si="138"/>
        <v>65</v>
      </c>
      <c r="C783">
        <f t="shared" si="139"/>
        <v>785</v>
      </c>
      <c r="D783">
        <f t="shared" si="133"/>
        <v>66</v>
      </c>
      <c r="E783">
        <f>[1]model_point!$C$2+D783-1</f>
        <v>70</v>
      </c>
      <c r="F783">
        <f>VLOOKUP(E783,'[1]202512 BE mortality'!$A:$C,3,0)</f>
        <v>3.9917880245070488E-3</v>
      </c>
      <c r="G783">
        <f>VLOOKUP(D783,'[1]202512 BE lapse'!$C:$D,2,0)</f>
        <v>7.4391380444483856E-3</v>
      </c>
      <c r="H783">
        <f>VLOOKUP($B783,'[1]202512 RFR'!$A:$B,2,0)</f>
        <v>1.2E-2</v>
      </c>
      <c r="I783">
        <f t="shared" si="140"/>
        <v>1.0119851839591203</v>
      </c>
      <c r="J783">
        <f t="shared" si="141"/>
        <v>3.3736576578523861E-4</v>
      </c>
      <c r="K783">
        <f t="shared" si="142"/>
        <v>0</v>
      </c>
      <c r="L783">
        <f t="shared" si="134"/>
        <v>0.39892168027638641</v>
      </c>
      <c r="M783">
        <f>IF(AND(MOD(C783,12)=1,D783&lt;='[1]Product parameters'!$C$2),I782*[1]model_point!$G$2,0)</f>
        <v>0</v>
      </c>
      <c r="N783">
        <f t="shared" si="135"/>
        <v>0</v>
      </c>
      <c r="O783">
        <f>[2]results_sample_product_cf!G782</f>
        <v>0</v>
      </c>
      <c r="P783">
        <f>[2]results_sample_product_cf!H782</f>
        <v>0</v>
      </c>
      <c r="Q783">
        <f t="shared" si="136"/>
        <v>0</v>
      </c>
      <c r="R783">
        <f t="shared" si="132"/>
        <v>0</v>
      </c>
    </row>
    <row r="784" spans="1:18" x14ac:dyDescent="0.3">
      <c r="A784">
        <f t="shared" si="137"/>
        <v>781</v>
      </c>
      <c r="B784">
        <f t="shared" si="138"/>
        <v>66</v>
      </c>
      <c r="C784">
        <f t="shared" si="139"/>
        <v>786</v>
      </c>
      <c r="D784">
        <f t="shared" si="133"/>
        <v>66</v>
      </c>
      <c r="E784">
        <f>[1]model_point!$C$2+D784-1</f>
        <v>70</v>
      </c>
      <c r="F784">
        <f>VLOOKUP(E784,'[1]202512 BE mortality'!$A:$C,3,0)</f>
        <v>3.9917880245070488E-3</v>
      </c>
      <c r="G784">
        <f>VLOOKUP(D784,'[1]202512 BE lapse'!$C:$D,2,0)</f>
        <v>7.4391380444483856E-3</v>
      </c>
      <c r="H784">
        <f>VLOOKUP($B784,'[1]202512 RFR'!$A:$B,2,0)</f>
        <v>1.2E-2</v>
      </c>
      <c r="I784">
        <f t="shared" si="140"/>
        <v>1.0116479306235679</v>
      </c>
      <c r="J784">
        <f t="shared" si="141"/>
        <v>3.3725333555244892E-4</v>
      </c>
      <c r="K784">
        <f t="shared" si="142"/>
        <v>0</v>
      </c>
      <c r="L784">
        <f t="shared" si="134"/>
        <v>0.39852533017671143</v>
      </c>
      <c r="M784">
        <f>IF(AND(MOD(C784,12)=1,D784&lt;='[1]Product parameters'!$C$2),I783*[1]model_point!$G$2,0)</f>
        <v>0</v>
      </c>
      <c r="N784">
        <f t="shared" si="135"/>
        <v>0</v>
      </c>
      <c r="O784">
        <f>[2]results_sample_product_cf!G783</f>
        <v>0</v>
      </c>
      <c r="P784">
        <f>[2]results_sample_product_cf!H783</f>
        <v>0</v>
      </c>
      <c r="Q784">
        <f t="shared" si="136"/>
        <v>0</v>
      </c>
      <c r="R784">
        <f t="shared" si="132"/>
        <v>0</v>
      </c>
    </row>
    <row r="785" spans="1:18" x14ac:dyDescent="0.3">
      <c r="A785">
        <f t="shared" si="137"/>
        <v>782</v>
      </c>
      <c r="B785">
        <f t="shared" si="138"/>
        <v>66</v>
      </c>
      <c r="C785">
        <f t="shared" si="139"/>
        <v>787</v>
      </c>
      <c r="D785">
        <f t="shared" si="133"/>
        <v>66</v>
      </c>
      <c r="E785">
        <f>[1]model_point!$C$2+D785-1</f>
        <v>70</v>
      </c>
      <c r="F785">
        <f>VLOOKUP(E785,'[1]202512 BE mortality'!$A:$C,3,0)</f>
        <v>3.9917880245070488E-3</v>
      </c>
      <c r="G785">
        <f>VLOOKUP(D785,'[1]202512 BE lapse'!$C:$D,2,0)</f>
        <v>7.4391380444483856E-3</v>
      </c>
      <c r="H785">
        <f>VLOOKUP($B785,'[1]202512 RFR'!$A:$B,2,0)</f>
        <v>1.2E-2</v>
      </c>
      <c r="I785">
        <f t="shared" si="140"/>
        <v>1.0113107896807798</v>
      </c>
      <c r="J785">
        <f t="shared" si="141"/>
        <v>3.3714094278806451E-4</v>
      </c>
      <c r="K785">
        <f t="shared" si="142"/>
        <v>0</v>
      </c>
      <c r="L785">
        <f t="shared" si="134"/>
        <v>0.39812937387213282</v>
      </c>
      <c r="M785">
        <f>IF(AND(MOD(C785,12)=1,D785&lt;='[1]Product parameters'!$C$2),I784*[1]model_point!$G$2,0)</f>
        <v>0</v>
      </c>
      <c r="N785">
        <f t="shared" si="135"/>
        <v>0</v>
      </c>
      <c r="O785">
        <f>[2]results_sample_product_cf!G784</f>
        <v>0</v>
      </c>
      <c r="P785">
        <f>[2]results_sample_product_cf!H784</f>
        <v>0</v>
      </c>
      <c r="Q785">
        <f t="shared" si="136"/>
        <v>0</v>
      </c>
      <c r="R785">
        <f t="shared" si="132"/>
        <v>0</v>
      </c>
    </row>
    <row r="786" spans="1:18" x14ac:dyDescent="0.3">
      <c r="A786">
        <f t="shared" si="137"/>
        <v>783</v>
      </c>
      <c r="B786">
        <f t="shared" si="138"/>
        <v>66</v>
      </c>
      <c r="C786">
        <f t="shared" si="139"/>
        <v>788</v>
      </c>
      <c r="D786">
        <f t="shared" si="133"/>
        <v>66</v>
      </c>
      <c r="E786">
        <f>[1]model_point!$C$2+D786-1</f>
        <v>70</v>
      </c>
      <c r="F786">
        <f>VLOOKUP(E786,'[1]202512 BE mortality'!$A:$C,3,0)</f>
        <v>3.9917880245070488E-3</v>
      </c>
      <c r="G786">
        <f>VLOOKUP(D786,'[1]202512 BE lapse'!$C:$D,2,0)</f>
        <v>7.4391380444483856E-3</v>
      </c>
      <c r="H786">
        <f>VLOOKUP($B786,'[1]202512 RFR'!$A:$B,2,0)</f>
        <v>1.2E-2</v>
      </c>
      <c r="I786">
        <f t="shared" si="140"/>
        <v>1.0109737610933003</v>
      </c>
      <c r="J786">
        <f t="shared" si="141"/>
        <v>3.3702858747959867E-4</v>
      </c>
      <c r="K786">
        <f t="shared" si="142"/>
        <v>0</v>
      </c>
      <c r="L786">
        <f t="shared" si="134"/>
        <v>0.39773381097139393</v>
      </c>
      <c r="M786">
        <f>IF(AND(MOD(C786,12)=1,D786&lt;='[1]Product parameters'!$C$2),I785*[1]model_point!$G$2,0)</f>
        <v>0</v>
      </c>
      <c r="N786">
        <f t="shared" si="135"/>
        <v>0</v>
      </c>
      <c r="O786">
        <f>[2]results_sample_product_cf!G785</f>
        <v>0</v>
      </c>
      <c r="P786">
        <f>[2]results_sample_product_cf!H785</f>
        <v>0</v>
      </c>
      <c r="Q786">
        <f t="shared" si="136"/>
        <v>0</v>
      </c>
      <c r="R786">
        <f t="shared" si="132"/>
        <v>0</v>
      </c>
    </row>
    <row r="787" spans="1:18" x14ac:dyDescent="0.3">
      <c r="A787">
        <f t="shared" si="137"/>
        <v>784</v>
      </c>
      <c r="B787">
        <f t="shared" si="138"/>
        <v>66</v>
      </c>
      <c r="C787">
        <f t="shared" si="139"/>
        <v>789</v>
      </c>
      <c r="D787">
        <f t="shared" si="133"/>
        <v>66</v>
      </c>
      <c r="E787">
        <f>[1]model_point!$C$2+D787-1</f>
        <v>70</v>
      </c>
      <c r="F787">
        <f>VLOOKUP(E787,'[1]202512 BE mortality'!$A:$C,3,0)</f>
        <v>3.9917880245070488E-3</v>
      </c>
      <c r="G787">
        <f>VLOOKUP(D787,'[1]202512 BE lapse'!$C:$D,2,0)</f>
        <v>7.4391380444483856E-3</v>
      </c>
      <c r="H787">
        <f>VLOOKUP($B787,'[1]202512 RFR'!$A:$B,2,0)</f>
        <v>1.2E-2</v>
      </c>
      <c r="I787">
        <f t="shared" si="140"/>
        <v>1.0106368448236858</v>
      </c>
      <c r="J787">
        <f t="shared" si="141"/>
        <v>3.3691626961456894E-4</v>
      </c>
      <c r="K787">
        <f t="shared" si="142"/>
        <v>0</v>
      </c>
      <c r="L787">
        <f t="shared" si="134"/>
        <v>0.39733864108362699</v>
      </c>
      <c r="M787">
        <f>IF(AND(MOD(C787,12)=1,D787&lt;='[1]Product parameters'!$C$2),I786*[1]model_point!$G$2,0)</f>
        <v>0</v>
      </c>
      <c r="N787">
        <f t="shared" si="135"/>
        <v>0</v>
      </c>
      <c r="O787">
        <f>[2]results_sample_product_cf!G786</f>
        <v>0</v>
      </c>
      <c r="P787">
        <f>[2]results_sample_product_cf!H786</f>
        <v>0</v>
      </c>
      <c r="Q787">
        <f t="shared" si="136"/>
        <v>0</v>
      </c>
      <c r="R787">
        <f t="shared" si="132"/>
        <v>0</v>
      </c>
    </row>
    <row r="788" spans="1:18" x14ac:dyDescent="0.3">
      <c r="A788">
        <f t="shared" si="137"/>
        <v>785</v>
      </c>
      <c r="B788">
        <f t="shared" si="138"/>
        <v>66</v>
      </c>
      <c r="C788">
        <f t="shared" si="139"/>
        <v>790</v>
      </c>
      <c r="D788">
        <f t="shared" si="133"/>
        <v>66</v>
      </c>
      <c r="E788">
        <f>[1]model_point!$C$2+D788-1</f>
        <v>70</v>
      </c>
      <c r="F788">
        <f>VLOOKUP(E788,'[1]202512 BE mortality'!$A:$C,3,0)</f>
        <v>3.9917880245070488E-3</v>
      </c>
      <c r="G788">
        <f>VLOOKUP(D788,'[1]202512 BE lapse'!$C:$D,2,0)</f>
        <v>7.4391380444483856E-3</v>
      </c>
      <c r="H788">
        <f>VLOOKUP($B788,'[1]202512 RFR'!$A:$B,2,0)</f>
        <v>1.2E-2</v>
      </c>
      <c r="I788">
        <f t="shared" si="140"/>
        <v>1.0103000408345053</v>
      </c>
      <c r="J788">
        <f t="shared" si="141"/>
        <v>3.3680398918049689E-4</v>
      </c>
      <c r="K788">
        <f t="shared" si="142"/>
        <v>0</v>
      </c>
      <c r="L788">
        <f t="shared" si="134"/>
        <v>0.3969438638183525</v>
      </c>
      <c r="M788">
        <f>IF(AND(MOD(C788,12)=1,D788&lt;='[1]Product parameters'!$C$2),I787*[1]model_point!$G$2,0)</f>
        <v>0</v>
      </c>
      <c r="N788">
        <f t="shared" si="135"/>
        <v>0</v>
      </c>
      <c r="O788">
        <f>[2]results_sample_product_cf!G787</f>
        <v>0</v>
      </c>
      <c r="P788">
        <f>[2]results_sample_product_cf!H787</f>
        <v>0</v>
      </c>
      <c r="Q788">
        <f t="shared" si="136"/>
        <v>0</v>
      </c>
      <c r="R788">
        <f t="shared" si="132"/>
        <v>0</v>
      </c>
    </row>
    <row r="789" spans="1:18" x14ac:dyDescent="0.3">
      <c r="A789">
        <f t="shared" si="137"/>
        <v>786</v>
      </c>
      <c r="B789">
        <f t="shared" si="138"/>
        <v>66</v>
      </c>
      <c r="C789">
        <f t="shared" si="139"/>
        <v>791</v>
      </c>
      <c r="D789">
        <f t="shared" si="133"/>
        <v>66</v>
      </c>
      <c r="E789">
        <f>[1]model_point!$C$2+D789-1</f>
        <v>70</v>
      </c>
      <c r="F789">
        <f>VLOOKUP(E789,'[1]202512 BE mortality'!$A:$C,3,0)</f>
        <v>3.9917880245070488E-3</v>
      </c>
      <c r="G789">
        <f>VLOOKUP(D789,'[1]202512 BE lapse'!$C:$D,2,0)</f>
        <v>7.4391380444483856E-3</v>
      </c>
      <c r="H789">
        <f>VLOOKUP($B789,'[1]202512 RFR'!$A:$B,2,0)</f>
        <v>1.2E-2</v>
      </c>
      <c r="I789">
        <f t="shared" si="140"/>
        <v>1.0099633490883404</v>
      </c>
      <c r="J789">
        <f t="shared" si="141"/>
        <v>3.3669174616490836E-4</v>
      </c>
      <c r="K789">
        <f t="shared" si="142"/>
        <v>0</v>
      </c>
      <c r="L789">
        <f t="shared" si="134"/>
        <v>0.39654947878547897</v>
      </c>
      <c r="M789">
        <f>IF(AND(MOD(C789,12)=1,D789&lt;='[1]Product parameters'!$C$2),I788*[1]model_point!$G$2,0)</f>
        <v>0</v>
      </c>
      <c r="N789">
        <f t="shared" si="135"/>
        <v>0</v>
      </c>
      <c r="O789">
        <f>[2]results_sample_product_cf!G788</f>
        <v>0</v>
      </c>
      <c r="P789">
        <f>[2]results_sample_product_cf!H788</f>
        <v>0</v>
      </c>
      <c r="Q789">
        <f t="shared" si="136"/>
        <v>0</v>
      </c>
      <c r="R789">
        <f t="shared" si="132"/>
        <v>0</v>
      </c>
    </row>
    <row r="790" spans="1:18" x14ac:dyDescent="0.3">
      <c r="A790">
        <f t="shared" si="137"/>
        <v>787</v>
      </c>
      <c r="B790">
        <f t="shared" si="138"/>
        <v>66</v>
      </c>
      <c r="C790">
        <f t="shared" si="139"/>
        <v>792</v>
      </c>
      <c r="D790">
        <f t="shared" si="133"/>
        <v>66</v>
      </c>
      <c r="E790">
        <f>[1]model_point!$C$2+D790-1</f>
        <v>70</v>
      </c>
      <c r="F790">
        <f>VLOOKUP(E790,'[1]202512 BE mortality'!$A:$C,3,0)</f>
        <v>3.9917880245070488E-3</v>
      </c>
      <c r="G790">
        <f>VLOOKUP(D790,'[1]202512 BE lapse'!$C:$D,2,0)</f>
        <v>7.4391380444483856E-3</v>
      </c>
      <c r="H790">
        <f>VLOOKUP($B790,'[1]202512 RFR'!$A:$B,2,0)</f>
        <v>1.2E-2</v>
      </c>
      <c r="I790">
        <f t="shared" si="140"/>
        <v>1.0021160166357486</v>
      </c>
      <c r="J790">
        <f t="shared" si="141"/>
        <v>3.3657954055533329E-4</v>
      </c>
      <c r="K790">
        <f t="shared" si="142"/>
        <v>7.5107529120364497E-3</v>
      </c>
      <c r="L790">
        <f t="shared" si="134"/>
        <v>0.39615548559530245</v>
      </c>
      <c r="M790">
        <f>IF(AND(MOD(C790,12)=1,D790&lt;='[1]Product parameters'!$C$2),I789*[1]model_point!$G$2,0)</f>
        <v>0</v>
      </c>
      <c r="N790">
        <f t="shared" si="135"/>
        <v>0</v>
      </c>
      <c r="O790">
        <f>[2]results_sample_product_cf!G789</f>
        <v>0</v>
      </c>
      <c r="P790">
        <f>[2]results_sample_product_cf!H789</f>
        <v>0</v>
      </c>
      <c r="Q790">
        <f t="shared" si="136"/>
        <v>0</v>
      </c>
      <c r="R790">
        <f t="shared" si="132"/>
        <v>0</v>
      </c>
    </row>
    <row r="791" spans="1:18" x14ac:dyDescent="0.3">
      <c r="A791">
        <f t="shared" si="137"/>
        <v>788</v>
      </c>
      <c r="B791">
        <f t="shared" si="138"/>
        <v>66</v>
      </c>
      <c r="C791">
        <f t="shared" si="139"/>
        <v>793</v>
      </c>
      <c r="D791">
        <f t="shared" si="133"/>
        <v>67</v>
      </c>
      <c r="E791">
        <f>[1]model_point!$C$2+D791-1</f>
        <v>71</v>
      </c>
      <c r="F791">
        <f>VLOOKUP(E791,'[1]202512 BE mortality'!$A:$C,3,0)</f>
        <v>9.0245603754328316E-3</v>
      </c>
      <c r="G791">
        <f>VLOOKUP(D791,'[1]202512 BE lapse'!$C:$D,2,0)</f>
        <v>8.8325334714280338E-3</v>
      </c>
      <c r="H791">
        <f>VLOOKUP($B791,'[1]202512 RFR'!$A:$B,2,0)</f>
        <v>1.2E-2</v>
      </c>
      <c r="I791">
        <f t="shared" si="140"/>
        <v>1.001359243261811</v>
      </c>
      <c r="J791">
        <f t="shared" si="141"/>
        <v>7.5677337393754876E-4</v>
      </c>
      <c r="K791">
        <f t="shared" si="142"/>
        <v>0</v>
      </c>
      <c r="L791">
        <f t="shared" si="134"/>
        <v>0.39576188385850614</v>
      </c>
      <c r="M791">
        <f>IF(AND(MOD(C791,12)=1,D791&lt;='[1]Product parameters'!$C$2),I790*[1]model_point!$G$2,0)</f>
        <v>0</v>
      </c>
      <c r="N791">
        <f t="shared" si="135"/>
        <v>0</v>
      </c>
      <c r="O791">
        <f>[2]results_sample_product_cf!G790</f>
        <v>0</v>
      </c>
      <c r="P791">
        <f>[2]results_sample_product_cf!H790</f>
        <v>0</v>
      </c>
      <c r="Q791">
        <f t="shared" si="136"/>
        <v>0</v>
      </c>
      <c r="R791">
        <f t="shared" si="132"/>
        <v>0</v>
      </c>
    </row>
    <row r="792" spans="1:18" x14ac:dyDescent="0.3">
      <c r="A792">
        <f t="shared" si="137"/>
        <v>789</v>
      </c>
      <c r="B792">
        <f t="shared" si="138"/>
        <v>66</v>
      </c>
      <c r="C792">
        <f t="shared" si="139"/>
        <v>794</v>
      </c>
      <c r="D792">
        <f t="shared" si="133"/>
        <v>67</v>
      </c>
      <c r="E792">
        <f>[1]model_point!$C$2+D792-1</f>
        <v>71</v>
      </c>
      <c r="F792">
        <f>VLOOKUP(E792,'[1]202512 BE mortality'!$A:$C,3,0)</f>
        <v>9.0245603754328316E-3</v>
      </c>
      <c r="G792">
        <f>VLOOKUP(D792,'[1]202512 BE lapse'!$C:$D,2,0)</f>
        <v>8.8325334714280338E-3</v>
      </c>
      <c r="H792">
        <f>VLOOKUP($B792,'[1]202512 RFR'!$A:$B,2,0)</f>
        <v>1.2E-2</v>
      </c>
      <c r="I792">
        <f t="shared" si="140"/>
        <v>1.0006030413845166</v>
      </c>
      <c r="J792">
        <f t="shared" si="141"/>
        <v>7.56201877294452E-4</v>
      </c>
      <c r="K792">
        <f t="shared" si="142"/>
        <v>0</v>
      </c>
      <c r="L792">
        <f t="shared" si="134"/>
        <v>0.39536867318616015</v>
      </c>
      <c r="M792">
        <f>IF(AND(MOD(C792,12)=1,D792&lt;='[1]Product parameters'!$C$2),I791*[1]model_point!$G$2,0)</f>
        <v>0</v>
      </c>
      <c r="N792">
        <f t="shared" si="135"/>
        <v>0</v>
      </c>
      <c r="O792">
        <f>[2]results_sample_product_cf!G791</f>
        <v>0</v>
      </c>
      <c r="P792">
        <f>[2]results_sample_product_cf!H791</f>
        <v>0</v>
      </c>
      <c r="Q792">
        <f t="shared" si="136"/>
        <v>0</v>
      </c>
      <c r="R792">
        <f t="shared" si="132"/>
        <v>0</v>
      </c>
    </row>
    <row r="793" spans="1:18" x14ac:dyDescent="0.3">
      <c r="A793">
        <f t="shared" si="137"/>
        <v>790</v>
      </c>
      <c r="B793">
        <f t="shared" si="138"/>
        <v>66</v>
      </c>
      <c r="C793">
        <f t="shared" si="139"/>
        <v>795</v>
      </c>
      <c r="D793">
        <f t="shared" si="133"/>
        <v>67</v>
      </c>
      <c r="E793">
        <f>[1]model_point!$C$2+D793-1</f>
        <v>71</v>
      </c>
      <c r="F793">
        <f>VLOOKUP(E793,'[1]202512 BE mortality'!$A:$C,3,0)</f>
        <v>9.0245603754328316E-3</v>
      </c>
      <c r="G793">
        <f>VLOOKUP(D793,'[1]202512 BE lapse'!$C:$D,2,0)</f>
        <v>8.8325334714280338E-3</v>
      </c>
      <c r="H793">
        <f>VLOOKUP($B793,'[1]202512 RFR'!$A:$B,2,0)</f>
        <v>1.2E-2</v>
      </c>
      <c r="I793">
        <f t="shared" si="140"/>
        <v>0.99984741057228499</v>
      </c>
      <c r="J793">
        <f t="shared" si="141"/>
        <v>7.5563081223156713E-4</v>
      </c>
      <c r="K793">
        <f t="shared" si="142"/>
        <v>0</v>
      </c>
      <c r="L793">
        <f t="shared" si="134"/>
        <v>0.39497585318972095</v>
      </c>
      <c r="M793">
        <f>IF(AND(MOD(C793,12)=1,D793&lt;='[1]Product parameters'!$C$2),I792*[1]model_point!$G$2,0)</f>
        <v>0</v>
      </c>
      <c r="N793">
        <f t="shared" si="135"/>
        <v>0</v>
      </c>
      <c r="O793">
        <f>[2]results_sample_product_cf!G792</f>
        <v>0</v>
      </c>
      <c r="P793">
        <f>[2]results_sample_product_cf!H792</f>
        <v>0</v>
      </c>
      <c r="Q793">
        <f t="shared" si="136"/>
        <v>0</v>
      </c>
      <c r="R793">
        <f t="shared" si="132"/>
        <v>0</v>
      </c>
    </row>
    <row r="794" spans="1:18" x14ac:dyDescent="0.3">
      <c r="A794">
        <f t="shared" si="137"/>
        <v>791</v>
      </c>
      <c r="B794">
        <f t="shared" si="138"/>
        <v>66</v>
      </c>
      <c r="C794">
        <f t="shared" si="139"/>
        <v>796</v>
      </c>
      <c r="D794">
        <f t="shared" si="133"/>
        <v>67</v>
      </c>
      <c r="E794">
        <f>[1]model_point!$C$2+D794-1</f>
        <v>71</v>
      </c>
      <c r="F794">
        <f>VLOOKUP(E794,'[1]202512 BE mortality'!$A:$C,3,0)</f>
        <v>9.0245603754328316E-3</v>
      </c>
      <c r="G794">
        <f>VLOOKUP(D794,'[1]202512 BE lapse'!$C:$D,2,0)</f>
        <v>8.8325334714280338E-3</v>
      </c>
      <c r="H794">
        <f>VLOOKUP($B794,'[1]202512 RFR'!$A:$B,2,0)</f>
        <v>1.2E-2</v>
      </c>
      <c r="I794">
        <f t="shared" si="140"/>
        <v>0.99909235039386202</v>
      </c>
      <c r="J794">
        <f t="shared" si="141"/>
        <v>7.5506017842297539E-4</v>
      </c>
      <c r="K794">
        <f t="shared" si="142"/>
        <v>0</v>
      </c>
      <c r="L794">
        <f t="shared" si="134"/>
        <v>0.39458342348103104</v>
      </c>
      <c r="M794">
        <f>IF(AND(MOD(C794,12)=1,D794&lt;='[1]Product parameters'!$C$2),I793*[1]model_point!$G$2,0)</f>
        <v>0</v>
      </c>
      <c r="N794">
        <f t="shared" si="135"/>
        <v>0</v>
      </c>
      <c r="O794">
        <f>[2]results_sample_product_cf!G793</f>
        <v>0</v>
      </c>
      <c r="P794">
        <f>[2]results_sample_product_cf!H793</f>
        <v>0</v>
      </c>
      <c r="Q794">
        <f t="shared" si="136"/>
        <v>0</v>
      </c>
      <c r="R794">
        <f t="shared" si="132"/>
        <v>0</v>
      </c>
    </row>
    <row r="795" spans="1:18" x14ac:dyDescent="0.3">
      <c r="A795">
        <f t="shared" si="137"/>
        <v>792</v>
      </c>
      <c r="B795">
        <f t="shared" si="138"/>
        <v>66</v>
      </c>
      <c r="C795">
        <f t="shared" si="139"/>
        <v>797</v>
      </c>
      <c r="D795">
        <f t="shared" si="133"/>
        <v>67</v>
      </c>
      <c r="E795">
        <f>[1]model_point!$C$2+D795-1</f>
        <v>71</v>
      </c>
      <c r="F795">
        <f>VLOOKUP(E795,'[1]202512 BE mortality'!$A:$C,3,0)</f>
        <v>9.0245603754328316E-3</v>
      </c>
      <c r="G795">
        <f>VLOOKUP(D795,'[1]202512 BE lapse'!$C:$D,2,0)</f>
        <v>8.8325334714280338E-3</v>
      </c>
      <c r="H795">
        <f>VLOOKUP($B795,'[1]202512 RFR'!$A:$B,2,0)</f>
        <v>1.2E-2</v>
      </c>
      <c r="I795">
        <f t="shared" si="140"/>
        <v>0.99833786041831907</v>
      </c>
      <c r="J795">
        <f t="shared" si="141"/>
        <v>7.5448997554300413E-4</v>
      </c>
      <c r="K795">
        <f t="shared" si="142"/>
        <v>0</v>
      </c>
      <c r="L795">
        <f t="shared" si="134"/>
        <v>0.3941913836723186</v>
      </c>
      <c r="M795">
        <f>IF(AND(MOD(C795,12)=1,D795&lt;='[1]Product parameters'!$C$2),I794*[1]model_point!$G$2,0)</f>
        <v>0</v>
      </c>
      <c r="N795">
        <f t="shared" si="135"/>
        <v>0</v>
      </c>
      <c r="O795">
        <f>[2]results_sample_product_cf!G794</f>
        <v>0</v>
      </c>
      <c r="P795">
        <f>[2]results_sample_product_cf!H794</f>
        <v>0</v>
      </c>
      <c r="Q795">
        <f t="shared" si="136"/>
        <v>0</v>
      </c>
      <c r="R795">
        <f t="shared" si="132"/>
        <v>0</v>
      </c>
    </row>
    <row r="796" spans="1:18" x14ac:dyDescent="0.3">
      <c r="A796">
        <f t="shared" si="137"/>
        <v>793</v>
      </c>
      <c r="B796">
        <f t="shared" si="138"/>
        <v>67</v>
      </c>
      <c r="C796">
        <f t="shared" si="139"/>
        <v>798</v>
      </c>
      <c r="D796">
        <f t="shared" si="133"/>
        <v>67</v>
      </c>
      <c r="E796">
        <f>[1]model_point!$C$2+D796-1</f>
        <v>71</v>
      </c>
      <c r="F796">
        <f>VLOOKUP(E796,'[1]202512 BE mortality'!$A:$C,3,0)</f>
        <v>9.0245603754328316E-3</v>
      </c>
      <c r="G796">
        <f>VLOOKUP(D796,'[1]202512 BE lapse'!$C:$D,2,0)</f>
        <v>8.8325334714280338E-3</v>
      </c>
      <c r="H796">
        <f>VLOOKUP($B796,'[1]202512 RFR'!$A:$B,2,0)</f>
        <v>1.2E-2</v>
      </c>
      <c r="I796">
        <f t="shared" si="140"/>
        <v>0.99758394021505281</v>
      </c>
      <c r="J796">
        <f t="shared" si="141"/>
        <v>7.539202032662267E-4</v>
      </c>
      <c r="K796">
        <f t="shared" si="142"/>
        <v>0</v>
      </c>
      <c r="L796">
        <f t="shared" si="134"/>
        <v>0.39379973337619711</v>
      </c>
      <c r="M796">
        <f>IF(AND(MOD(C796,12)=1,D796&lt;='[1]Product parameters'!$C$2),I795*[1]model_point!$G$2,0)</f>
        <v>0</v>
      </c>
      <c r="N796">
        <f t="shared" si="135"/>
        <v>0</v>
      </c>
      <c r="O796">
        <f>[2]results_sample_product_cf!G795</f>
        <v>0</v>
      </c>
      <c r="P796">
        <f>[2]results_sample_product_cf!H795</f>
        <v>0</v>
      </c>
      <c r="Q796">
        <f t="shared" si="136"/>
        <v>0</v>
      </c>
      <c r="R796">
        <f t="shared" si="132"/>
        <v>0</v>
      </c>
    </row>
    <row r="797" spans="1:18" x14ac:dyDescent="0.3">
      <c r="A797">
        <f t="shared" si="137"/>
        <v>794</v>
      </c>
      <c r="B797">
        <f t="shared" si="138"/>
        <v>67</v>
      </c>
      <c r="C797">
        <f t="shared" si="139"/>
        <v>799</v>
      </c>
      <c r="D797">
        <f t="shared" si="133"/>
        <v>67</v>
      </c>
      <c r="E797">
        <f>[1]model_point!$C$2+D797-1</f>
        <v>71</v>
      </c>
      <c r="F797">
        <f>VLOOKUP(E797,'[1]202512 BE mortality'!$A:$C,3,0)</f>
        <v>9.0245603754328316E-3</v>
      </c>
      <c r="G797">
        <f>VLOOKUP(D797,'[1]202512 BE lapse'!$C:$D,2,0)</f>
        <v>8.8325334714280338E-3</v>
      </c>
      <c r="H797">
        <f>VLOOKUP($B797,'[1]202512 RFR'!$A:$B,2,0)</f>
        <v>1.2E-2</v>
      </c>
      <c r="I797">
        <f t="shared" si="140"/>
        <v>0.99683058935378532</v>
      </c>
      <c r="J797">
        <f t="shared" si="141"/>
        <v>7.5335086126746193E-4</v>
      </c>
      <c r="K797">
        <f t="shared" si="142"/>
        <v>0</v>
      </c>
      <c r="L797">
        <f t="shared" si="134"/>
        <v>0.39340847220566488</v>
      </c>
      <c r="M797">
        <f>IF(AND(MOD(C797,12)=1,D797&lt;='[1]Product parameters'!$C$2),I796*[1]model_point!$G$2,0)</f>
        <v>0</v>
      </c>
      <c r="N797">
        <f t="shared" si="135"/>
        <v>0</v>
      </c>
      <c r="O797">
        <f>[2]results_sample_product_cf!G796</f>
        <v>0</v>
      </c>
      <c r="P797">
        <f>[2]results_sample_product_cf!H796</f>
        <v>0</v>
      </c>
      <c r="Q797">
        <f t="shared" si="136"/>
        <v>0</v>
      </c>
      <c r="R797">
        <f t="shared" si="132"/>
        <v>0</v>
      </c>
    </row>
    <row r="798" spans="1:18" x14ac:dyDescent="0.3">
      <c r="A798">
        <f t="shared" si="137"/>
        <v>795</v>
      </c>
      <c r="B798">
        <f t="shared" si="138"/>
        <v>67</v>
      </c>
      <c r="C798">
        <f t="shared" si="139"/>
        <v>800</v>
      </c>
      <c r="D798">
        <f t="shared" si="133"/>
        <v>67</v>
      </c>
      <c r="E798">
        <f>[1]model_point!$C$2+D798-1</f>
        <v>71</v>
      </c>
      <c r="F798">
        <f>VLOOKUP(E798,'[1]202512 BE mortality'!$A:$C,3,0)</f>
        <v>9.0245603754328316E-3</v>
      </c>
      <c r="G798">
        <f>VLOOKUP(D798,'[1]202512 BE lapse'!$C:$D,2,0)</f>
        <v>8.8325334714280338E-3</v>
      </c>
      <c r="H798">
        <f>VLOOKUP($B798,'[1]202512 RFR'!$A:$B,2,0)</f>
        <v>1.2E-2</v>
      </c>
      <c r="I798">
        <f t="shared" si="140"/>
        <v>0.99607780740456353</v>
      </c>
      <c r="J798">
        <f t="shared" si="141"/>
        <v>7.5278194922177475E-4</v>
      </c>
      <c r="K798">
        <f t="shared" si="142"/>
        <v>0</v>
      </c>
      <c r="L798">
        <f t="shared" si="134"/>
        <v>0.39301759977410472</v>
      </c>
      <c r="M798">
        <f>IF(AND(MOD(C798,12)=1,D798&lt;='[1]Product parameters'!$C$2),I797*[1]model_point!$G$2,0)</f>
        <v>0</v>
      </c>
      <c r="N798">
        <f t="shared" si="135"/>
        <v>0</v>
      </c>
      <c r="O798">
        <f>[2]results_sample_product_cf!G797</f>
        <v>0</v>
      </c>
      <c r="P798">
        <f>[2]results_sample_product_cf!H797</f>
        <v>0</v>
      </c>
      <c r="Q798">
        <f t="shared" si="136"/>
        <v>0</v>
      </c>
      <c r="R798">
        <f t="shared" si="132"/>
        <v>0</v>
      </c>
    </row>
    <row r="799" spans="1:18" x14ac:dyDescent="0.3">
      <c r="A799">
        <f t="shared" si="137"/>
        <v>796</v>
      </c>
      <c r="B799">
        <f t="shared" si="138"/>
        <v>67</v>
      </c>
      <c r="C799">
        <f t="shared" si="139"/>
        <v>801</v>
      </c>
      <c r="D799">
        <f t="shared" si="133"/>
        <v>67</v>
      </c>
      <c r="E799">
        <f>[1]model_point!$C$2+D799-1</f>
        <v>71</v>
      </c>
      <c r="F799">
        <f>VLOOKUP(E799,'[1]202512 BE mortality'!$A:$C,3,0)</f>
        <v>9.0245603754328316E-3</v>
      </c>
      <c r="G799">
        <f>VLOOKUP(D799,'[1]202512 BE lapse'!$C:$D,2,0)</f>
        <v>8.8325334714280338E-3</v>
      </c>
      <c r="H799">
        <f>VLOOKUP($B799,'[1]202512 RFR'!$A:$B,2,0)</f>
        <v>1.2E-2</v>
      </c>
      <c r="I799">
        <f t="shared" si="140"/>
        <v>0.9953255939377591</v>
      </c>
      <c r="J799">
        <f t="shared" si="141"/>
        <v>7.5221346680447501E-4</v>
      </c>
      <c r="K799">
        <f t="shared" si="142"/>
        <v>0</v>
      </c>
      <c r="L799">
        <f t="shared" si="134"/>
        <v>0.39262711569528363</v>
      </c>
      <c r="M799">
        <f>IF(AND(MOD(C799,12)=1,D799&lt;='[1]Product parameters'!$C$2),I798*[1]model_point!$G$2,0)</f>
        <v>0</v>
      </c>
      <c r="N799">
        <f t="shared" si="135"/>
        <v>0</v>
      </c>
      <c r="O799">
        <f>[2]results_sample_product_cf!G798</f>
        <v>0</v>
      </c>
      <c r="P799">
        <f>[2]results_sample_product_cf!H798</f>
        <v>0</v>
      </c>
      <c r="Q799">
        <f t="shared" si="136"/>
        <v>0</v>
      </c>
      <c r="R799">
        <f t="shared" si="132"/>
        <v>0</v>
      </c>
    </row>
    <row r="800" spans="1:18" x14ac:dyDescent="0.3">
      <c r="A800">
        <f t="shared" si="137"/>
        <v>797</v>
      </c>
      <c r="B800">
        <f t="shared" si="138"/>
        <v>67</v>
      </c>
      <c r="C800">
        <f t="shared" si="139"/>
        <v>802</v>
      </c>
      <c r="D800">
        <f t="shared" si="133"/>
        <v>67</v>
      </c>
      <c r="E800">
        <f>[1]model_point!$C$2+D800-1</f>
        <v>71</v>
      </c>
      <c r="F800">
        <f>VLOOKUP(E800,'[1]202512 BE mortality'!$A:$C,3,0)</f>
        <v>9.0245603754328316E-3</v>
      </c>
      <c r="G800">
        <f>VLOOKUP(D800,'[1]202512 BE lapse'!$C:$D,2,0)</f>
        <v>8.8325334714280338E-3</v>
      </c>
      <c r="H800">
        <f>VLOOKUP($B800,'[1]202512 RFR'!$A:$B,2,0)</f>
        <v>1.2E-2</v>
      </c>
      <c r="I800">
        <f t="shared" si="140"/>
        <v>0.994573948524068</v>
      </c>
      <c r="J800">
        <f t="shared" si="141"/>
        <v>7.5164541369111804E-4</v>
      </c>
      <c r="K800">
        <f t="shared" si="142"/>
        <v>0</v>
      </c>
      <c r="L800">
        <f t="shared" si="134"/>
        <v>0.39223701958335233</v>
      </c>
      <c r="M800">
        <f>IF(AND(MOD(C800,12)=1,D800&lt;='[1]Product parameters'!$C$2),I799*[1]model_point!$G$2,0)</f>
        <v>0</v>
      </c>
      <c r="N800">
        <f t="shared" si="135"/>
        <v>0</v>
      </c>
      <c r="O800">
        <f>[2]results_sample_product_cf!G799</f>
        <v>0</v>
      </c>
      <c r="P800">
        <f>[2]results_sample_product_cf!H799</f>
        <v>0</v>
      </c>
      <c r="Q800">
        <f t="shared" si="136"/>
        <v>0</v>
      </c>
      <c r="R800">
        <f t="shared" si="132"/>
        <v>0</v>
      </c>
    </row>
    <row r="801" spans="1:18" x14ac:dyDescent="0.3">
      <c r="A801">
        <f t="shared" si="137"/>
        <v>798</v>
      </c>
      <c r="B801">
        <f t="shared" si="138"/>
        <v>67</v>
      </c>
      <c r="C801">
        <f t="shared" si="139"/>
        <v>803</v>
      </c>
      <c r="D801">
        <f t="shared" si="133"/>
        <v>67</v>
      </c>
      <c r="E801">
        <f>[1]model_point!$C$2+D801-1</f>
        <v>71</v>
      </c>
      <c r="F801">
        <f>VLOOKUP(E801,'[1]202512 BE mortality'!$A:$C,3,0)</f>
        <v>9.0245603754328316E-3</v>
      </c>
      <c r="G801">
        <f>VLOOKUP(D801,'[1]202512 BE lapse'!$C:$D,2,0)</f>
        <v>8.8325334714280338E-3</v>
      </c>
      <c r="H801">
        <f>VLOOKUP($B801,'[1]202512 RFR'!$A:$B,2,0)</f>
        <v>1.2E-2</v>
      </c>
      <c r="I801">
        <f t="shared" si="140"/>
        <v>0.99382287073451048</v>
      </c>
      <c r="J801">
        <f t="shared" si="141"/>
        <v>7.5107778955750396E-4</v>
      </c>
      <c r="K801">
        <f t="shared" si="142"/>
        <v>0</v>
      </c>
      <c r="L801">
        <f t="shared" si="134"/>
        <v>0.39184731105284487</v>
      </c>
      <c r="M801">
        <f>IF(AND(MOD(C801,12)=1,D801&lt;='[1]Product parameters'!$C$2),I800*[1]model_point!$G$2,0)</f>
        <v>0</v>
      </c>
      <c r="N801">
        <f t="shared" si="135"/>
        <v>0</v>
      </c>
      <c r="O801">
        <f>[2]results_sample_product_cf!G800</f>
        <v>0</v>
      </c>
      <c r="P801">
        <f>[2]results_sample_product_cf!H800</f>
        <v>0</v>
      </c>
      <c r="Q801">
        <f t="shared" si="136"/>
        <v>0</v>
      </c>
      <c r="R801">
        <f t="shared" si="132"/>
        <v>0</v>
      </c>
    </row>
    <row r="802" spans="1:18" x14ac:dyDescent="0.3">
      <c r="A802">
        <f t="shared" si="137"/>
        <v>799</v>
      </c>
      <c r="B802">
        <f t="shared" si="138"/>
        <v>67</v>
      </c>
      <c r="C802">
        <f t="shared" si="139"/>
        <v>804</v>
      </c>
      <c r="D802">
        <f t="shared" si="133"/>
        <v>67</v>
      </c>
      <c r="E802">
        <f>[1]model_point!$C$2+D802-1</f>
        <v>71</v>
      </c>
      <c r="F802">
        <f>VLOOKUP(E802,'[1]202512 BE mortality'!$A:$C,3,0)</f>
        <v>9.0245603754328316E-3</v>
      </c>
      <c r="G802">
        <f>VLOOKUP(D802,'[1]202512 BE lapse'!$C:$D,2,0)</f>
        <v>8.8325334714280338E-3</v>
      </c>
      <c r="H802">
        <f>VLOOKUP($B802,'[1]202512 RFR'!$A:$B,2,0)</f>
        <v>1.2E-2</v>
      </c>
      <c r="I802">
        <f t="shared" si="140"/>
        <v>0.98430101527994041</v>
      </c>
      <c r="J802">
        <f t="shared" si="141"/>
        <v>7.5051059407967773E-4</v>
      </c>
      <c r="K802">
        <f t="shared" si="142"/>
        <v>8.7713448604903894E-3</v>
      </c>
      <c r="L802">
        <f t="shared" si="134"/>
        <v>0.39145798971867835</v>
      </c>
      <c r="M802">
        <f>IF(AND(MOD(C802,12)=1,D802&lt;='[1]Product parameters'!$C$2),I801*[1]model_point!$G$2,0)</f>
        <v>0</v>
      </c>
      <c r="N802">
        <f t="shared" si="135"/>
        <v>0</v>
      </c>
      <c r="O802">
        <f>[2]results_sample_product_cf!G801</f>
        <v>0</v>
      </c>
      <c r="P802">
        <f>[2]results_sample_product_cf!H801</f>
        <v>0</v>
      </c>
      <c r="Q802">
        <f t="shared" si="136"/>
        <v>0</v>
      </c>
      <c r="R802">
        <f t="shared" si="132"/>
        <v>0</v>
      </c>
    </row>
    <row r="803" spans="1:18" x14ac:dyDescent="0.3">
      <c r="A803">
        <f t="shared" si="137"/>
        <v>800</v>
      </c>
      <c r="B803">
        <f t="shared" si="138"/>
        <v>67</v>
      </c>
      <c r="C803">
        <f t="shared" si="139"/>
        <v>805</v>
      </c>
      <c r="D803">
        <f t="shared" si="133"/>
        <v>68</v>
      </c>
      <c r="E803">
        <f>[1]model_point!$C$2+D803-1</f>
        <v>72</v>
      </c>
      <c r="F803">
        <f>VLOOKUP(E803,'[1]202512 BE mortality'!$A:$C,3,0)</f>
        <v>9.4855903542985041E-3</v>
      </c>
      <c r="G803">
        <f>VLOOKUP(D803,'[1]202512 BE lapse'!$C:$D,2,0)</f>
        <v>5.8462688890545626E-3</v>
      </c>
      <c r="H803">
        <f>VLOOKUP($B803,'[1]202512 RFR'!$A:$B,2,0)</f>
        <v>1.2E-2</v>
      </c>
      <c r="I803">
        <f t="shared" si="140"/>
        <v>0.98351955563766214</v>
      </c>
      <c r="J803">
        <f t="shared" si="141"/>
        <v>7.814596422782966E-4</v>
      </c>
      <c r="K803">
        <f t="shared" si="142"/>
        <v>0</v>
      </c>
      <c r="L803">
        <f t="shared" si="134"/>
        <v>0.39106905519615237</v>
      </c>
      <c r="M803">
        <f>IF(AND(MOD(C803,12)=1,D803&lt;='[1]Product parameters'!$C$2),I802*[1]model_point!$G$2,0)</f>
        <v>0</v>
      </c>
      <c r="N803">
        <f t="shared" si="135"/>
        <v>0</v>
      </c>
      <c r="O803">
        <f>[2]results_sample_product_cf!G802</f>
        <v>0</v>
      </c>
      <c r="P803">
        <f>[2]results_sample_product_cf!H802</f>
        <v>0</v>
      </c>
      <c r="Q803">
        <f t="shared" si="136"/>
        <v>0</v>
      </c>
      <c r="R803">
        <f t="shared" si="132"/>
        <v>0</v>
      </c>
    </row>
    <row r="804" spans="1:18" x14ac:dyDescent="0.3">
      <c r="A804">
        <f t="shared" si="137"/>
        <v>801</v>
      </c>
      <c r="B804">
        <f t="shared" si="138"/>
        <v>67</v>
      </c>
      <c r="C804">
        <f t="shared" si="139"/>
        <v>806</v>
      </c>
      <c r="D804">
        <f t="shared" si="133"/>
        <v>68</v>
      </c>
      <c r="E804">
        <f>[1]model_point!$C$2+D804-1</f>
        <v>72</v>
      </c>
      <c r="F804">
        <f>VLOOKUP(E804,'[1]202512 BE mortality'!$A:$C,3,0)</f>
        <v>9.4855903542985041E-3</v>
      </c>
      <c r="G804">
        <f>VLOOKUP(D804,'[1]202512 BE lapse'!$C:$D,2,0)</f>
        <v>5.8462688890545626E-3</v>
      </c>
      <c r="H804">
        <f>VLOOKUP($B804,'[1]202512 RFR'!$A:$B,2,0)</f>
        <v>1.2E-2</v>
      </c>
      <c r="I804">
        <f t="shared" si="140"/>
        <v>0.98273871641450672</v>
      </c>
      <c r="J804">
        <f t="shared" si="141"/>
        <v>7.8083922315545741E-4</v>
      </c>
      <c r="K804">
        <f t="shared" si="142"/>
        <v>0</v>
      </c>
      <c r="L804">
        <f t="shared" si="134"/>
        <v>0.39068050710094882</v>
      </c>
      <c r="M804">
        <f>IF(AND(MOD(C804,12)=1,D804&lt;='[1]Product parameters'!$C$2),I803*[1]model_point!$G$2,0)</f>
        <v>0</v>
      </c>
      <c r="N804">
        <f t="shared" si="135"/>
        <v>0</v>
      </c>
      <c r="O804">
        <f>[2]results_sample_product_cf!G803</f>
        <v>0</v>
      </c>
      <c r="P804">
        <f>[2]results_sample_product_cf!H803</f>
        <v>0</v>
      </c>
      <c r="Q804">
        <f t="shared" si="136"/>
        <v>0</v>
      </c>
      <c r="R804">
        <f t="shared" si="132"/>
        <v>0</v>
      </c>
    </row>
    <row r="805" spans="1:18" x14ac:dyDescent="0.3">
      <c r="A805">
        <f t="shared" si="137"/>
        <v>802</v>
      </c>
      <c r="B805">
        <f t="shared" si="138"/>
        <v>67</v>
      </c>
      <c r="C805">
        <f t="shared" si="139"/>
        <v>807</v>
      </c>
      <c r="D805">
        <f t="shared" si="133"/>
        <v>68</v>
      </c>
      <c r="E805">
        <f>[1]model_point!$C$2+D805-1</f>
        <v>72</v>
      </c>
      <c r="F805">
        <f>VLOOKUP(E805,'[1]202512 BE mortality'!$A:$C,3,0)</f>
        <v>9.4855903542985041E-3</v>
      </c>
      <c r="G805">
        <f>VLOOKUP(D805,'[1]202512 BE lapse'!$C:$D,2,0)</f>
        <v>5.8462688890545626E-3</v>
      </c>
      <c r="H805">
        <f>VLOOKUP($B805,'[1]202512 RFR'!$A:$B,2,0)</f>
        <v>1.2E-2</v>
      </c>
      <c r="I805">
        <f t="shared" si="140"/>
        <v>0.98195849711790884</v>
      </c>
      <c r="J805">
        <f t="shared" si="141"/>
        <v>7.8021929659789888E-4</v>
      </c>
      <c r="K805">
        <f t="shared" si="142"/>
        <v>0</v>
      </c>
      <c r="L805">
        <f t="shared" si="134"/>
        <v>0.39029234504913141</v>
      </c>
      <c r="M805">
        <f>IF(AND(MOD(C805,12)=1,D805&lt;='[1]Product parameters'!$C$2),I804*[1]model_point!$G$2,0)</f>
        <v>0</v>
      </c>
      <c r="N805">
        <f t="shared" si="135"/>
        <v>0</v>
      </c>
      <c r="O805">
        <f>[2]results_sample_product_cf!G804</f>
        <v>0</v>
      </c>
      <c r="P805">
        <f>[2]results_sample_product_cf!H804</f>
        <v>0</v>
      </c>
      <c r="Q805">
        <f t="shared" si="136"/>
        <v>0</v>
      </c>
      <c r="R805">
        <f t="shared" si="132"/>
        <v>0</v>
      </c>
    </row>
    <row r="806" spans="1:18" x14ac:dyDescent="0.3">
      <c r="A806">
        <f t="shared" si="137"/>
        <v>803</v>
      </c>
      <c r="B806">
        <f t="shared" si="138"/>
        <v>67</v>
      </c>
      <c r="C806">
        <f t="shared" si="139"/>
        <v>808</v>
      </c>
      <c r="D806">
        <f t="shared" si="133"/>
        <v>68</v>
      </c>
      <c r="E806">
        <f>[1]model_point!$C$2+D806-1</f>
        <v>72</v>
      </c>
      <c r="F806">
        <f>VLOOKUP(E806,'[1]202512 BE mortality'!$A:$C,3,0)</f>
        <v>9.4855903542985041E-3</v>
      </c>
      <c r="G806">
        <f>VLOOKUP(D806,'[1]202512 BE lapse'!$C:$D,2,0)</f>
        <v>5.8462688890545626E-3</v>
      </c>
      <c r="H806">
        <f>VLOOKUP($B806,'[1]202512 RFR'!$A:$B,2,0)</f>
        <v>1.2E-2</v>
      </c>
      <c r="I806">
        <f t="shared" si="140"/>
        <v>0.98117889725569429</v>
      </c>
      <c r="J806">
        <f t="shared" si="141"/>
        <v>7.7959986221456175E-4</v>
      </c>
      <c r="K806">
        <f t="shared" si="142"/>
        <v>0</v>
      </c>
      <c r="L806">
        <f t="shared" si="134"/>
        <v>0.38990456865714535</v>
      </c>
      <c r="M806">
        <f>IF(AND(MOD(C806,12)=1,D806&lt;='[1]Product parameters'!$C$2),I805*[1]model_point!$G$2,0)</f>
        <v>0</v>
      </c>
      <c r="N806">
        <f t="shared" si="135"/>
        <v>0</v>
      </c>
      <c r="O806">
        <f>[2]results_sample_product_cf!G805</f>
        <v>0</v>
      </c>
      <c r="P806">
        <f>[2]results_sample_product_cf!H805</f>
        <v>0</v>
      </c>
      <c r="Q806">
        <f t="shared" si="136"/>
        <v>0</v>
      </c>
      <c r="R806">
        <f t="shared" si="132"/>
        <v>0</v>
      </c>
    </row>
    <row r="807" spans="1:18" x14ac:dyDescent="0.3">
      <c r="A807">
        <f t="shared" si="137"/>
        <v>804</v>
      </c>
      <c r="B807">
        <f t="shared" si="138"/>
        <v>67</v>
      </c>
      <c r="C807">
        <f t="shared" si="139"/>
        <v>809</v>
      </c>
      <c r="D807">
        <f t="shared" si="133"/>
        <v>68</v>
      </c>
      <c r="E807">
        <f>[1]model_point!$C$2+D807-1</f>
        <v>72</v>
      </c>
      <c r="F807">
        <f>VLOOKUP(E807,'[1]202512 BE mortality'!$A:$C,3,0)</f>
        <v>9.4855903542985041E-3</v>
      </c>
      <c r="G807">
        <f>VLOOKUP(D807,'[1]202512 BE lapse'!$C:$D,2,0)</f>
        <v>5.8462688890545626E-3</v>
      </c>
      <c r="H807">
        <f>VLOOKUP($B807,'[1]202512 RFR'!$A:$B,2,0)</f>
        <v>1.2E-2</v>
      </c>
      <c r="I807">
        <f t="shared" si="140"/>
        <v>0.98039991633607959</v>
      </c>
      <c r="J807">
        <f t="shared" si="141"/>
        <v>7.7898091961469752E-4</v>
      </c>
      <c r="K807">
        <f t="shared" si="142"/>
        <v>0</v>
      </c>
      <c r="L807">
        <f t="shared" si="134"/>
        <v>0.38951717754181686</v>
      </c>
      <c r="M807">
        <f>IF(AND(MOD(C807,12)=1,D807&lt;='[1]Product parameters'!$C$2),I806*[1]model_point!$G$2,0)</f>
        <v>0</v>
      </c>
      <c r="N807">
        <f t="shared" si="135"/>
        <v>0</v>
      </c>
      <c r="O807">
        <f>[2]results_sample_product_cf!G806</f>
        <v>0</v>
      </c>
      <c r="P807">
        <f>[2]results_sample_product_cf!H806</f>
        <v>0</v>
      </c>
      <c r="Q807">
        <f t="shared" si="136"/>
        <v>0</v>
      </c>
      <c r="R807">
        <f t="shared" si="132"/>
        <v>0</v>
      </c>
    </row>
    <row r="808" spans="1:18" x14ac:dyDescent="0.3">
      <c r="A808">
        <f t="shared" si="137"/>
        <v>805</v>
      </c>
      <c r="B808">
        <f t="shared" si="138"/>
        <v>68</v>
      </c>
      <c r="C808">
        <f t="shared" si="139"/>
        <v>810</v>
      </c>
      <c r="D808">
        <f t="shared" si="133"/>
        <v>68</v>
      </c>
      <c r="E808">
        <f>[1]model_point!$C$2+D808-1</f>
        <v>72</v>
      </c>
      <c r="F808">
        <f>VLOOKUP(E808,'[1]202512 BE mortality'!$A:$C,3,0)</f>
        <v>9.4855903542985041E-3</v>
      </c>
      <c r="G808">
        <f>VLOOKUP(D808,'[1]202512 BE lapse'!$C:$D,2,0)</f>
        <v>5.8462688890545626E-3</v>
      </c>
      <c r="H808">
        <f>VLOOKUP($B808,'[1]202512 RFR'!$A:$B,2,0)</f>
        <v>1.2E-2</v>
      </c>
      <c r="I808">
        <f t="shared" si="140"/>
        <v>0.97962155386767169</v>
      </c>
      <c r="J808">
        <f t="shared" si="141"/>
        <v>7.7836246840786772E-4</v>
      </c>
      <c r="K808">
        <f t="shared" si="142"/>
        <v>0</v>
      </c>
      <c r="L808">
        <f t="shared" si="134"/>
        <v>0.38913017132035294</v>
      </c>
      <c r="M808">
        <f>IF(AND(MOD(C808,12)=1,D808&lt;='[1]Product parameters'!$C$2),I807*[1]model_point!$G$2,0)</f>
        <v>0</v>
      </c>
      <c r="N808">
        <f t="shared" si="135"/>
        <v>0</v>
      </c>
      <c r="O808">
        <f>[2]results_sample_product_cf!G807</f>
        <v>0</v>
      </c>
      <c r="P808">
        <f>[2]results_sample_product_cf!H807</f>
        <v>0</v>
      </c>
      <c r="Q808">
        <f t="shared" si="136"/>
        <v>0</v>
      </c>
      <c r="R808">
        <f t="shared" si="132"/>
        <v>0</v>
      </c>
    </row>
    <row r="809" spans="1:18" x14ac:dyDescent="0.3">
      <c r="A809">
        <f t="shared" si="137"/>
        <v>806</v>
      </c>
      <c r="B809">
        <f t="shared" si="138"/>
        <v>68</v>
      </c>
      <c r="C809">
        <f t="shared" si="139"/>
        <v>811</v>
      </c>
      <c r="D809">
        <f t="shared" si="133"/>
        <v>68</v>
      </c>
      <c r="E809">
        <f>[1]model_point!$C$2+D809-1</f>
        <v>72</v>
      </c>
      <c r="F809">
        <f>VLOOKUP(E809,'[1]202512 BE mortality'!$A:$C,3,0)</f>
        <v>9.4855903542985041E-3</v>
      </c>
      <c r="G809">
        <f>VLOOKUP(D809,'[1]202512 BE lapse'!$C:$D,2,0)</f>
        <v>5.8462688890545626E-3</v>
      </c>
      <c r="H809">
        <f>VLOOKUP($B809,'[1]202512 RFR'!$A:$B,2,0)</f>
        <v>1.2E-2</v>
      </c>
      <c r="I809">
        <f t="shared" si="140"/>
        <v>0.9788438093594678</v>
      </c>
      <c r="J809">
        <f t="shared" si="141"/>
        <v>7.777445082039438E-4</v>
      </c>
      <c r="K809">
        <f t="shared" si="142"/>
        <v>0</v>
      </c>
      <c r="L809">
        <f t="shared" si="134"/>
        <v>0.38874354961034085</v>
      </c>
      <c r="M809">
        <f>IF(AND(MOD(C809,12)=1,D809&lt;='[1]Product parameters'!$C$2),I808*[1]model_point!$G$2,0)</f>
        <v>0</v>
      </c>
      <c r="N809">
        <f t="shared" si="135"/>
        <v>0</v>
      </c>
      <c r="O809">
        <f>[2]results_sample_product_cf!G808</f>
        <v>0</v>
      </c>
      <c r="P809">
        <f>[2]results_sample_product_cf!H808</f>
        <v>0</v>
      </c>
      <c r="Q809">
        <f t="shared" si="136"/>
        <v>0</v>
      </c>
      <c r="R809">
        <f t="shared" si="132"/>
        <v>0</v>
      </c>
    </row>
    <row r="810" spans="1:18" x14ac:dyDescent="0.3">
      <c r="A810">
        <f t="shared" si="137"/>
        <v>807</v>
      </c>
      <c r="B810">
        <f t="shared" si="138"/>
        <v>68</v>
      </c>
      <c r="C810">
        <f t="shared" si="139"/>
        <v>812</v>
      </c>
      <c r="D810">
        <f t="shared" si="133"/>
        <v>68</v>
      </c>
      <c r="E810">
        <f>[1]model_point!$C$2+D810-1</f>
        <v>72</v>
      </c>
      <c r="F810">
        <f>VLOOKUP(E810,'[1]202512 BE mortality'!$A:$C,3,0)</f>
        <v>9.4855903542985041E-3</v>
      </c>
      <c r="G810">
        <f>VLOOKUP(D810,'[1]202512 BE lapse'!$C:$D,2,0)</f>
        <v>5.8462688890545626E-3</v>
      </c>
      <c r="H810">
        <f>VLOOKUP($B810,'[1]202512 RFR'!$A:$B,2,0)</f>
        <v>1.2E-2</v>
      </c>
      <c r="I810">
        <f t="shared" si="140"/>
        <v>0.9780666823208547</v>
      </c>
      <c r="J810">
        <f t="shared" si="141"/>
        <v>7.7712703861310725E-4</v>
      </c>
      <c r="K810">
        <f t="shared" si="142"/>
        <v>0</v>
      </c>
      <c r="L810">
        <f t="shared" si="134"/>
        <v>0.38835731202974783</v>
      </c>
      <c r="M810">
        <f>IF(AND(MOD(C810,12)=1,D810&lt;='[1]Product parameters'!$C$2),I809*[1]model_point!$G$2,0)</f>
        <v>0</v>
      </c>
      <c r="N810">
        <f t="shared" si="135"/>
        <v>0</v>
      </c>
      <c r="O810">
        <f>[2]results_sample_product_cf!G809</f>
        <v>0</v>
      </c>
      <c r="P810">
        <f>[2]results_sample_product_cf!H809</f>
        <v>0</v>
      </c>
      <c r="Q810">
        <f t="shared" si="136"/>
        <v>0</v>
      </c>
      <c r="R810">
        <f t="shared" si="132"/>
        <v>0</v>
      </c>
    </row>
    <row r="811" spans="1:18" x14ac:dyDescent="0.3">
      <c r="A811">
        <f t="shared" si="137"/>
        <v>808</v>
      </c>
      <c r="B811">
        <f t="shared" si="138"/>
        <v>68</v>
      </c>
      <c r="C811">
        <f t="shared" si="139"/>
        <v>813</v>
      </c>
      <c r="D811">
        <f t="shared" si="133"/>
        <v>68</v>
      </c>
      <c r="E811">
        <f>[1]model_point!$C$2+D811-1</f>
        <v>72</v>
      </c>
      <c r="F811">
        <f>VLOOKUP(E811,'[1]202512 BE mortality'!$A:$C,3,0)</f>
        <v>9.4855903542985041E-3</v>
      </c>
      <c r="G811">
        <f>VLOOKUP(D811,'[1]202512 BE lapse'!$C:$D,2,0)</f>
        <v>5.8462688890545626E-3</v>
      </c>
      <c r="H811">
        <f>VLOOKUP($B811,'[1]202512 RFR'!$A:$B,2,0)</f>
        <v>1.2E-2</v>
      </c>
      <c r="I811">
        <f t="shared" si="140"/>
        <v>0.97729017226160886</v>
      </c>
      <c r="J811">
        <f t="shared" si="141"/>
        <v>7.7651005924584868E-4</v>
      </c>
      <c r="K811">
        <f t="shared" si="142"/>
        <v>0</v>
      </c>
      <c r="L811">
        <f t="shared" si="134"/>
        <v>0.38797145819692069</v>
      </c>
      <c r="M811">
        <f>IF(AND(MOD(C811,12)=1,D811&lt;='[1]Product parameters'!$C$2),I810*[1]model_point!$G$2,0)</f>
        <v>0</v>
      </c>
      <c r="N811">
        <f t="shared" si="135"/>
        <v>0</v>
      </c>
      <c r="O811">
        <f>[2]results_sample_product_cf!G810</f>
        <v>0</v>
      </c>
      <c r="P811">
        <f>[2]results_sample_product_cf!H810</f>
        <v>0</v>
      </c>
      <c r="Q811">
        <f t="shared" si="136"/>
        <v>0</v>
      </c>
      <c r="R811">
        <f t="shared" si="132"/>
        <v>0</v>
      </c>
    </row>
    <row r="812" spans="1:18" x14ac:dyDescent="0.3">
      <c r="A812">
        <f t="shared" si="137"/>
        <v>809</v>
      </c>
      <c r="B812">
        <f t="shared" si="138"/>
        <v>68</v>
      </c>
      <c r="C812">
        <f t="shared" si="139"/>
        <v>814</v>
      </c>
      <c r="D812">
        <f t="shared" si="133"/>
        <v>68</v>
      </c>
      <c r="E812">
        <f>[1]model_point!$C$2+D812-1</f>
        <v>72</v>
      </c>
      <c r="F812">
        <f>VLOOKUP(E812,'[1]202512 BE mortality'!$A:$C,3,0)</f>
        <v>9.4855903542985041E-3</v>
      </c>
      <c r="G812">
        <f>VLOOKUP(D812,'[1]202512 BE lapse'!$C:$D,2,0)</f>
        <v>5.8462688890545626E-3</v>
      </c>
      <c r="H812">
        <f>VLOOKUP($B812,'[1]202512 RFR'!$A:$B,2,0)</f>
        <v>1.2E-2</v>
      </c>
      <c r="I812">
        <f t="shared" si="140"/>
        <v>0.97651427869189589</v>
      </c>
      <c r="J812">
        <f t="shared" si="141"/>
        <v>7.7589356971296815E-4</v>
      </c>
      <c r="K812">
        <f t="shared" si="142"/>
        <v>0</v>
      </c>
      <c r="L812">
        <f t="shared" si="134"/>
        <v>0.38758598773058539</v>
      </c>
      <c r="M812">
        <f>IF(AND(MOD(C812,12)=1,D812&lt;='[1]Product parameters'!$C$2),I811*[1]model_point!$G$2,0)</f>
        <v>0</v>
      </c>
      <c r="N812">
        <f t="shared" si="135"/>
        <v>0</v>
      </c>
      <c r="O812">
        <f>[2]results_sample_product_cf!G811</f>
        <v>0</v>
      </c>
      <c r="P812">
        <f>[2]results_sample_product_cf!H811</f>
        <v>0</v>
      </c>
      <c r="Q812">
        <f t="shared" si="136"/>
        <v>0</v>
      </c>
      <c r="R812">
        <f t="shared" si="132"/>
        <v>0</v>
      </c>
    </row>
    <row r="813" spans="1:18" x14ac:dyDescent="0.3">
      <c r="A813">
        <f t="shared" si="137"/>
        <v>810</v>
      </c>
      <c r="B813">
        <f t="shared" si="138"/>
        <v>68</v>
      </c>
      <c r="C813">
        <f t="shared" si="139"/>
        <v>815</v>
      </c>
      <c r="D813">
        <f t="shared" si="133"/>
        <v>68</v>
      </c>
      <c r="E813">
        <f>[1]model_point!$C$2+D813-1</f>
        <v>72</v>
      </c>
      <c r="F813">
        <f>VLOOKUP(E813,'[1]202512 BE mortality'!$A:$C,3,0)</f>
        <v>9.4855903542985041E-3</v>
      </c>
      <c r="G813">
        <f>VLOOKUP(D813,'[1]202512 BE lapse'!$C:$D,2,0)</f>
        <v>5.8462688890545626E-3</v>
      </c>
      <c r="H813">
        <f>VLOOKUP($B813,'[1]202512 RFR'!$A:$B,2,0)</f>
        <v>1.2E-2</v>
      </c>
      <c r="I813">
        <f t="shared" si="140"/>
        <v>0.9757390011222703</v>
      </c>
      <c r="J813">
        <f t="shared" si="141"/>
        <v>7.7527756962557468E-4</v>
      </c>
      <c r="K813">
        <f t="shared" si="142"/>
        <v>0</v>
      </c>
      <c r="L813">
        <f t="shared" si="134"/>
        <v>0.38720090024984682</v>
      </c>
      <c r="M813">
        <f>IF(AND(MOD(C813,12)=1,D813&lt;='[1]Product parameters'!$C$2),I812*[1]model_point!$G$2,0)</f>
        <v>0</v>
      </c>
      <c r="N813">
        <f t="shared" si="135"/>
        <v>0</v>
      </c>
      <c r="O813">
        <f>[2]results_sample_product_cf!G812</f>
        <v>0</v>
      </c>
      <c r="P813">
        <f>[2]results_sample_product_cf!H812</f>
        <v>0</v>
      </c>
      <c r="Q813">
        <f t="shared" si="136"/>
        <v>0</v>
      </c>
      <c r="R813">
        <f t="shared" si="132"/>
        <v>0</v>
      </c>
    </row>
    <row r="814" spans="1:18" x14ac:dyDescent="0.3">
      <c r="A814">
        <f t="shared" si="137"/>
        <v>811</v>
      </c>
      <c r="B814">
        <f t="shared" si="138"/>
        <v>68</v>
      </c>
      <c r="C814">
        <f t="shared" si="139"/>
        <v>816</v>
      </c>
      <c r="D814">
        <f t="shared" si="133"/>
        <v>68</v>
      </c>
      <c r="E814">
        <f>[1]model_point!$C$2+D814-1</f>
        <v>72</v>
      </c>
      <c r="F814">
        <f>VLOOKUP(E814,'[1]202512 BE mortality'!$A:$C,3,0)</f>
        <v>9.4855903542985041E-3</v>
      </c>
      <c r="G814">
        <f>VLOOKUP(D814,'[1]202512 BE lapse'!$C:$D,2,0)</f>
        <v>5.8462688890545626E-3</v>
      </c>
      <c r="H814">
        <f>VLOOKUP($B814,'[1]202512 RFR'!$A:$B,2,0)</f>
        <v>1.2E-2</v>
      </c>
      <c r="I814">
        <f t="shared" si="140"/>
        <v>0.96926443538026963</v>
      </c>
      <c r="J814">
        <f t="shared" si="141"/>
        <v>7.7466205859508599E-4</v>
      </c>
      <c r="K814">
        <f t="shared" si="142"/>
        <v>5.6999036834056082E-3</v>
      </c>
      <c r="L814">
        <f t="shared" si="134"/>
        <v>0.38681619537418821</v>
      </c>
      <c r="M814">
        <f>IF(AND(MOD(C814,12)=1,D814&lt;='[1]Product parameters'!$C$2),I813*[1]model_point!$G$2,0)</f>
        <v>0</v>
      </c>
      <c r="N814">
        <f t="shared" si="135"/>
        <v>0</v>
      </c>
      <c r="O814">
        <f>[2]results_sample_product_cf!G813</f>
        <v>0</v>
      </c>
      <c r="P814">
        <f>[2]results_sample_product_cf!H813</f>
        <v>0</v>
      </c>
      <c r="Q814">
        <f t="shared" si="136"/>
        <v>0</v>
      </c>
      <c r="R814">
        <f t="shared" si="132"/>
        <v>0</v>
      </c>
    </row>
    <row r="815" spans="1:18" x14ac:dyDescent="0.3">
      <c r="A815">
        <f t="shared" si="137"/>
        <v>812</v>
      </c>
      <c r="B815">
        <f t="shared" si="138"/>
        <v>68</v>
      </c>
      <c r="C815">
        <f t="shared" si="139"/>
        <v>817</v>
      </c>
      <c r="D815">
        <f t="shared" si="133"/>
        <v>69</v>
      </c>
      <c r="E815">
        <f>[1]model_point!$C$2+D815-1</f>
        <v>73</v>
      </c>
      <c r="F815">
        <f>VLOOKUP(E815,'[1]202512 BE mortality'!$A:$C,3,0)</f>
        <v>1.4835273925847292E-3</v>
      </c>
      <c r="G815">
        <f>VLOOKUP(D815,'[1]202512 BE lapse'!$C:$D,2,0)</f>
        <v>8.3179683408480913E-3</v>
      </c>
      <c r="H815">
        <f>VLOOKUP($B815,'[1]202512 RFR'!$A:$B,2,0)</f>
        <v>1.2E-2</v>
      </c>
      <c r="I815">
        <f t="shared" si="140"/>
        <v>0.96914452629784842</v>
      </c>
      <c r="J815">
        <f t="shared" si="141"/>
        <v>1.1990908242121973E-4</v>
      </c>
      <c r="K815">
        <f t="shared" si="142"/>
        <v>0</v>
      </c>
      <c r="L815">
        <f t="shared" si="134"/>
        <v>0.38643187272347085</v>
      </c>
      <c r="M815">
        <f>IF(AND(MOD(C815,12)=1,D815&lt;='[1]Product parameters'!$C$2),I814*[1]model_point!$G$2,0)</f>
        <v>0</v>
      </c>
      <c r="N815">
        <f t="shared" si="135"/>
        <v>0</v>
      </c>
      <c r="O815">
        <f>[2]results_sample_product_cf!G814</f>
        <v>0</v>
      </c>
      <c r="P815">
        <f>[2]results_sample_product_cf!H814</f>
        <v>0</v>
      </c>
      <c r="Q815">
        <f t="shared" si="136"/>
        <v>0</v>
      </c>
      <c r="R815">
        <f t="shared" si="132"/>
        <v>0</v>
      </c>
    </row>
    <row r="816" spans="1:18" x14ac:dyDescent="0.3">
      <c r="A816">
        <f t="shared" si="137"/>
        <v>813</v>
      </c>
      <c r="B816">
        <f t="shared" si="138"/>
        <v>68</v>
      </c>
      <c r="C816">
        <f t="shared" si="139"/>
        <v>818</v>
      </c>
      <c r="D816">
        <f t="shared" si="133"/>
        <v>69</v>
      </c>
      <c r="E816">
        <f>[1]model_point!$C$2+D816-1</f>
        <v>73</v>
      </c>
      <c r="F816">
        <f>VLOOKUP(E816,'[1]202512 BE mortality'!$A:$C,3,0)</f>
        <v>1.4835273925847292E-3</v>
      </c>
      <c r="G816">
        <f>VLOOKUP(D816,'[1]202512 BE lapse'!$C:$D,2,0)</f>
        <v>8.3179683408480913E-3</v>
      </c>
      <c r="H816">
        <f>VLOOKUP($B816,'[1]202512 RFR'!$A:$B,2,0)</f>
        <v>1.2E-2</v>
      </c>
      <c r="I816">
        <f t="shared" si="140"/>
        <v>0.96902463204955036</v>
      </c>
      <c r="J816">
        <f t="shared" si="141"/>
        <v>1.1989424829802046E-4</v>
      </c>
      <c r="K816">
        <f t="shared" si="142"/>
        <v>0</v>
      </c>
      <c r="L816">
        <f t="shared" si="134"/>
        <v>0.38604793191793374</v>
      </c>
      <c r="M816">
        <f>IF(AND(MOD(C816,12)=1,D816&lt;='[1]Product parameters'!$C$2),I815*[1]model_point!$G$2,0)</f>
        <v>0</v>
      </c>
      <c r="N816">
        <f t="shared" si="135"/>
        <v>0</v>
      </c>
      <c r="O816">
        <f>[2]results_sample_product_cf!G815</f>
        <v>0</v>
      </c>
      <c r="P816">
        <f>[2]results_sample_product_cf!H815</f>
        <v>0</v>
      </c>
      <c r="Q816">
        <f t="shared" si="136"/>
        <v>0</v>
      </c>
      <c r="R816">
        <f t="shared" si="132"/>
        <v>0</v>
      </c>
    </row>
    <row r="817" spans="1:18" x14ac:dyDescent="0.3">
      <c r="A817">
        <f t="shared" si="137"/>
        <v>814</v>
      </c>
      <c r="B817">
        <f t="shared" si="138"/>
        <v>68</v>
      </c>
      <c r="C817">
        <f t="shared" si="139"/>
        <v>819</v>
      </c>
      <c r="D817">
        <f t="shared" si="133"/>
        <v>69</v>
      </c>
      <c r="E817">
        <f>[1]model_point!$C$2+D817-1</f>
        <v>73</v>
      </c>
      <c r="F817">
        <f>VLOOKUP(E817,'[1]202512 BE mortality'!$A:$C,3,0)</f>
        <v>1.4835273925847292E-3</v>
      </c>
      <c r="G817">
        <f>VLOOKUP(D817,'[1]202512 BE lapse'!$C:$D,2,0)</f>
        <v>8.3179683408480913E-3</v>
      </c>
      <c r="H817">
        <f>VLOOKUP($B817,'[1]202512 RFR'!$A:$B,2,0)</f>
        <v>1.2E-2</v>
      </c>
      <c r="I817">
        <f t="shared" si="140"/>
        <v>0.96890475263354037</v>
      </c>
      <c r="J817">
        <f t="shared" si="141"/>
        <v>1.1987941600997168E-4</v>
      </c>
      <c r="K817">
        <f t="shared" si="142"/>
        <v>0</v>
      </c>
      <c r="L817">
        <f t="shared" si="134"/>
        <v>0.38566437257819325</v>
      </c>
      <c r="M817">
        <f>IF(AND(MOD(C817,12)=1,D817&lt;='[1]Product parameters'!$C$2),I816*[1]model_point!$G$2,0)</f>
        <v>0</v>
      </c>
      <c r="N817">
        <f t="shared" si="135"/>
        <v>0</v>
      </c>
      <c r="O817">
        <f>[2]results_sample_product_cf!G816</f>
        <v>0</v>
      </c>
      <c r="P817">
        <f>[2]results_sample_product_cf!H816</f>
        <v>0</v>
      </c>
      <c r="Q817">
        <f t="shared" si="136"/>
        <v>0</v>
      </c>
      <c r="R817">
        <f t="shared" si="132"/>
        <v>0</v>
      </c>
    </row>
    <row r="818" spans="1:18" x14ac:dyDescent="0.3">
      <c r="A818">
        <f t="shared" si="137"/>
        <v>815</v>
      </c>
      <c r="B818">
        <f t="shared" si="138"/>
        <v>68</v>
      </c>
      <c r="C818">
        <f t="shared" si="139"/>
        <v>820</v>
      </c>
      <c r="D818">
        <f t="shared" si="133"/>
        <v>69</v>
      </c>
      <c r="E818">
        <f>[1]model_point!$C$2+D818-1</f>
        <v>73</v>
      </c>
      <c r="F818">
        <f>VLOOKUP(E818,'[1]202512 BE mortality'!$A:$C,3,0)</f>
        <v>1.4835273925847292E-3</v>
      </c>
      <c r="G818">
        <f>VLOOKUP(D818,'[1]202512 BE lapse'!$C:$D,2,0)</f>
        <v>8.3179683408480913E-3</v>
      </c>
      <c r="H818">
        <f>VLOOKUP($B818,'[1]202512 RFR'!$A:$B,2,0)</f>
        <v>1.2E-2</v>
      </c>
      <c r="I818">
        <f t="shared" si="140"/>
        <v>0.96878488804798357</v>
      </c>
      <c r="J818">
        <f t="shared" si="141"/>
        <v>1.1986458555684635E-4</v>
      </c>
      <c r="K818">
        <f t="shared" si="142"/>
        <v>0</v>
      </c>
      <c r="L818">
        <f t="shared" si="134"/>
        <v>0.3852811943252426</v>
      </c>
      <c r="M818">
        <f>IF(AND(MOD(C818,12)=1,D818&lt;='[1]Product parameters'!$C$2),I817*[1]model_point!$G$2,0)</f>
        <v>0</v>
      </c>
      <c r="N818">
        <f t="shared" si="135"/>
        <v>0</v>
      </c>
      <c r="O818">
        <f>[2]results_sample_product_cf!G817</f>
        <v>0</v>
      </c>
      <c r="P818">
        <f>[2]results_sample_product_cf!H817</f>
        <v>0</v>
      </c>
      <c r="Q818">
        <f t="shared" si="136"/>
        <v>0</v>
      </c>
      <c r="R818">
        <f t="shared" si="132"/>
        <v>0</v>
      </c>
    </row>
    <row r="819" spans="1:18" x14ac:dyDescent="0.3">
      <c r="A819">
        <f t="shared" si="137"/>
        <v>816</v>
      </c>
      <c r="B819">
        <f t="shared" si="138"/>
        <v>68</v>
      </c>
      <c r="C819">
        <f t="shared" si="139"/>
        <v>821</v>
      </c>
      <c r="D819">
        <f t="shared" si="133"/>
        <v>69</v>
      </c>
      <c r="E819">
        <f>[1]model_point!$C$2+D819-1</f>
        <v>73</v>
      </c>
      <c r="F819">
        <f>VLOOKUP(E819,'[1]202512 BE mortality'!$A:$C,3,0)</f>
        <v>1.4835273925847292E-3</v>
      </c>
      <c r="G819">
        <f>VLOOKUP(D819,'[1]202512 BE lapse'!$C:$D,2,0)</f>
        <v>8.3179683408480913E-3</v>
      </c>
      <c r="H819">
        <f>VLOOKUP($B819,'[1]202512 RFR'!$A:$B,2,0)</f>
        <v>1.2E-2</v>
      </c>
      <c r="I819">
        <f t="shared" si="140"/>
        <v>0.96866503829104511</v>
      </c>
      <c r="J819">
        <f t="shared" si="141"/>
        <v>1.198497569384175E-4</v>
      </c>
      <c r="K819">
        <f t="shared" si="142"/>
        <v>0</v>
      </c>
      <c r="L819">
        <f t="shared" si="134"/>
        <v>0.38489839678045162</v>
      </c>
      <c r="M819">
        <f>IF(AND(MOD(C819,12)=1,D819&lt;='[1]Product parameters'!$C$2),I818*[1]model_point!$G$2,0)</f>
        <v>0</v>
      </c>
      <c r="N819">
        <f t="shared" si="135"/>
        <v>0</v>
      </c>
      <c r="O819">
        <f>[2]results_sample_product_cf!G818</f>
        <v>0</v>
      </c>
      <c r="P819">
        <f>[2]results_sample_product_cf!H818</f>
        <v>0</v>
      </c>
      <c r="Q819">
        <f t="shared" si="136"/>
        <v>0</v>
      </c>
      <c r="R819">
        <f t="shared" si="132"/>
        <v>0</v>
      </c>
    </row>
    <row r="820" spans="1:18" x14ac:dyDescent="0.3">
      <c r="A820">
        <f t="shared" si="137"/>
        <v>817</v>
      </c>
      <c r="B820">
        <f t="shared" si="138"/>
        <v>69</v>
      </c>
      <c r="C820">
        <f t="shared" si="139"/>
        <v>822</v>
      </c>
      <c r="D820">
        <f t="shared" si="133"/>
        <v>69</v>
      </c>
      <c r="E820">
        <f>[1]model_point!$C$2+D820-1</f>
        <v>73</v>
      </c>
      <c r="F820">
        <f>VLOOKUP(E820,'[1]202512 BE mortality'!$A:$C,3,0)</f>
        <v>1.4835273925847292E-3</v>
      </c>
      <c r="G820">
        <f>VLOOKUP(D820,'[1]202512 BE lapse'!$C:$D,2,0)</f>
        <v>8.3179683408480913E-3</v>
      </c>
      <c r="H820">
        <f>VLOOKUP($B820,'[1]202512 RFR'!$A:$B,2,0)</f>
        <v>1.2E-2</v>
      </c>
      <c r="I820">
        <f t="shared" si="140"/>
        <v>0.96854520336089067</v>
      </c>
      <c r="J820">
        <f t="shared" si="141"/>
        <v>1.1983493015445813E-4</v>
      </c>
      <c r="K820">
        <f t="shared" si="142"/>
        <v>0</v>
      </c>
      <c r="L820">
        <f t="shared" si="134"/>
        <v>0.38451597956556632</v>
      </c>
      <c r="M820">
        <f>IF(AND(MOD(C820,12)=1,D820&lt;='[1]Product parameters'!$C$2),I819*[1]model_point!$G$2,0)</f>
        <v>0</v>
      </c>
      <c r="N820">
        <f t="shared" si="135"/>
        <v>0</v>
      </c>
      <c r="O820">
        <f>[2]results_sample_product_cf!G819</f>
        <v>0</v>
      </c>
      <c r="P820">
        <f>[2]results_sample_product_cf!H819</f>
        <v>0</v>
      </c>
      <c r="Q820">
        <f t="shared" si="136"/>
        <v>0</v>
      </c>
      <c r="R820">
        <f t="shared" si="132"/>
        <v>0</v>
      </c>
    </row>
    <row r="821" spans="1:18" x14ac:dyDescent="0.3">
      <c r="A821">
        <f t="shared" si="137"/>
        <v>818</v>
      </c>
      <c r="B821">
        <f t="shared" si="138"/>
        <v>69</v>
      </c>
      <c r="C821">
        <f t="shared" si="139"/>
        <v>823</v>
      </c>
      <c r="D821">
        <f t="shared" si="133"/>
        <v>69</v>
      </c>
      <c r="E821">
        <f>[1]model_point!$C$2+D821-1</f>
        <v>73</v>
      </c>
      <c r="F821">
        <f>VLOOKUP(E821,'[1]202512 BE mortality'!$A:$C,3,0)</f>
        <v>1.4835273925847292E-3</v>
      </c>
      <c r="G821">
        <f>VLOOKUP(D821,'[1]202512 BE lapse'!$C:$D,2,0)</f>
        <v>8.3179683408480913E-3</v>
      </c>
      <c r="H821">
        <f>VLOOKUP($B821,'[1]202512 RFR'!$A:$B,2,0)</f>
        <v>1.2E-2</v>
      </c>
      <c r="I821">
        <f t="shared" si="140"/>
        <v>0.96842538325568595</v>
      </c>
      <c r="J821">
        <f t="shared" si="141"/>
        <v>1.1982010520474128E-4</v>
      </c>
      <c r="K821">
        <f t="shared" si="142"/>
        <v>0</v>
      </c>
      <c r="L821">
        <f t="shared" si="134"/>
        <v>0.38413394230270853</v>
      </c>
      <c r="M821">
        <f>IF(AND(MOD(C821,12)=1,D821&lt;='[1]Product parameters'!$C$2),I820*[1]model_point!$G$2,0)</f>
        <v>0</v>
      </c>
      <c r="N821">
        <f t="shared" si="135"/>
        <v>0</v>
      </c>
      <c r="O821">
        <f>[2]results_sample_product_cf!G820</f>
        <v>0</v>
      </c>
      <c r="P821">
        <f>[2]results_sample_product_cf!H820</f>
        <v>0</v>
      </c>
      <c r="Q821">
        <f t="shared" si="136"/>
        <v>0</v>
      </c>
      <c r="R821">
        <f t="shared" si="132"/>
        <v>0</v>
      </c>
    </row>
    <row r="822" spans="1:18" x14ac:dyDescent="0.3">
      <c r="A822">
        <f t="shared" si="137"/>
        <v>819</v>
      </c>
      <c r="B822">
        <f t="shared" si="138"/>
        <v>69</v>
      </c>
      <c r="C822">
        <f t="shared" si="139"/>
        <v>824</v>
      </c>
      <c r="D822">
        <f t="shared" si="133"/>
        <v>69</v>
      </c>
      <c r="E822">
        <f>[1]model_point!$C$2+D822-1</f>
        <v>73</v>
      </c>
      <c r="F822">
        <f>VLOOKUP(E822,'[1]202512 BE mortality'!$A:$C,3,0)</f>
        <v>1.4835273925847292E-3</v>
      </c>
      <c r="G822">
        <f>VLOOKUP(D822,'[1]202512 BE lapse'!$C:$D,2,0)</f>
        <v>8.3179683408480913E-3</v>
      </c>
      <c r="H822">
        <f>VLOOKUP($B822,'[1]202512 RFR'!$A:$B,2,0)</f>
        <v>1.2E-2</v>
      </c>
      <c r="I822">
        <f t="shared" si="140"/>
        <v>0.96830557797359695</v>
      </c>
      <c r="J822">
        <f t="shared" si="141"/>
        <v>1.1980528208904007E-4</v>
      </c>
      <c r="K822">
        <f t="shared" si="142"/>
        <v>0</v>
      </c>
      <c r="L822">
        <f t="shared" si="134"/>
        <v>0.38375228461437549</v>
      </c>
      <c r="M822">
        <f>IF(AND(MOD(C822,12)=1,D822&lt;='[1]Product parameters'!$C$2),I821*[1]model_point!$G$2,0)</f>
        <v>0</v>
      </c>
      <c r="N822">
        <f t="shared" si="135"/>
        <v>0</v>
      </c>
      <c r="O822">
        <f>[2]results_sample_product_cf!G821</f>
        <v>0</v>
      </c>
      <c r="P822">
        <f>[2]results_sample_product_cf!H821</f>
        <v>0</v>
      </c>
      <c r="Q822">
        <f t="shared" si="136"/>
        <v>0</v>
      </c>
      <c r="R822">
        <f t="shared" si="132"/>
        <v>0</v>
      </c>
    </row>
    <row r="823" spans="1:18" x14ac:dyDescent="0.3">
      <c r="A823">
        <f t="shared" si="137"/>
        <v>820</v>
      </c>
      <c r="B823">
        <f t="shared" si="138"/>
        <v>69</v>
      </c>
      <c r="C823">
        <f t="shared" si="139"/>
        <v>825</v>
      </c>
      <c r="D823">
        <f t="shared" si="133"/>
        <v>69</v>
      </c>
      <c r="E823">
        <f>[1]model_point!$C$2+D823-1</f>
        <v>73</v>
      </c>
      <c r="F823">
        <f>VLOOKUP(E823,'[1]202512 BE mortality'!$A:$C,3,0)</f>
        <v>1.4835273925847292E-3</v>
      </c>
      <c r="G823">
        <f>VLOOKUP(D823,'[1]202512 BE lapse'!$C:$D,2,0)</f>
        <v>8.3179683408480913E-3</v>
      </c>
      <c r="H823">
        <f>VLOOKUP($B823,'[1]202512 RFR'!$A:$B,2,0)</f>
        <v>1.2E-2</v>
      </c>
      <c r="I823">
        <f t="shared" si="140"/>
        <v>0.96818578751278983</v>
      </c>
      <c r="J823">
        <f t="shared" si="141"/>
        <v>1.1979046080712759E-4</v>
      </c>
      <c r="K823">
        <f t="shared" si="142"/>
        <v>0</v>
      </c>
      <c r="L823">
        <f t="shared" si="134"/>
        <v>0.38337100612343955</v>
      </c>
      <c r="M823">
        <f>IF(AND(MOD(C823,12)=1,D823&lt;='[1]Product parameters'!$C$2),I822*[1]model_point!$G$2,0)</f>
        <v>0</v>
      </c>
      <c r="N823">
        <f t="shared" si="135"/>
        <v>0</v>
      </c>
      <c r="O823">
        <f>[2]results_sample_product_cf!G822</f>
        <v>0</v>
      </c>
      <c r="P823">
        <f>[2]results_sample_product_cf!H822</f>
        <v>0</v>
      </c>
      <c r="Q823">
        <f t="shared" si="136"/>
        <v>0</v>
      </c>
      <c r="R823">
        <f t="shared" si="132"/>
        <v>0</v>
      </c>
    </row>
    <row r="824" spans="1:18" x14ac:dyDescent="0.3">
      <c r="A824">
        <f t="shared" si="137"/>
        <v>821</v>
      </c>
      <c r="B824">
        <f t="shared" si="138"/>
        <v>69</v>
      </c>
      <c r="C824">
        <f t="shared" si="139"/>
        <v>826</v>
      </c>
      <c r="D824">
        <f t="shared" si="133"/>
        <v>69</v>
      </c>
      <c r="E824">
        <f>[1]model_point!$C$2+D824-1</f>
        <v>73</v>
      </c>
      <c r="F824">
        <f>VLOOKUP(E824,'[1]202512 BE mortality'!$A:$C,3,0)</f>
        <v>1.4835273925847292E-3</v>
      </c>
      <c r="G824">
        <f>VLOOKUP(D824,'[1]202512 BE lapse'!$C:$D,2,0)</f>
        <v>8.3179683408480913E-3</v>
      </c>
      <c r="H824">
        <f>VLOOKUP($B824,'[1]202512 RFR'!$A:$B,2,0)</f>
        <v>1.2E-2</v>
      </c>
      <c r="I824">
        <f t="shared" si="140"/>
        <v>0.96806601187143104</v>
      </c>
      <c r="J824">
        <f t="shared" si="141"/>
        <v>1.19775641358777E-4</v>
      </c>
      <c r="K824">
        <f t="shared" si="142"/>
        <v>0</v>
      </c>
      <c r="L824">
        <f t="shared" si="134"/>
        <v>0.38299010645314779</v>
      </c>
      <c r="M824">
        <f>IF(AND(MOD(C824,12)=1,D824&lt;='[1]Product parameters'!$C$2),I823*[1]model_point!$G$2,0)</f>
        <v>0</v>
      </c>
      <c r="N824">
        <f t="shared" si="135"/>
        <v>0</v>
      </c>
      <c r="O824">
        <f>[2]results_sample_product_cf!G823</f>
        <v>0</v>
      </c>
      <c r="P824">
        <f>[2]results_sample_product_cf!H823</f>
        <v>0</v>
      </c>
      <c r="Q824">
        <f t="shared" si="136"/>
        <v>0</v>
      </c>
      <c r="R824">
        <f t="shared" si="132"/>
        <v>0</v>
      </c>
    </row>
    <row r="825" spans="1:18" x14ac:dyDescent="0.3">
      <c r="A825">
        <f t="shared" si="137"/>
        <v>822</v>
      </c>
      <c r="B825">
        <f t="shared" si="138"/>
        <v>69</v>
      </c>
      <c r="C825">
        <f t="shared" si="139"/>
        <v>827</v>
      </c>
      <c r="D825">
        <f t="shared" si="133"/>
        <v>69</v>
      </c>
      <c r="E825">
        <f>[1]model_point!$C$2+D825-1</f>
        <v>73</v>
      </c>
      <c r="F825">
        <f>VLOOKUP(E825,'[1]202512 BE mortality'!$A:$C,3,0)</f>
        <v>1.4835273925847292E-3</v>
      </c>
      <c r="G825">
        <f>VLOOKUP(D825,'[1]202512 BE lapse'!$C:$D,2,0)</f>
        <v>8.3179683408480913E-3</v>
      </c>
      <c r="H825">
        <f>VLOOKUP($B825,'[1]202512 RFR'!$A:$B,2,0)</f>
        <v>1.2E-2</v>
      </c>
      <c r="I825">
        <f t="shared" si="140"/>
        <v>0.96794625104768728</v>
      </c>
      <c r="J825">
        <f t="shared" si="141"/>
        <v>1.1976082374376143E-4</v>
      </c>
      <c r="K825">
        <f t="shared" si="142"/>
        <v>0</v>
      </c>
      <c r="L825">
        <f t="shared" si="134"/>
        <v>0.38260958522712152</v>
      </c>
      <c r="M825">
        <f>IF(AND(MOD(C825,12)=1,D825&lt;='[1]Product parameters'!$C$2),I824*[1]model_point!$G$2,0)</f>
        <v>0</v>
      </c>
      <c r="N825">
        <f t="shared" si="135"/>
        <v>0</v>
      </c>
      <c r="O825">
        <f>[2]results_sample_product_cf!G824</f>
        <v>0</v>
      </c>
      <c r="P825">
        <f>[2]results_sample_product_cf!H824</f>
        <v>0</v>
      </c>
      <c r="Q825">
        <f t="shared" si="136"/>
        <v>0</v>
      </c>
      <c r="R825">
        <f t="shared" si="132"/>
        <v>0</v>
      </c>
    </row>
    <row r="826" spans="1:18" x14ac:dyDescent="0.3">
      <c r="A826">
        <f t="shared" si="137"/>
        <v>823</v>
      </c>
      <c r="B826">
        <f t="shared" si="138"/>
        <v>69</v>
      </c>
      <c r="C826">
        <f t="shared" si="139"/>
        <v>828</v>
      </c>
      <c r="D826">
        <f t="shared" si="133"/>
        <v>69</v>
      </c>
      <c r="E826">
        <f>[1]model_point!$C$2+D826-1</f>
        <v>73</v>
      </c>
      <c r="F826">
        <f>VLOOKUP(E826,'[1]202512 BE mortality'!$A:$C,3,0)</f>
        <v>1.4835273925847292E-3</v>
      </c>
      <c r="G826">
        <f>VLOOKUP(D826,'[1]202512 BE lapse'!$C:$D,2,0)</f>
        <v>8.3179683408480913E-3</v>
      </c>
      <c r="H826">
        <f>VLOOKUP($B826,'[1]202512 RFR'!$A:$B,2,0)</f>
        <v>1.2E-2</v>
      </c>
      <c r="I826">
        <f t="shared" si="140"/>
        <v>0.95977615481137135</v>
      </c>
      <c r="J826">
        <f t="shared" si="141"/>
        <v>1.1974600796185409E-4</v>
      </c>
      <c r="K826">
        <f t="shared" si="142"/>
        <v>8.0503502283540921E-3</v>
      </c>
      <c r="L826">
        <f t="shared" si="134"/>
        <v>0.38222944206935605</v>
      </c>
      <c r="M826">
        <f>IF(AND(MOD(C826,12)=1,D826&lt;='[1]Product parameters'!$C$2),I825*[1]model_point!$G$2,0)</f>
        <v>0</v>
      </c>
      <c r="N826">
        <f t="shared" si="135"/>
        <v>0</v>
      </c>
      <c r="O826">
        <f>[2]results_sample_product_cf!G825</f>
        <v>0</v>
      </c>
      <c r="P826">
        <f>[2]results_sample_product_cf!H825</f>
        <v>0</v>
      </c>
      <c r="Q826">
        <f t="shared" si="136"/>
        <v>0</v>
      </c>
      <c r="R826">
        <f t="shared" si="132"/>
        <v>0</v>
      </c>
    </row>
    <row r="827" spans="1:18" x14ac:dyDescent="0.3">
      <c r="A827">
        <f t="shared" si="137"/>
        <v>824</v>
      </c>
      <c r="B827">
        <f t="shared" si="138"/>
        <v>69</v>
      </c>
      <c r="C827">
        <f t="shared" si="139"/>
        <v>829</v>
      </c>
      <c r="D827">
        <f t="shared" si="133"/>
        <v>70</v>
      </c>
      <c r="E827">
        <f>[1]model_point!$C$2+D827-1</f>
        <v>74</v>
      </c>
      <c r="F827">
        <f>VLOOKUP(E827,'[1]202512 BE mortality'!$A:$C,3,0)</f>
        <v>6.2386952841698429E-3</v>
      </c>
      <c r="G827">
        <f>VLOOKUP(D827,'[1]202512 BE lapse'!$C:$D,2,0)</f>
        <v>6.6508292104817835E-3</v>
      </c>
      <c r="H827">
        <f>VLOOKUP($B827,'[1]202512 RFR'!$A:$B,2,0)</f>
        <v>1.2E-2</v>
      </c>
      <c r="I827">
        <f t="shared" si="140"/>
        <v>0.95927574306862384</v>
      </c>
      <c r="J827">
        <f t="shared" si="141"/>
        <v>5.0041174274752232E-4</v>
      </c>
      <c r="K827">
        <f t="shared" si="142"/>
        <v>0</v>
      </c>
      <c r="L827">
        <f t="shared" si="134"/>
        <v>0.38184967660422031</v>
      </c>
      <c r="M827">
        <f>IF(AND(MOD(C827,12)=1,D827&lt;='[1]Product parameters'!$C$2),I826*[1]model_point!$G$2,0)</f>
        <v>0</v>
      </c>
      <c r="N827">
        <f t="shared" si="135"/>
        <v>0</v>
      </c>
      <c r="O827">
        <f>[2]results_sample_product_cf!G826</f>
        <v>0</v>
      </c>
      <c r="P827">
        <f>[2]results_sample_product_cf!H826</f>
        <v>0</v>
      </c>
      <c r="Q827">
        <f t="shared" si="136"/>
        <v>0</v>
      </c>
      <c r="R827">
        <f t="shared" si="132"/>
        <v>0</v>
      </c>
    </row>
    <row r="828" spans="1:18" x14ac:dyDescent="0.3">
      <c r="A828">
        <f t="shared" si="137"/>
        <v>825</v>
      </c>
      <c r="B828">
        <f t="shared" si="138"/>
        <v>69</v>
      </c>
      <c r="C828">
        <f t="shared" si="139"/>
        <v>830</v>
      </c>
      <c r="D828">
        <f t="shared" si="133"/>
        <v>70</v>
      </c>
      <c r="E828">
        <f>[1]model_point!$C$2+D828-1</f>
        <v>74</v>
      </c>
      <c r="F828">
        <f>VLOOKUP(E828,'[1]202512 BE mortality'!$A:$C,3,0)</f>
        <v>6.2386952841698429E-3</v>
      </c>
      <c r="G828">
        <f>VLOOKUP(D828,'[1]202512 BE lapse'!$C:$D,2,0)</f>
        <v>6.6508292104817835E-3</v>
      </c>
      <c r="H828">
        <f>VLOOKUP($B828,'[1]202512 RFR'!$A:$B,2,0)</f>
        <v>1.2E-2</v>
      </c>
      <c r="I828">
        <f t="shared" si="140"/>
        <v>0.95877559223245445</v>
      </c>
      <c r="J828">
        <f t="shared" si="141"/>
        <v>5.0015083616943706E-4</v>
      </c>
      <c r="K828">
        <f t="shared" si="142"/>
        <v>0</v>
      </c>
      <c r="L828">
        <f t="shared" si="134"/>
        <v>0.38147028845645636</v>
      </c>
      <c r="M828">
        <f>IF(AND(MOD(C828,12)=1,D828&lt;='[1]Product parameters'!$C$2),I827*[1]model_point!$G$2,0)</f>
        <v>0</v>
      </c>
      <c r="N828">
        <f t="shared" si="135"/>
        <v>0</v>
      </c>
      <c r="O828">
        <f>[2]results_sample_product_cf!G827</f>
        <v>0</v>
      </c>
      <c r="P828">
        <f>[2]results_sample_product_cf!H827</f>
        <v>0</v>
      </c>
      <c r="Q828">
        <f t="shared" si="136"/>
        <v>0</v>
      </c>
      <c r="R828">
        <f t="shared" si="132"/>
        <v>0</v>
      </c>
    </row>
    <row r="829" spans="1:18" x14ac:dyDescent="0.3">
      <c r="A829">
        <f t="shared" si="137"/>
        <v>826</v>
      </c>
      <c r="B829">
        <f t="shared" si="138"/>
        <v>69</v>
      </c>
      <c r="C829">
        <f t="shared" si="139"/>
        <v>831</v>
      </c>
      <c r="D829">
        <f t="shared" si="133"/>
        <v>70</v>
      </c>
      <c r="E829">
        <f>[1]model_point!$C$2+D829-1</f>
        <v>74</v>
      </c>
      <c r="F829">
        <f>VLOOKUP(E829,'[1]202512 BE mortality'!$A:$C,3,0)</f>
        <v>6.2386952841698429E-3</v>
      </c>
      <c r="G829">
        <f>VLOOKUP(D829,'[1]202512 BE lapse'!$C:$D,2,0)</f>
        <v>6.6508292104817835E-3</v>
      </c>
      <c r="H829">
        <f>VLOOKUP($B829,'[1]202512 RFR'!$A:$B,2,0)</f>
        <v>1.2E-2</v>
      </c>
      <c r="I829">
        <f t="shared" si="140"/>
        <v>0.95827570216683067</v>
      </c>
      <c r="J829">
        <f t="shared" si="141"/>
        <v>4.9989006562381607E-4</v>
      </c>
      <c r="K829">
        <f t="shared" si="142"/>
        <v>0</v>
      </c>
      <c r="L829">
        <f t="shared" si="134"/>
        <v>0.38109127725117919</v>
      </c>
      <c r="M829">
        <f>IF(AND(MOD(C829,12)=1,D829&lt;='[1]Product parameters'!$C$2),I828*[1]model_point!$G$2,0)</f>
        <v>0</v>
      </c>
      <c r="N829">
        <f t="shared" si="135"/>
        <v>0</v>
      </c>
      <c r="O829">
        <f>[2]results_sample_product_cf!G828</f>
        <v>0</v>
      </c>
      <c r="P829">
        <f>[2]results_sample_product_cf!H828</f>
        <v>0</v>
      </c>
      <c r="Q829">
        <f t="shared" si="136"/>
        <v>0</v>
      </c>
      <c r="R829">
        <f t="shared" si="132"/>
        <v>0</v>
      </c>
    </row>
    <row r="830" spans="1:18" x14ac:dyDescent="0.3">
      <c r="A830">
        <f t="shared" si="137"/>
        <v>827</v>
      </c>
      <c r="B830">
        <f t="shared" si="138"/>
        <v>69</v>
      </c>
      <c r="C830">
        <f t="shared" si="139"/>
        <v>832</v>
      </c>
      <c r="D830">
        <f t="shared" si="133"/>
        <v>70</v>
      </c>
      <c r="E830">
        <f>[1]model_point!$C$2+D830-1</f>
        <v>74</v>
      </c>
      <c r="F830">
        <f>VLOOKUP(E830,'[1]202512 BE mortality'!$A:$C,3,0)</f>
        <v>6.2386952841698429E-3</v>
      </c>
      <c r="G830">
        <f>VLOOKUP(D830,'[1]202512 BE lapse'!$C:$D,2,0)</f>
        <v>6.6508292104817835E-3</v>
      </c>
      <c r="H830">
        <f>VLOOKUP($B830,'[1]202512 RFR'!$A:$B,2,0)</f>
        <v>1.2E-2</v>
      </c>
      <c r="I830">
        <f t="shared" si="140"/>
        <v>0.95777607273579091</v>
      </c>
      <c r="J830">
        <f t="shared" si="141"/>
        <v>4.996294310397342E-4</v>
      </c>
      <c r="K830">
        <f t="shared" si="142"/>
        <v>0</v>
      </c>
      <c r="L830">
        <f t="shared" si="134"/>
        <v>0.38071264261387616</v>
      </c>
      <c r="M830">
        <f>IF(AND(MOD(C830,12)=1,D830&lt;='[1]Product parameters'!$C$2),I829*[1]model_point!$G$2,0)</f>
        <v>0</v>
      </c>
      <c r="N830">
        <f t="shared" si="135"/>
        <v>0</v>
      </c>
      <c r="O830">
        <f>[2]results_sample_product_cf!G829</f>
        <v>0</v>
      </c>
      <c r="P830">
        <f>[2]results_sample_product_cf!H829</f>
        <v>0</v>
      </c>
      <c r="Q830">
        <f t="shared" si="136"/>
        <v>0</v>
      </c>
      <c r="R830">
        <f t="shared" si="132"/>
        <v>0</v>
      </c>
    </row>
    <row r="831" spans="1:18" x14ac:dyDescent="0.3">
      <c r="A831">
        <f t="shared" si="137"/>
        <v>828</v>
      </c>
      <c r="B831">
        <f t="shared" si="138"/>
        <v>69</v>
      </c>
      <c r="C831">
        <f t="shared" si="139"/>
        <v>833</v>
      </c>
      <c r="D831">
        <f t="shared" si="133"/>
        <v>70</v>
      </c>
      <c r="E831">
        <f>[1]model_point!$C$2+D831-1</f>
        <v>74</v>
      </c>
      <c r="F831">
        <f>VLOOKUP(E831,'[1]202512 BE mortality'!$A:$C,3,0)</f>
        <v>6.2386952841698429E-3</v>
      </c>
      <c r="G831">
        <f>VLOOKUP(D831,'[1]202512 BE lapse'!$C:$D,2,0)</f>
        <v>6.6508292104817835E-3</v>
      </c>
      <c r="H831">
        <f>VLOOKUP($B831,'[1]202512 RFR'!$A:$B,2,0)</f>
        <v>1.2E-2</v>
      </c>
      <c r="I831">
        <f t="shared" si="140"/>
        <v>0.95727670380344465</v>
      </c>
      <c r="J831">
        <f t="shared" si="141"/>
        <v>4.9936893234630328E-4</v>
      </c>
      <c r="K831">
        <f t="shared" si="142"/>
        <v>0</v>
      </c>
      <c r="L831">
        <f t="shared" si="134"/>
        <v>0.38033438417040677</v>
      </c>
      <c r="M831">
        <f>IF(AND(MOD(C831,12)=1,D831&lt;='[1]Product parameters'!$C$2),I830*[1]model_point!$G$2,0)</f>
        <v>0</v>
      </c>
      <c r="N831">
        <f t="shared" si="135"/>
        <v>0</v>
      </c>
      <c r="O831">
        <f>[2]results_sample_product_cf!G830</f>
        <v>0</v>
      </c>
      <c r="P831">
        <f>[2]results_sample_product_cf!H830</f>
        <v>0</v>
      </c>
      <c r="Q831">
        <f t="shared" si="136"/>
        <v>0</v>
      </c>
      <c r="R831">
        <f t="shared" si="132"/>
        <v>0</v>
      </c>
    </row>
    <row r="832" spans="1:18" x14ac:dyDescent="0.3">
      <c r="A832">
        <f t="shared" si="137"/>
        <v>829</v>
      </c>
      <c r="B832">
        <f t="shared" si="138"/>
        <v>70</v>
      </c>
      <c r="C832">
        <f t="shared" si="139"/>
        <v>834</v>
      </c>
      <c r="D832">
        <f t="shared" si="133"/>
        <v>70</v>
      </c>
      <c r="E832">
        <f>[1]model_point!$C$2+D832-1</f>
        <v>74</v>
      </c>
      <c r="F832">
        <f>VLOOKUP(E832,'[1]202512 BE mortality'!$A:$C,3,0)</f>
        <v>6.2386952841698429E-3</v>
      </c>
      <c r="G832">
        <f>VLOOKUP(D832,'[1]202512 BE lapse'!$C:$D,2,0)</f>
        <v>6.6508292104817835E-3</v>
      </c>
      <c r="H832">
        <f>VLOOKUP($B832,'[1]202512 RFR'!$A:$B,2,0)</f>
        <v>1.2E-2</v>
      </c>
      <c r="I832">
        <f t="shared" si="140"/>
        <v>0.95677759523397199</v>
      </c>
      <c r="J832">
        <f t="shared" si="141"/>
        <v>4.991085694726721E-4</v>
      </c>
      <c r="K832">
        <f t="shared" si="142"/>
        <v>0</v>
      </c>
      <c r="L832">
        <f t="shared" si="134"/>
        <v>0.37995650154700228</v>
      </c>
      <c r="M832">
        <f>IF(AND(MOD(C832,12)=1,D832&lt;='[1]Product parameters'!$C$2),I831*[1]model_point!$G$2,0)</f>
        <v>0</v>
      </c>
      <c r="N832">
        <f t="shared" si="135"/>
        <v>0</v>
      </c>
      <c r="O832">
        <f>[2]results_sample_product_cf!G831</f>
        <v>0</v>
      </c>
      <c r="P832">
        <f>[2]results_sample_product_cf!H831</f>
        <v>0</v>
      </c>
      <c r="Q832">
        <f t="shared" si="136"/>
        <v>0</v>
      </c>
      <c r="R832">
        <f t="shared" si="132"/>
        <v>0</v>
      </c>
    </row>
    <row r="833" spans="1:18" x14ac:dyDescent="0.3">
      <c r="A833">
        <f t="shared" si="137"/>
        <v>830</v>
      </c>
      <c r="B833">
        <f t="shared" si="138"/>
        <v>70</v>
      </c>
      <c r="C833">
        <f t="shared" si="139"/>
        <v>835</v>
      </c>
      <c r="D833">
        <f t="shared" si="133"/>
        <v>70</v>
      </c>
      <c r="E833">
        <f>[1]model_point!$C$2+D833-1</f>
        <v>74</v>
      </c>
      <c r="F833">
        <f>VLOOKUP(E833,'[1]202512 BE mortality'!$A:$C,3,0)</f>
        <v>6.2386952841698429E-3</v>
      </c>
      <c r="G833">
        <f>VLOOKUP(D833,'[1]202512 BE lapse'!$C:$D,2,0)</f>
        <v>6.6508292104817835E-3</v>
      </c>
      <c r="H833">
        <f>VLOOKUP($B833,'[1]202512 RFR'!$A:$B,2,0)</f>
        <v>1.2E-2</v>
      </c>
      <c r="I833">
        <f t="shared" si="140"/>
        <v>0.95627874689162395</v>
      </c>
      <c r="J833">
        <f t="shared" si="141"/>
        <v>4.9884834234802642E-4</v>
      </c>
      <c r="K833">
        <f t="shared" si="142"/>
        <v>0</v>
      </c>
      <c r="L833">
        <f t="shared" si="134"/>
        <v>0.37957899437026532</v>
      </c>
      <c r="M833">
        <f>IF(AND(MOD(C833,12)=1,D833&lt;='[1]Product parameters'!$C$2),I832*[1]model_point!$G$2,0)</f>
        <v>0</v>
      </c>
      <c r="N833">
        <f t="shared" si="135"/>
        <v>0</v>
      </c>
      <c r="O833">
        <f>[2]results_sample_product_cf!G832</f>
        <v>0</v>
      </c>
      <c r="P833">
        <f>[2]results_sample_product_cf!H832</f>
        <v>0</v>
      </c>
      <c r="Q833">
        <f t="shared" si="136"/>
        <v>0</v>
      </c>
      <c r="R833">
        <f t="shared" si="132"/>
        <v>0</v>
      </c>
    </row>
    <row r="834" spans="1:18" x14ac:dyDescent="0.3">
      <c r="A834">
        <f t="shared" si="137"/>
        <v>831</v>
      </c>
      <c r="B834">
        <f t="shared" si="138"/>
        <v>70</v>
      </c>
      <c r="C834">
        <f t="shared" si="139"/>
        <v>836</v>
      </c>
      <c r="D834">
        <f t="shared" si="133"/>
        <v>70</v>
      </c>
      <c r="E834">
        <f>[1]model_point!$C$2+D834-1</f>
        <v>74</v>
      </c>
      <c r="F834">
        <f>VLOOKUP(E834,'[1]202512 BE mortality'!$A:$C,3,0)</f>
        <v>6.2386952841698429E-3</v>
      </c>
      <c r="G834">
        <f>VLOOKUP(D834,'[1]202512 BE lapse'!$C:$D,2,0)</f>
        <v>6.6508292104817835E-3</v>
      </c>
      <c r="H834">
        <f>VLOOKUP($B834,'[1]202512 RFR'!$A:$B,2,0)</f>
        <v>1.2E-2</v>
      </c>
      <c r="I834">
        <f t="shared" si="140"/>
        <v>0.95578015864072241</v>
      </c>
      <c r="J834">
        <f t="shared" si="141"/>
        <v>4.985882509015889E-4</v>
      </c>
      <c r="K834">
        <f t="shared" si="142"/>
        <v>0</v>
      </c>
      <c r="L834">
        <f t="shared" si="134"/>
        <v>0.37920186226716945</v>
      </c>
      <c r="M834">
        <f>IF(AND(MOD(C834,12)=1,D834&lt;='[1]Product parameters'!$C$2),I833*[1]model_point!$G$2,0)</f>
        <v>0</v>
      </c>
      <c r="N834">
        <f t="shared" si="135"/>
        <v>0</v>
      </c>
      <c r="O834">
        <f>[2]results_sample_product_cf!G833</f>
        <v>0</v>
      </c>
      <c r="P834">
        <f>[2]results_sample_product_cf!H833</f>
        <v>0</v>
      </c>
      <c r="Q834">
        <f t="shared" si="136"/>
        <v>0</v>
      </c>
      <c r="R834">
        <f t="shared" si="132"/>
        <v>0</v>
      </c>
    </row>
    <row r="835" spans="1:18" x14ac:dyDescent="0.3">
      <c r="A835">
        <f t="shared" si="137"/>
        <v>832</v>
      </c>
      <c r="B835">
        <f t="shared" si="138"/>
        <v>70</v>
      </c>
      <c r="C835">
        <f t="shared" si="139"/>
        <v>837</v>
      </c>
      <c r="D835">
        <f t="shared" si="133"/>
        <v>70</v>
      </c>
      <c r="E835">
        <f>[1]model_point!$C$2+D835-1</f>
        <v>74</v>
      </c>
      <c r="F835">
        <f>VLOOKUP(E835,'[1]202512 BE mortality'!$A:$C,3,0)</f>
        <v>6.2386952841698429E-3</v>
      </c>
      <c r="G835">
        <f>VLOOKUP(D835,'[1]202512 BE lapse'!$C:$D,2,0)</f>
        <v>6.6508292104817835E-3</v>
      </c>
      <c r="H835">
        <f>VLOOKUP($B835,'[1]202512 RFR'!$A:$B,2,0)</f>
        <v>1.2E-2</v>
      </c>
      <c r="I835">
        <f t="shared" si="140"/>
        <v>0.95528183034565983</v>
      </c>
      <c r="J835">
        <f t="shared" si="141"/>
        <v>4.9832829506261923E-4</v>
      </c>
      <c r="K835">
        <f t="shared" si="142"/>
        <v>0</v>
      </c>
      <c r="L835">
        <f t="shared" si="134"/>
        <v>0.37882510486505888</v>
      </c>
      <c r="M835">
        <f>IF(AND(MOD(C835,12)=1,D835&lt;='[1]Product parameters'!$C$2),I834*[1]model_point!$G$2,0)</f>
        <v>0</v>
      </c>
      <c r="N835">
        <f t="shared" si="135"/>
        <v>0</v>
      </c>
      <c r="O835">
        <f>[2]results_sample_product_cf!G834</f>
        <v>0</v>
      </c>
      <c r="P835">
        <f>[2]results_sample_product_cf!H834</f>
        <v>0</v>
      </c>
      <c r="Q835">
        <f t="shared" si="136"/>
        <v>0</v>
      </c>
      <c r="R835">
        <f t="shared" ref="R835:R898" si="143">ROUND(N835-P835,6)</f>
        <v>0</v>
      </c>
    </row>
    <row r="836" spans="1:18" x14ac:dyDescent="0.3">
      <c r="A836">
        <f t="shared" si="137"/>
        <v>833</v>
      </c>
      <c r="B836">
        <f t="shared" si="138"/>
        <v>70</v>
      </c>
      <c r="C836">
        <f t="shared" si="139"/>
        <v>838</v>
      </c>
      <c r="D836">
        <f t="shared" ref="D836:D899" si="144">TRUNC((C836-1)/12,0)+1</f>
        <v>70</v>
      </c>
      <c r="E836">
        <f>[1]model_point!$C$2+D836-1</f>
        <v>74</v>
      </c>
      <c r="F836">
        <f>VLOOKUP(E836,'[1]202512 BE mortality'!$A:$C,3,0)</f>
        <v>6.2386952841698429E-3</v>
      </c>
      <c r="G836">
        <f>VLOOKUP(D836,'[1]202512 BE lapse'!$C:$D,2,0)</f>
        <v>6.6508292104817835E-3</v>
      </c>
      <c r="H836">
        <f>VLOOKUP($B836,'[1]202512 RFR'!$A:$B,2,0)</f>
        <v>1.2E-2</v>
      </c>
      <c r="I836">
        <f t="shared" si="140"/>
        <v>0.95478376187089942</v>
      </c>
      <c r="J836">
        <f t="shared" si="141"/>
        <v>4.9806847476041387E-4</v>
      </c>
      <c r="K836">
        <f t="shared" si="142"/>
        <v>0</v>
      </c>
      <c r="L836">
        <f t="shared" ref="L836:L899" si="145">L835/(1+H836)^(1/12)</f>
        <v>0.37844872179164801</v>
      </c>
      <c r="M836">
        <f>IF(AND(MOD(C836,12)=1,D836&lt;='[1]Product parameters'!$C$2),I835*[1]model_point!$G$2,0)</f>
        <v>0</v>
      </c>
      <c r="N836">
        <f t="shared" ref="N836:N899" si="146">SUMPRODUCT(L836:L2035,M837:M2036)/L836</f>
        <v>0</v>
      </c>
      <c r="O836">
        <f>[2]results_sample_product_cf!G835</f>
        <v>0</v>
      </c>
      <c r="P836">
        <f>[2]results_sample_product_cf!H835</f>
        <v>0</v>
      </c>
      <c r="Q836">
        <f t="shared" ref="Q836:Q899" si="147">ROUND(M836-O836,6)</f>
        <v>0</v>
      </c>
      <c r="R836">
        <f t="shared" si="143"/>
        <v>0</v>
      </c>
    </row>
    <row r="837" spans="1:18" x14ac:dyDescent="0.3">
      <c r="A837">
        <f t="shared" ref="A837:A900" si="148">A836+1</f>
        <v>834</v>
      </c>
      <c r="B837">
        <f t="shared" ref="B837:B900" si="149">INT((A837-1)/12)+1</f>
        <v>70</v>
      </c>
      <c r="C837">
        <f t="shared" ref="C837:C900" si="150">C836+1</f>
        <v>839</v>
      </c>
      <c r="D837">
        <f t="shared" si="144"/>
        <v>70</v>
      </c>
      <c r="E837">
        <f>[1]model_point!$C$2+D837-1</f>
        <v>74</v>
      </c>
      <c r="F837">
        <f>VLOOKUP(E837,'[1]202512 BE mortality'!$A:$C,3,0)</f>
        <v>6.2386952841698429E-3</v>
      </c>
      <c r="G837">
        <f>VLOOKUP(D837,'[1]202512 BE lapse'!$C:$D,2,0)</f>
        <v>6.6508292104817835E-3</v>
      </c>
      <c r="H837">
        <f>VLOOKUP($B837,'[1]202512 RFR'!$A:$B,2,0)</f>
        <v>1.2E-2</v>
      </c>
      <c r="I837">
        <f t="shared" ref="I837:I900" si="151">I836-J837-K837</f>
        <v>0.95428595308097508</v>
      </c>
      <c r="J837">
        <f t="shared" ref="J837:J900" si="152">I836*(1-(1-F837)^(1/12))</f>
        <v>4.9780878992430595E-4</v>
      </c>
      <c r="K837">
        <f t="shared" ref="K837:K900" si="153">(I836-J837)*IF(MOD(C837,12)=0,G837,0)</f>
        <v>0</v>
      </c>
      <c r="L837">
        <f t="shared" si="145"/>
        <v>0.37807271267502124</v>
      </c>
      <c r="M837">
        <f>IF(AND(MOD(C837,12)=1,D837&lt;='[1]Product parameters'!$C$2),I836*[1]model_point!$G$2,0)</f>
        <v>0</v>
      </c>
      <c r="N837">
        <f t="shared" si="146"/>
        <v>0</v>
      </c>
      <c r="O837">
        <f>[2]results_sample_product_cf!G836</f>
        <v>0</v>
      </c>
      <c r="P837">
        <f>[2]results_sample_product_cf!H836</f>
        <v>0</v>
      </c>
      <c r="Q837">
        <f t="shared" si="147"/>
        <v>0</v>
      </c>
      <c r="R837">
        <f t="shared" si="143"/>
        <v>0</v>
      </c>
    </row>
    <row r="838" spans="1:18" x14ac:dyDescent="0.3">
      <c r="A838">
        <f t="shared" si="148"/>
        <v>835</v>
      </c>
      <c r="B838">
        <f t="shared" si="149"/>
        <v>70</v>
      </c>
      <c r="C838">
        <f t="shared" si="150"/>
        <v>840</v>
      </c>
      <c r="D838">
        <f t="shared" si="144"/>
        <v>70</v>
      </c>
      <c r="E838">
        <f>[1]model_point!$C$2+D838-1</f>
        <v>74</v>
      </c>
      <c r="F838">
        <f>VLOOKUP(E838,'[1]202512 BE mortality'!$A:$C,3,0)</f>
        <v>6.2386952841698429E-3</v>
      </c>
      <c r="G838">
        <f>VLOOKUP(D838,'[1]202512 BE lapse'!$C:$D,2,0)</f>
        <v>6.6508292104817835E-3</v>
      </c>
      <c r="H838">
        <f>VLOOKUP($B838,'[1]202512 RFR'!$A:$B,2,0)</f>
        <v>1.2E-2</v>
      </c>
      <c r="I838">
        <f t="shared" si="151"/>
        <v>0.94744492006361036</v>
      </c>
      <c r="J838">
        <f t="shared" si="152"/>
        <v>4.9754924048366577E-4</v>
      </c>
      <c r="K838">
        <f t="shared" si="153"/>
        <v>6.3434837768811363E-3</v>
      </c>
      <c r="L838">
        <f t="shared" si="145"/>
        <v>0.37769707714363243</v>
      </c>
      <c r="M838">
        <f>IF(AND(MOD(C838,12)=1,D838&lt;='[1]Product parameters'!$C$2),I837*[1]model_point!$G$2,0)</f>
        <v>0</v>
      </c>
      <c r="N838">
        <f t="shared" si="146"/>
        <v>0</v>
      </c>
      <c r="O838">
        <f>[2]results_sample_product_cf!G837</f>
        <v>0</v>
      </c>
      <c r="P838">
        <f>[2]results_sample_product_cf!H837</f>
        <v>0</v>
      </c>
      <c r="Q838">
        <f t="shared" si="147"/>
        <v>0</v>
      </c>
      <c r="R838">
        <f t="shared" si="143"/>
        <v>0</v>
      </c>
    </row>
    <row r="839" spans="1:18" x14ac:dyDescent="0.3">
      <c r="A839">
        <f t="shared" si="148"/>
        <v>836</v>
      </c>
      <c r="B839">
        <f t="shared" si="149"/>
        <v>70</v>
      </c>
      <c r="C839">
        <f t="shared" si="150"/>
        <v>841</v>
      </c>
      <c r="D839">
        <f t="shared" si="144"/>
        <v>71</v>
      </c>
      <c r="E839">
        <f>[1]model_point!$C$2+D839-1</f>
        <v>75</v>
      </c>
      <c r="F839">
        <f>VLOOKUP(E839,'[1]202512 BE mortality'!$A:$C,3,0)</f>
        <v>3.2258565617946733E-3</v>
      </c>
      <c r="G839">
        <f>VLOOKUP(D839,'[1]202512 BE lapse'!$C:$D,2,0)</f>
        <v>6.8611881639721786E-3</v>
      </c>
      <c r="H839">
        <f>VLOOKUP($B839,'[1]202512 RFR'!$A:$B,2,0)</f>
        <v>1.2E-2</v>
      </c>
      <c r="I839">
        <f t="shared" si="151"/>
        <v>0.94718984926591088</v>
      </c>
      <c r="J839">
        <f t="shared" si="152"/>
        <v>2.5507079769951097E-4</v>
      </c>
      <c r="K839">
        <f t="shared" si="153"/>
        <v>0</v>
      </c>
      <c r="L839">
        <f t="shared" si="145"/>
        <v>0.37732181482630461</v>
      </c>
      <c r="M839">
        <f>IF(AND(MOD(C839,12)=1,D839&lt;='[1]Product parameters'!$C$2),I838*[1]model_point!$G$2,0)</f>
        <v>0</v>
      </c>
      <c r="N839">
        <f t="shared" si="146"/>
        <v>0</v>
      </c>
      <c r="O839">
        <f>[2]results_sample_product_cf!G838</f>
        <v>0</v>
      </c>
      <c r="P839">
        <f>[2]results_sample_product_cf!H838</f>
        <v>0</v>
      </c>
      <c r="Q839">
        <f t="shared" si="147"/>
        <v>0</v>
      </c>
      <c r="R839">
        <f t="shared" si="143"/>
        <v>0</v>
      </c>
    </row>
    <row r="840" spans="1:18" x14ac:dyDescent="0.3">
      <c r="A840">
        <f t="shared" si="148"/>
        <v>837</v>
      </c>
      <c r="B840">
        <f t="shared" si="149"/>
        <v>70</v>
      </c>
      <c r="C840">
        <f t="shared" si="150"/>
        <v>842</v>
      </c>
      <c r="D840">
        <f t="shared" si="144"/>
        <v>71</v>
      </c>
      <c r="E840">
        <f>[1]model_point!$C$2+D840-1</f>
        <v>75</v>
      </c>
      <c r="F840">
        <f>VLOOKUP(E840,'[1]202512 BE mortality'!$A:$C,3,0)</f>
        <v>3.2258565617946733E-3</v>
      </c>
      <c r="G840">
        <f>VLOOKUP(D840,'[1]202512 BE lapse'!$C:$D,2,0)</f>
        <v>6.8611881639721786E-3</v>
      </c>
      <c r="H840">
        <f>VLOOKUP($B840,'[1]202512 RFR'!$A:$B,2,0)</f>
        <v>1.2E-2</v>
      </c>
      <c r="I840">
        <f t="shared" si="151"/>
        <v>0.94693484713828435</v>
      </c>
      <c r="J840">
        <f t="shared" si="152"/>
        <v>2.5500212762649536E-4</v>
      </c>
      <c r="K840">
        <f t="shared" si="153"/>
        <v>0</v>
      </c>
      <c r="L840">
        <f t="shared" si="145"/>
        <v>0.37694692535222957</v>
      </c>
      <c r="M840">
        <f>IF(AND(MOD(C840,12)=1,D840&lt;='[1]Product parameters'!$C$2),I839*[1]model_point!$G$2,0)</f>
        <v>0</v>
      </c>
      <c r="N840">
        <f t="shared" si="146"/>
        <v>0</v>
      </c>
      <c r="O840">
        <f>[2]results_sample_product_cf!G839</f>
        <v>0</v>
      </c>
      <c r="P840">
        <f>[2]results_sample_product_cf!H839</f>
        <v>0</v>
      </c>
      <c r="Q840">
        <f t="shared" si="147"/>
        <v>0</v>
      </c>
      <c r="R840">
        <f t="shared" si="143"/>
        <v>0</v>
      </c>
    </row>
    <row r="841" spans="1:18" x14ac:dyDescent="0.3">
      <c r="A841">
        <f t="shared" si="148"/>
        <v>838</v>
      </c>
      <c r="B841">
        <f t="shared" si="149"/>
        <v>70</v>
      </c>
      <c r="C841">
        <f t="shared" si="150"/>
        <v>843</v>
      </c>
      <c r="D841">
        <f t="shared" si="144"/>
        <v>71</v>
      </c>
      <c r="E841">
        <f>[1]model_point!$C$2+D841-1</f>
        <v>75</v>
      </c>
      <c r="F841">
        <f>VLOOKUP(E841,'[1]202512 BE mortality'!$A:$C,3,0)</f>
        <v>3.2258565617946733E-3</v>
      </c>
      <c r="G841">
        <f>VLOOKUP(D841,'[1]202512 BE lapse'!$C:$D,2,0)</f>
        <v>6.8611881639721786E-3</v>
      </c>
      <c r="H841">
        <f>VLOOKUP($B841,'[1]202512 RFR'!$A:$B,2,0)</f>
        <v>1.2E-2</v>
      </c>
      <c r="I841">
        <f t="shared" si="151"/>
        <v>0.94667991366224358</v>
      </c>
      <c r="J841">
        <f t="shared" si="152"/>
        <v>2.5493347604081332E-4</v>
      </c>
      <c r="K841">
        <f t="shared" si="153"/>
        <v>0</v>
      </c>
      <c r="L841">
        <f t="shared" si="145"/>
        <v>0.3765724083509675</v>
      </c>
      <c r="M841">
        <f>IF(AND(MOD(C841,12)=1,D841&lt;='[1]Product parameters'!$C$2),I840*[1]model_point!$G$2,0)</f>
        <v>0</v>
      </c>
      <c r="N841">
        <f t="shared" si="146"/>
        <v>0</v>
      </c>
      <c r="O841">
        <f>[2]results_sample_product_cf!G840</f>
        <v>0</v>
      </c>
      <c r="P841">
        <f>[2]results_sample_product_cf!H840</f>
        <v>0</v>
      </c>
      <c r="Q841">
        <f t="shared" si="147"/>
        <v>0</v>
      </c>
      <c r="R841">
        <f t="shared" si="143"/>
        <v>0</v>
      </c>
    </row>
    <row r="842" spans="1:18" x14ac:dyDescent="0.3">
      <c r="A842">
        <f t="shared" si="148"/>
        <v>839</v>
      </c>
      <c r="B842">
        <f t="shared" si="149"/>
        <v>70</v>
      </c>
      <c r="C842">
        <f t="shared" si="150"/>
        <v>844</v>
      </c>
      <c r="D842">
        <f t="shared" si="144"/>
        <v>71</v>
      </c>
      <c r="E842">
        <f>[1]model_point!$C$2+D842-1</f>
        <v>75</v>
      </c>
      <c r="F842">
        <f>VLOOKUP(E842,'[1]202512 BE mortality'!$A:$C,3,0)</f>
        <v>3.2258565617946733E-3</v>
      </c>
      <c r="G842">
        <f>VLOOKUP(D842,'[1]202512 BE lapse'!$C:$D,2,0)</f>
        <v>6.8611881639721786E-3</v>
      </c>
      <c r="H842">
        <f>VLOOKUP($B842,'[1]202512 RFR'!$A:$B,2,0)</f>
        <v>1.2E-2</v>
      </c>
      <c r="I842">
        <f t="shared" si="151"/>
        <v>0.94642504881930611</v>
      </c>
      <c r="J842">
        <f t="shared" si="152"/>
        <v>2.5486484293748771E-4</v>
      </c>
      <c r="K842">
        <f t="shared" si="153"/>
        <v>0</v>
      </c>
      <c r="L842">
        <f t="shared" si="145"/>
        <v>0.37619826345244672</v>
      </c>
      <c r="M842">
        <f>IF(AND(MOD(C842,12)=1,D842&lt;='[1]Product parameters'!$C$2),I841*[1]model_point!$G$2,0)</f>
        <v>0</v>
      </c>
      <c r="N842">
        <f t="shared" si="146"/>
        <v>0</v>
      </c>
      <c r="O842">
        <f>[2]results_sample_product_cf!G841</f>
        <v>0</v>
      </c>
      <c r="P842">
        <f>[2]results_sample_product_cf!H841</f>
        <v>0</v>
      </c>
      <c r="Q842">
        <f t="shared" si="147"/>
        <v>0</v>
      </c>
      <c r="R842">
        <f t="shared" si="143"/>
        <v>0</v>
      </c>
    </row>
    <row r="843" spans="1:18" x14ac:dyDescent="0.3">
      <c r="A843">
        <f t="shared" si="148"/>
        <v>840</v>
      </c>
      <c r="B843">
        <f t="shared" si="149"/>
        <v>70</v>
      </c>
      <c r="C843">
        <f t="shared" si="150"/>
        <v>845</v>
      </c>
      <c r="D843">
        <f t="shared" si="144"/>
        <v>71</v>
      </c>
      <c r="E843">
        <f>[1]model_point!$C$2+D843-1</f>
        <v>75</v>
      </c>
      <c r="F843">
        <f>VLOOKUP(E843,'[1]202512 BE mortality'!$A:$C,3,0)</f>
        <v>3.2258565617946733E-3</v>
      </c>
      <c r="G843">
        <f>VLOOKUP(D843,'[1]202512 BE lapse'!$C:$D,2,0)</f>
        <v>6.8611881639721786E-3</v>
      </c>
      <c r="H843">
        <f>VLOOKUP($B843,'[1]202512 RFR'!$A:$B,2,0)</f>
        <v>1.2E-2</v>
      </c>
      <c r="I843">
        <f t="shared" si="151"/>
        <v>0.94617025259099452</v>
      </c>
      <c r="J843">
        <f t="shared" si="152"/>
        <v>2.5479622831154274E-4</v>
      </c>
      <c r="K843">
        <f t="shared" si="153"/>
        <v>0</v>
      </c>
      <c r="L843">
        <f t="shared" si="145"/>
        <v>0.37582449028696319</v>
      </c>
      <c r="M843">
        <f>IF(AND(MOD(C843,12)=1,D843&lt;='[1]Product parameters'!$C$2),I842*[1]model_point!$G$2,0)</f>
        <v>0</v>
      </c>
      <c r="N843">
        <f t="shared" si="146"/>
        <v>0</v>
      </c>
      <c r="O843">
        <f>[2]results_sample_product_cf!G842</f>
        <v>0</v>
      </c>
      <c r="P843">
        <f>[2]results_sample_product_cf!H842</f>
        <v>0</v>
      </c>
      <c r="Q843">
        <f t="shared" si="147"/>
        <v>0</v>
      </c>
      <c r="R843">
        <f t="shared" si="143"/>
        <v>0</v>
      </c>
    </row>
    <row r="844" spans="1:18" x14ac:dyDescent="0.3">
      <c r="A844">
        <f t="shared" si="148"/>
        <v>841</v>
      </c>
      <c r="B844">
        <f t="shared" si="149"/>
        <v>71</v>
      </c>
      <c r="C844">
        <f t="shared" si="150"/>
        <v>846</v>
      </c>
      <c r="D844">
        <f t="shared" si="144"/>
        <v>71</v>
      </c>
      <c r="E844">
        <f>[1]model_point!$C$2+D844-1</f>
        <v>75</v>
      </c>
      <c r="F844">
        <f>VLOOKUP(E844,'[1]202512 BE mortality'!$A:$C,3,0)</f>
        <v>3.2258565617946733E-3</v>
      </c>
      <c r="G844">
        <f>VLOOKUP(D844,'[1]202512 BE lapse'!$C:$D,2,0)</f>
        <v>6.8611881639721786E-3</v>
      </c>
      <c r="H844">
        <f>VLOOKUP($B844,'[1]202512 RFR'!$A:$B,2,0)</f>
        <v>1.2E-2</v>
      </c>
      <c r="I844">
        <f t="shared" si="151"/>
        <v>0.94591552495883646</v>
      </c>
      <c r="J844">
        <f t="shared" si="152"/>
        <v>2.5472763215800395E-4</v>
      </c>
      <c r="K844">
        <f t="shared" si="153"/>
        <v>0</v>
      </c>
      <c r="L844">
        <f t="shared" si="145"/>
        <v>0.37545108848518011</v>
      </c>
      <c r="M844">
        <f>IF(AND(MOD(C844,12)=1,D844&lt;='[1]Product parameters'!$C$2),I843*[1]model_point!$G$2,0)</f>
        <v>0</v>
      </c>
      <c r="N844">
        <f t="shared" si="146"/>
        <v>0</v>
      </c>
      <c r="O844">
        <f>[2]results_sample_product_cf!G843</f>
        <v>0</v>
      </c>
      <c r="P844">
        <f>[2]results_sample_product_cf!H843</f>
        <v>0</v>
      </c>
      <c r="Q844">
        <f t="shared" si="147"/>
        <v>0</v>
      </c>
      <c r="R844">
        <f t="shared" si="143"/>
        <v>0</v>
      </c>
    </row>
    <row r="845" spans="1:18" x14ac:dyDescent="0.3">
      <c r="A845">
        <f t="shared" si="148"/>
        <v>842</v>
      </c>
      <c r="B845">
        <f t="shared" si="149"/>
        <v>71</v>
      </c>
      <c r="C845">
        <f t="shared" si="150"/>
        <v>847</v>
      </c>
      <c r="D845">
        <f t="shared" si="144"/>
        <v>71</v>
      </c>
      <c r="E845">
        <f>[1]model_point!$C$2+D845-1</f>
        <v>75</v>
      </c>
      <c r="F845">
        <f>VLOOKUP(E845,'[1]202512 BE mortality'!$A:$C,3,0)</f>
        <v>3.2258565617946733E-3</v>
      </c>
      <c r="G845">
        <f>VLOOKUP(D845,'[1]202512 BE lapse'!$C:$D,2,0)</f>
        <v>6.8611881639721786E-3</v>
      </c>
      <c r="H845">
        <f>VLOOKUP($B845,'[1]202512 RFR'!$A:$B,2,0)</f>
        <v>1.2E-2</v>
      </c>
      <c r="I845">
        <f t="shared" si="151"/>
        <v>0.9456608659043646</v>
      </c>
      <c r="J845">
        <f t="shared" si="152"/>
        <v>2.5465905447189815E-4</v>
      </c>
      <c r="K845">
        <f t="shared" si="153"/>
        <v>0</v>
      </c>
      <c r="L845">
        <f t="shared" si="145"/>
        <v>0.37507805767812774</v>
      </c>
      <c r="M845">
        <f>IF(AND(MOD(C845,12)=1,D845&lt;='[1]Product parameters'!$C$2),I844*[1]model_point!$G$2,0)</f>
        <v>0</v>
      </c>
      <c r="N845">
        <f t="shared" si="146"/>
        <v>0</v>
      </c>
      <c r="O845">
        <f>[2]results_sample_product_cf!G844</f>
        <v>0</v>
      </c>
      <c r="P845">
        <f>[2]results_sample_product_cf!H844</f>
        <v>0</v>
      </c>
      <c r="Q845">
        <f t="shared" si="147"/>
        <v>0</v>
      </c>
      <c r="R845">
        <f t="shared" si="143"/>
        <v>0</v>
      </c>
    </row>
    <row r="846" spans="1:18" x14ac:dyDescent="0.3">
      <c r="A846">
        <f t="shared" si="148"/>
        <v>843</v>
      </c>
      <c r="B846">
        <f t="shared" si="149"/>
        <v>71</v>
      </c>
      <c r="C846">
        <f t="shared" si="150"/>
        <v>848</v>
      </c>
      <c r="D846">
        <f t="shared" si="144"/>
        <v>71</v>
      </c>
      <c r="E846">
        <f>[1]model_point!$C$2+D846-1</f>
        <v>75</v>
      </c>
      <c r="F846">
        <f>VLOOKUP(E846,'[1]202512 BE mortality'!$A:$C,3,0)</f>
        <v>3.2258565617946733E-3</v>
      </c>
      <c r="G846">
        <f>VLOOKUP(D846,'[1]202512 BE lapse'!$C:$D,2,0)</f>
        <v>6.8611881639721786E-3</v>
      </c>
      <c r="H846">
        <f>VLOOKUP($B846,'[1]202512 RFR'!$A:$B,2,0)</f>
        <v>1.2E-2</v>
      </c>
      <c r="I846">
        <f t="shared" si="151"/>
        <v>0.94540627540911637</v>
      </c>
      <c r="J846">
        <f t="shared" si="152"/>
        <v>2.5459049524825355E-4</v>
      </c>
      <c r="K846">
        <f t="shared" si="153"/>
        <v>0</v>
      </c>
      <c r="L846">
        <f t="shared" si="145"/>
        <v>0.37470539749720294</v>
      </c>
      <c r="M846">
        <f>IF(AND(MOD(C846,12)=1,D846&lt;='[1]Product parameters'!$C$2),I845*[1]model_point!$G$2,0)</f>
        <v>0</v>
      </c>
      <c r="N846">
        <f t="shared" si="146"/>
        <v>0</v>
      </c>
      <c r="O846">
        <f>[2]results_sample_product_cf!G845</f>
        <v>0</v>
      </c>
      <c r="P846">
        <f>[2]results_sample_product_cf!H845</f>
        <v>0</v>
      </c>
      <c r="Q846">
        <f t="shared" si="147"/>
        <v>0</v>
      </c>
      <c r="R846">
        <f t="shared" si="143"/>
        <v>0</v>
      </c>
    </row>
    <row r="847" spans="1:18" x14ac:dyDescent="0.3">
      <c r="A847">
        <f t="shared" si="148"/>
        <v>844</v>
      </c>
      <c r="B847">
        <f t="shared" si="149"/>
        <v>71</v>
      </c>
      <c r="C847">
        <f t="shared" si="150"/>
        <v>849</v>
      </c>
      <c r="D847">
        <f t="shared" si="144"/>
        <v>71</v>
      </c>
      <c r="E847">
        <f>[1]model_point!$C$2+D847-1</f>
        <v>75</v>
      </c>
      <c r="F847">
        <f>VLOOKUP(E847,'[1]202512 BE mortality'!$A:$C,3,0)</f>
        <v>3.2258565617946733E-3</v>
      </c>
      <c r="G847">
        <f>VLOOKUP(D847,'[1]202512 BE lapse'!$C:$D,2,0)</f>
        <v>6.8611881639721786E-3</v>
      </c>
      <c r="H847">
        <f>VLOOKUP($B847,'[1]202512 RFR'!$A:$B,2,0)</f>
        <v>1.2E-2</v>
      </c>
      <c r="I847">
        <f t="shared" si="151"/>
        <v>0.94515175345463431</v>
      </c>
      <c r="J847">
        <f t="shared" si="152"/>
        <v>2.5452195448209976E-4</v>
      </c>
      <c r="K847">
        <f t="shared" si="153"/>
        <v>0</v>
      </c>
      <c r="L847">
        <f t="shared" si="145"/>
        <v>0.37433310757416877</v>
      </c>
      <c r="M847">
        <f>IF(AND(MOD(C847,12)=1,D847&lt;='[1]Product parameters'!$C$2),I846*[1]model_point!$G$2,0)</f>
        <v>0</v>
      </c>
      <c r="N847">
        <f t="shared" si="146"/>
        <v>0</v>
      </c>
      <c r="O847">
        <f>[2]results_sample_product_cf!G846</f>
        <v>0</v>
      </c>
      <c r="P847">
        <f>[2]results_sample_product_cf!H846</f>
        <v>0</v>
      </c>
      <c r="Q847">
        <f t="shared" si="147"/>
        <v>0</v>
      </c>
      <c r="R847">
        <f t="shared" si="143"/>
        <v>0</v>
      </c>
    </row>
    <row r="848" spans="1:18" x14ac:dyDescent="0.3">
      <c r="A848">
        <f t="shared" si="148"/>
        <v>845</v>
      </c>
      <c r="B848">
        <f t="shared" si="149"/>
        <v>71</v>
      </c>
      <c r="C848">
        <f t="shared" si="150"/>
        <v>850</v>
      </c>
      <c r="D848">
        <f t="shared" si="144"/>
        <v>71</v>
      </c>
      <c r="E848">
        <f>[1]model_point!$C$2+D848-1</f>
        <v>75</v>
      </c>
      <c r="F848">
        <f>VLOOKUP(E848,'[1]202512 BE mortality'!$A:$C,3,0)</f>
        <v>3.2258565617946733E-3</v>
      </c>
      <c r="G848">
        <f>VLOOKUP(D848,'[1]202512 BE lapse'!$C:$D,2,0)</f>
        <v>6.8611881639721786E-3</v>
      </c>
      <c r="H848">
        <f>VLOOKUP($B848,'[1]202512 RFR'!$A:$B,2,0)</f>
        <v>1.2E-2</v>
      </c>
      <c r="I848">
        <f t="shared" si="151"/>
        <v>0.94489730002246586</v>
      </c>
      <c r="J848">
        <f t="shared" si="152"/>
        <v>2.5445343216846765E-4</v>
      </c>
      <c r="K848">
        <f t="shared" si="153"/>
        <v>0</v>
      </c>
      <c r="L848">
        <f t="shared" si="145"/>
        <v>0.37396118754115409</v>
      </c>
      <c r="M848">
        <f>IF(AND(MOD(C848,12)=1,D848&lt;='[1]Product parameters'!$C$2),I847*[1]model_point!$G$2,0)</f>
        <v>0</v>
      </c>
      <c r="N848">
        <f t="shared" si="146"/>
        <v>0</v>
      </c>
      <c r="O848">
        <f>[2]results_sample_product_cf!G847</f>
        <v>0</v>
      </c>
      <c r="P848">
        <f>[2]results_sample_product_cf!H847</f>
        <v>0</v>
      </c>
      <c r="Q848">
        <f t="shared" si="147"/>
        <v>0</v>
      </c>
      <c r="R848">
        <f t="shared" si="143"/>
        <v>0</v>
      </c>
    </row>
    <row r="849" spans="1:18" x14ac:dyDescent="0.3">
      <c r="A849">
        <f t="shared" si="148"/>
        <v>846</v>
      </c>
      <c r="B849">
        <f t="shared" si="149"/>
        <v>71</v>
      </c>
      <c r="C849">
        <f t="shared" si="150"/>
        <v>851</v>
      </c>
      <c r="D849">
        <f t="shared" si="144"/>
        <v>71</v>
      </c>
      <c r="E849">
        <f>[1]model_point!$C$2+D849-1</f>
        <v>75</v>
      </c>
      <c r="F849">
        <f>VLOOKUP(E849,'[1]202512 BE mortality'!$A:$C,3,0)</f>
        <v>3.2258565617946733E-3</v>
      </c>
      <c r="G849">
        <f>VLOOKUP(D849,'[1]202512 BE lapse'!$C:$D,2,0)</f>
        <v>6.8611881639721786E-3</v>
      </c>
      <c r="H849">
        <f>VLOOKUP($B849,'[1]202512 RFR'!$A:$B,2,0)</f>
        <v>1.2E-2</v>
      </c>
      <c r="I849">
        <f t="shared" si="151"/>
        <v>0.94464291509416343</v>
      </c>
      <c r="J849">
        <f t="shared" si="152"/>
        <v>2.5438492830238935E-4</v>
      </c>
      <c r="K849">
        <f t="shared" si="153"/>
        <v>0</v>
      </c>
      <c r="L849">
        <f t="shared" si="145"/>
        <v>0.37358963703065334</v>
      </c>
      <c r="M849">
        <f>IF(AND(MOD(C849,12)=1,D849&lt;='[1]Product parameters'!$C$2),I848*[1]model_point!$G$2,0)</f>
        <v>0</v>
      </c>
      <c r="N849">
        <f t="shared" si="146"/>
        <v>0</v>
      </c>
      <c r="O849">
        <f>[2]results_sample_product_cf!G848</f>
        <v>0</v>
      </c>
      <c r="P849">
        <f>[2]results_sample_product_cf!H848</f>
        <v>0</v>
      </c>
      <c r="Q849">
        <f t="shared" si="147"/>
        <v>0</v>
      </c>
      <c r="R849">
        <f t="shared" si="143"/>
        <v>0</v>
      </c>
    </row>
    <row r="850" spans="1:18" x14ac:dyDescent="0.3">
      <c r="A850">
        <f t="shared" si="148"/>
        <v>847</v>
      </c>
      <c r="B850">
        <f t="shared" si="149"/>
        <v>71</v>
      </c>
      <c r="C850">
        <f t="shared" si="150"/>
        <v>852</v>
      </c>
      <c r="D850">
        <f t="shared" si="144"/>
        <v>71</v>
      </c>
      <c r="E850">
        <f>[1]model_point!$C$2+D850-1</f>
        <v>75</v>
      </c>
      <c r="F850">
        <f>VLOOKUP(E850,'[1]202512 BE mortality'!$A:$C,3,0)</f>
        <v>3.2258565617946733E-3</v>
      </c>
      <c r="G850">
        <f>VLOOKUP(D850,'[1]202512 BE lapse'!$C:$D,2,0)</f>
        <v>6.8611881639721786E-3</v>
      </c>
      <c r="H850">
        <f>VLOOKUP($B850,'[1]202512 RFR'!$A:$B,2,0)</f>
        <v>1.2E-2</v>
      </c>
      <c r="I850">
        <f t="shared" si="151"/>
        <v>0.93790897077602808</v>
      </c>
      <c r="J850">
        <f t="shared" si="152"/>
        <v>2.5431644287889847E-4</v>
      </c>
      <c r="K850">
        <f t="shared" si="153"/>
        <v>6.4796278752564654E-3</v>
      </c>
      <c r="L850">
        <f t="shared" si="145"/>
        <v>0.37321845567552608</v>
      </c>
      <c r="M850">
        <f>IF(AND(MOD(C850,12)=1,D850&lt;='[1]Product parameters'!$C$2),I849*[1]model_point!$G$2,0)</f>
        <v>0</v>
      </c>
      <c r="N850">
        <f t="shared" si="146"/>
        <v>0</v>
      </c>
      <c r="O850">
        <f>[2]results_sample_product_cf!G849</f>
        <v>0</v>
      </c>
      <c r="P850">
        <f>[2]results_sample_product_cf!H849</f>
        <v>0</v>
      </c>
      <c r="Q850">
        <f t="shared" si="147"/>
        <v>0</v>
      </c>
      <c r="R850">
        <f t="shared" si="143"/>
        <v>0</v>
      </c>
    </row>
    <row r="851" spans="1:18" x14ac:dyDescent="0.3">
      <c r="A851">
        <f t="shared" si="148"/>
        <v>848</v>
      </c>
      <c r="B851">
        <f t="shared" si="149"/>
        <v>71</v>
      </c>
      <c r="C851">
        <f t="shared" si="150"/>
        <v>853</v>
      </c>
      <c r="D851">
        <f t="shared" si="144"/>
        <v>72</v>
      </c>
      <c r="E851">
        <f>[1]model_point!$C$2+D851-1</f>
        <v>76</v>
      </c>
      <c r="F851">
        <f>VLOOKUP(E851,'[1]202512 BE mortality'!$A:$C,3,0)</f>
        <v>8.7742454835655712E-3</v>
      </c>
      <c r="G851">
        <f>VLOOKUP(D851,'[1]202512 BE lapse'!$C:$D,2,0)</f>
        <v>3.4035258640153433E-3</v>
      </c>
      <c r="H851">
        <f>VLOOKUP($B851,'[1]202512 RFR'!$A:$B,2,0)</f>
        <v>1.2E-2</v>
      </c>
      <c r="I851">
        <f t="shared" si="151"/>
        <v>0.93722041034136416</v>
      </c>
      <c r="J851">
        <f t="shared" si="152"/>
        <v>6.8856043466390638E-4</v>
      </c>
      <c r="K851">
        <f t="shared" si="153"/>
        <v>0</v>
      </c>
      <c r="L851">
        <f t="shared" si="145"/>
        <v>0.3728476431089966</v>
      </c>
      <c r="M851">
        <f>IF(AND(MOD(C851,12)=1,D851&lt;='[1]Product parameters'!$C$2),I850*[1]model_point!$G$2,0)</f>
        <v>0</v>
      </c>
      <c r="N851">
        <f t="shared" si="146"/>
        <v>0</v>
      </c>
      <c r="O851">
        <f>[2]results_sample_product_cf!G850</f>
        <v>0</v>
      </c>
      <c r="P851">
        <f>[2]results_sample_product_cf!H850</f>
        <v>0</v>
      </c>
      <c r="Q851">
        <f t="shared" si="147"/>
        <v>0</v>
      </c>
      <c r="R851">
        <f t="shared" si="143"/>
        <v>0</v>
      </c>
    </row>
    <row r="852" spans="1:18" x14ac:dyDescent="0.3">
      <c r="A852">
        <f t="shared" si="148"/>
        <v>849</v>
      </c>
      <c r="B852">
        <f t="shared" si="149"/>
        <v>71</v>
      </c>
      <c r="C852">
        <f t="shared" si="150"/>
        <v>854</v>
      </c>
      <c r="D852">
        <f t="shared" si="144"/>
        <v>72</v>
      </c>
      <c r="E852">
        <f>[1]model_point!$C$2+D852-1</f>
        <v>76</v>
      </c>
      <c r="F852">
        <f>VLOOKUP(E852,'[1]202512 BE mortality'!$A:$C,3,0)</f>
        <v>8.7742454835655712E-3</v>
      </c>
      <c r="G852">
        <f>VLOOKUP(D852,'[1]202512 BE lapse'!$C:$D,2,0)</f>
        <v>3.4035258640153433E-3</v>
      </c>
      <c r="H852">
        <f>VLOOKUP($B852,'[1]202512 RFR'!$A:$B,2,0)</f>
        <v>1.2E-2</v>
      </c>
      <c r="I852">
        <f t="shared" si="151"/>
        <v>0.93653235540935242</v>
      </c>
      <c r="J852">
        <f t="shared" si="152"/>
        <v>6.880549320117756E-4</v>
      </c>
      <c r="K852">
        <f t="shared" si="153"/>
        <v>0</v>
      </c>
      <c r="L852">
        <f t="shared" si="145"/>
        <v>0.3724771989646537</v>
      </c>
      <c r="M852">
        <f>IF(AND(MOD(C852,12)=1,D852&lt;='[1]Product parameters'!$C$2),I851*[1]model_point!$G$2,0)</f>
        <v>0</v>
      </c>
      <c r="N852">
        <f t="shared" si="146"/>
        <v>0</v>
      </c>
      <c r="O852">
        <f>[2]results_sample_product_cf!G851</f>
        <v>0</v>
      </c>
      <c r="P852">
        <f>[2]results_sample_product_cf!H851</f>
        <v>0</v>
      </c>
      <c r="Q852">
        <f t="shared" si="147"/>
        <v>0</v>
      </c>
      <c r="R852">
        <f t="shared" si="143"/>
        <v>0</v>
      </c>
    </row>
    <row r="853" spans="1:18" x14ac:dyDescent="0.3">
      <c r="A853">
        <f t="shared" si="148"/>
        <v>850</v>
      </c>
      <c r="B853">
        <f t="shared" si="149"/>
        <v>71</v>
      </c>
      <c r="C853">
        <f t="shared" si="150"/>
        <v>855</v>
      </c>
      <c r="D853">
        <f t="shared" si="144"/>
        <v>72</v>
      </c>
      <c r="E853">
        <f>[1]model_point!$C$2+D853-1</f>
        <v>76</v>
      </c>
      <c r="F853">
        <f>VLOOKUP(E853,'[1]202512 BE mortality'!$A:$C,3,0)</f>
        <v>8.7742454835655712E-3</v>
      </c>
      <c r="G853">
        <f>VLOOKUP(D853,'[1]202512 BE lapse'!$C:$D,2,0)</f>
        <v>3.4035258640153433E-3</v>
      </c>
      <c r="H853">
        <f>VLOOKUP($B853,'[1]202512 RFR'!$A:$B,2,0)</f>
        <v>1.2E-2</v>
      </c>
      <c r="I853">
        <f t="shared" si="151"/>
        <v>0.93584480560888095</v>
      </c>
      <c r="J853">
        <f t="shared" si="152"/>
        <v>6.8754980047148692E-4</v>
      </c>
      <c r="K853">
        <f t="shared" si="153"/>
        <v>0</v>
      </c>
      <c r="L853">
        <f t="shared" si="145"/>
        <v>0.37210712287645009</v>
      </c>
      <c r="M853">
        <f>IF(AND(MOD(C853,12)=1,D853&lt;='[1]Product parameters'!$C$2),I852*[1]model_point!$G$2,0)</f>
        <v>0</v>
      </c>
      <c r="N853">
        <f t="shared" si="146"/>
        <v>0</v>
      </c>
      <c r="O853">
        <f>[2]results_sample_product_cf!G852</f>
        <v>0</v>
      </c>
      <c r="P853">
        <f>[2]results_sample_product_cf!H852</f>
        <v>0</v>
      </c>
      <c r="Q853">
        <f t="shared" si="147"/>
        <v>0</v>
      </c>
      <c r="R853">
        <f t="shared" si="143"/>
        <v>0</v>
      </c>
    </row>
    <row r="854" spans="1:18" x14ac:dyDescent="0.3">
      <c r="A854">
        <f t="shared" si="148"/>
        <v>851</v>
      </c>
      <c r="B854">
        <f t="shared" si="149"/>
        <v>71</v>
      </c>
      <c r="C854">
        <f t="shared" si="150"/>
        <v>856</v>
      </c>
      <c r="D854">
        <f t="shared" si="144"/>
        <v>72</v>
      </c>
      <c r="E854">
        <f>[1]model_point!$C$2+D854-1</f>
        <v>76</v>
      </c>
      <c r="F854">
        <f>VLOOKUP(E854,'[1]202512 BE mortality'!$A:$C,3,0)</f>
        <v>8.7742454835655712E-3</v>
      </c>
      <c r="G854">
        <f>VLOOKUP(D854,'[1]202512 BE lapse'!$C:$D,2,0)</f>
        <v>3.4035258640153433E-3</v>
      </c>
      <c r="H854">
        <f>VLOOKUP($B854,'[1]202512 RFR'!$A:$B,2,0)</f>
        <v>1.2E-2</v>
      </c>
      <c r="I854">
        <f t="shared" si="151"/>
        <v>0.93515776056911037</v>
      </c>
      <c r="J854">
        <f t="shared" si="152"/>
        <v>6.8704503977059074E-4</v>
      </c>
      <c r="K854">
        <f t="shared" si="153"/>
        <v>0</v>
      </c>
      <c r="L854">
        <f t="shared" si="145"/>
        <v>0.37173741447870229</v>
      </c>
      <c r="M854">
        <f>IF(AND(MOD(C854,12)=1,D854&lt;='[1]Product parameters'!$C$2),I853*[1]model_point!$G$2,0)</f>
        <v>0</v>
      </c>
      <c r="N854">
        <f t="shared" si="146"/>
        <v>0</v>
      </c>
      <c r="O854">
        <f>[2]results_sample_product_cf!G853</f>
        <v>0</v>
      </c>
      <c r="P854">
        <f>[2]results_sample_product_cf!H853</f>
        <v>0</v>
      </c>
      <c r="Q854">
        <f t="shared" si="147"/>
        <v>0</v>
      </c>
      <c r="R854">
        <f t="shared" si="143"/>
        <v>0</v>
      </c>
    </row>
    <row r="855" spans="1:18" x14ac:dyDescent="0.3">
      <c r="A855">
        <f t="shared" si="148"/>
        <v>852</v>
      </c>
      <c r="B855">
        <f t="shared" si="149"/>
        <v>71</v>
      </c>
      <c r="C855">
        <f t="shared" si="150"/>
        <v>857</v>
      </c>
      <c r="D855">
        <f t="shared" si="144"/>
        <v>72</v>
      </c>
      <c r="E855">
        <f>[1]model_point!$C$2+D855-1</f>
        <v>76</v>
      </c>
      <c r="F855">
        <f>VLOOKUP(E855,'[1]202512 BE mortality'!$A:$C,3,0)</f>
        <v>8.7742454835655712E-3</v>
      </c>
      <c r="G855">
        <f>VLOOKUP(D855,'[1]202512 BE lapse'!$C:$D,2,0)</f>
        <v>3.4035258640153433E-3</v>
      </c>
      <c r="H855">
        <f>VLOOKUP($B855,'[1]202512 RFR'!$A:$B,2,0)</f>
        <v>1.2E-2</v>
      </c>
      <c r="I855">
        <f t="shared" si="151"/>
        <v>0.93447121991947357</v>
      </c>
      <c r="J855">
        <f t="shared" si="152"/>
        <v>6.8654064963683751E-4</v>
      </c>
      <c r="K855">
        <f t="shared" si="153"/>
        <v>0</v>
      </c>
      <c r="L855">
        <f t="shared" si="145"/>
        <v>0.37136807340609007</v>
      </c>
      <c r="M855">
        <f>IF(AND(MOD(C855,12)=1,D855&lt;='[1]Product parameters'!$C$2),I854*[1]model_point!$G$2,0)</f>
        <v>0</v>
      </c>
      <c r="N855">
        <f t="shared" si="146"/>
        <v>0</v>
      </c>
      <c r="O855">
        <f>[2]results_sample_product_cf!G854</f>
        <v>0</v>
      </c>
      <c r="P855">
        <f>[2]results_sample_product_cf!H854</f>
        <v>0</v>
      </c>
      <c r="Q855">
        <f t="shared" si="147"/>
        <v>0</v>
      </c>
      <c r="R855">
        <f t="shared" si="143"/>
        <v>0</v>
      </c>
    </row>
    <row r="856" spans="1:18" x14ac:dyDescent="0.3">
      <c r="A856">
        <f t="shared" si="148"/>
        <v>853</v>
      </c>
      <c r="B856">
        <f t="shared" si="149"/>
        <v>72</v>
      </c>
      <c r="C856">
        <f t="shared" si="150"/>
        <v>858</v>
      </c>
      <c r="D856">
        <f t="shared" si="144"/>
        <v>72</v>
      </c>
      <c r="E856">
        <f>[1]model_point!$C$2+D856-1</f>
        <v>76</v>
      </c>
      <c r="F856">
        <f>VLOOKUP(E856,'[1]202512 BE mortality'!$A:$C,3,0)</f>
        <v>8.7742454835655712E-3</v>
      </c>
      <c r="G856">
        <f>VLOOKUP(D856,'[1]202512 BE lapse'!$C:$D,2,0)</f>
        <v>3.4035258640153433E-3</v>
      </c>
      <c r="H856">
        <f>VLOOKUP($B856,'[1]202512 RFR'!$A:$B,2,0)</f>
        <v>1.2E-2</v>
      </c>
      <c r="I856">
        <f t="shared" si="151"/>
        <v>0.93378518328967541</v>
      </c>
      <c r="J856">
        <f t="shared" si="152"/>
        <v>6.8603662979817748E-4</v>
      </c>
      <c r="K856">
        <f t="shared" si="153"/>
        <v>0</v>
      </c>
      <c r="L856">
        <f t="shared" si="145"/>
        <v>0.37099909929365621</v>
      </c>
      <c r="M856">
        <f>IF(AND(MOD(C856,12)=1,D856&lt;='[1]Product parameters'!$C$2),I855*[1]model_point!$G$2,0)</f>
        <v>0</v>
      </c>
      <c r="N856">
        <f t="shared" si="146"/>
        <v>0</v>
      </c>
      <c r="O856">
        <f>[2]results_sample_product_cf!G855</f>
        <v>0</v>
      </c>
      <c r="P856">
        <f>[2]results_sample_product_cf!H855</f>
        <v>0</v>
      </c>
      <c r="Q856">
        <f t="shared" si="147"/>
        <v>0</v>
      </c>
      <c r="R856">
        <f t="shared" si="143"/>
        <v>0</v>
      </c>
    </row>
    <row r="857" spans="1:18" x14ac:dyDescent="0.3">
      <c r="A857">
        <f t="shared" si="148"/>
        <v>854</v>
      </c>
      <c r="B857">
        <f t="shared" si="149"/>
        <v>72</v>
      </c>
      <c r="C857">
        <f t="shared" si="150"/>
        <v>859</v>
      </c>
      <c r="D857">
        <f t="shared" si="144"/>
        <v>72</v>
      </c>
      <c r="E857">
        <f>[1]model_point!$C$2+D857-1</f>
        <v>76</v>
      </c>
      <c r="F857">
        <f>VLOOKUP(E857,'[1]202512 BE mortality'!$A:$C,3,0)</f>
        <v>8.7742454835655712E-3</v>
      </c>
      <c r="G857">
        <f>VLOOKUP(D857,'[1]202512 BE lapse'!$C:$D,2,0)</f>
        <v>3.4035258640153433E-3</v>
      </c>
      <c r="H857">
        <f>VLOOKUP($B857,'[1]202512 RFR'!$A:$B,2,0)</f>
        <v>1.2E-2</v>
      </c>
      <c r="I857">
        <f t="shared" si="151"/>
        <v>0.93309965030969266</v>
      </c>
      <c r="J857">
        <f t="shared" si="152"/>
        <v>6.8553297998276061E-4</v>
      </c>
      <c r="K857">
        <f t="shared" si="153"/>
        <v>0</v>
      </c>
      <c r="L857">
        <f t="shared" si="145"/>
        <v>0.37063049177680607</v>
      </c>
      <c r="M857">
        <f>IF(AND(MOD(C857,12)=1,D857&lt;='[1]Product parameters'!$C$2),I856*[1]model_point!$G$2,0)</f>
        <v>0</v>
      </c>
      <c r="N857">
        <f t="shared" si="146"/>
        <v>0</v>
      </c>
      <c r="O857">
        <f>[2]results_sample_product_cf!G856</f>
        <v>0</v>
      </c>
      <c r="P857">
        <f>[2]results_sample_product_cf!H856</f>
        <v>0</v>
      </c>
      <c r="Q857">
        <f t="shared" si="147"/>
        <v>0</v>
      </c>
      <c r="R857">
        <f t="shared" si="143"/>
        <v>0</v>
      </c>
    </row>
    <row r="858" spans="1:18" x14ac:dyDescent="0.3">
      <c r="A858">
        <f t="shared" si="148"/>
        <v>855</v>
      </c>
      <c r="B858">
        <f t="shared" si="149"/>
        <v>72</v>
      </c>
      <c r="C858">
        <f t="shared" si="150"/>
        <v>860</v>
      </c>
      <c r="D858">
        <f t="shared" si="144"/>
        <v>72</v>
      </c>
      <c r="E858">
        <f>[1]model_point!$C$2+D858-1</f>
        <v>76</v>
      </c>
      <c r="F858">
        <f>VLOOKUP(E858,'[1]202512 BE mortality'!$A:$C,3,0)</f>
        <v>8.7742454835655712E-3</v>
      </c>
      <c r="G858">
        <f>VLOOKUP(D858,'[1]202512 BE lapse'!$C:$D,2,0)</f>
        <v>3.4035258640153433E-3</v>
      </c>
      <c r="H858">
        <f>VLOOKUP($B858,'[1]202512 RFR'!$A:$B,2,0)</f>
        <v>1.2E-2</v>
      </c>
      <c r="I858">
        <f t="shared" si="151"/>
        <v>0.93241462060977376</v>
      </c>
      <c r="J858">
        <f t="shared" si="152"/>
        <v>6.8502969991893648E-4</v>
      </c>
      <c r="K858">
        <f t="shared" si="153"/>
        <v>0</v>
      </c>
      <c r="L858">
        <f t="shared" si="145"/>
        <v>0.37026225049130729</v>
      </c>
      <c r="M858">
        <f>IF(AND(MOD(C858,12)=1,D858&lt;='[1]Product parameters'!$C$2),I857*[1]model_point!$G$2,0)</f>
        <v>0</v>
      </c>
      <c r="N858">
        <f t="shared" si="146"/>
        <v>0</v>
      </c>
      <c r="O858">
        <f>[2]results_sample_product_cf!G857</f>
        <v>0</v>
      </c>
      <c r="P858">
        <f>[2]results_sample_product_cf!H857</f>
        <v>0</v>
      </c>
      <c r="Q858">
        <f t="shared" si="147"/>
        <v>0</v>
      </c>
      <c r="R858">
        <f t="shared" si="143"/>
        <v>0</v>
      </c>
    </row>
    <row r="859" spans="1:18" x14ac:dyDescent="0.3">
      <c r="A859">
        <f t="shared" si="148"/>
        <v>856</v>
      </c>
      <c r="B859">
        <f t="shared" si="149"/>
        <v>72</v>
      </c>
      <c r="C859">
        <f t="shared" si="150"/>
        <v>861</v>
      </c>
      <c r="D859">
        <f t="shared" si="144"/>
        <v>72</v>
      </c>
      <c r="E859">
        <f>[1]model_point!$C$2+D859-1</f>
        <v>76</v>
      </c>
      <c r="F859">
        <f>VLOOKUP(E859,'[1]202512 BE mortality'!$A:$C,3,0)</f>
        <v>8.7742454835655712E-3</v>
      </c>
      <c r="G859">
        <f>VLOOKUP(D859,'[1]202512 BE lapse'!$C:$D,2,0)</f>
        <v>3.4035258640153433E-3</v>
      </c>
      <c r="H859">
        <f>VLOOKUP($B859,'[1]202512 RFR'!$A:$B,2,0)</f>
        <v>1.2E-2</v>
      </c>
      <c r="I859">
        <f t="shared" si="151"/>
        <v>0.93173009382043848</v>
      </c>
      <c r="J859">
        <f t="shared" si="152"/>
        <v>6.8452678933525414E-4</v>
      </c>
      <c r="K859">
        <f t="shared" si="153"/>
        <v>0</v>
      </c>
      <c r="L859">
        <f t="shared" si="145"/>
        <v>0.36989437507328932</v>
      </c>
      <c r="M859">
        <f>IF(AND(MOD(C859,12)=1,D859&lt;='[1]Product parameters'!$C$2),I858*[1]model_point!$G$2,0)</f>
        <v>0</v>
      </c>
      <c r="N859">
        <f t="shared" si="146"/>
        <v>0</v>
      </c>
      <c r="O859">
        <f>[2]results_sample_product_cf!G858</f>
        <v>0</v>
      </c>
      <c r="P859">
        <f>[2]results_sample_product_cf!H858</f>
        <v>0</v>
      </c>
      <c r="Q859">
        <f t="shared" si="147"/>
        <v>0</v>
      </c>
      <c r="R859">
        <f t="shared" si="143"/>
        <v>0</v>
      </c>
    </row>
    <row r="860" spans="1:18" x14ac:dyDescent="0.3">
      <c r="A860">
        <f t="shared" si="148"/>
        <v>857</v>
      </c>
      <c r="B860">
        <f t="shared" si="149"/>
        <v>72</v>
      </c>
      <c r="C860">
        <f t="shared" si="150"/>
        <v>862</v>
      </c>
      <c r="D860">
        <f t="shared" si="144"/>
        <v>72</v>
      </c>
      <c r="E860">
        <f>[1]model_point!$C$2+D860-1</f>
        <v>76</v>
      </c>
      <c r="F860">
        <f>VLOOKUP(E860,'[1]202512 BE mortality'!$A:$C,3,0)</f>
        <v>8.7742454835655712E-3</v>
      </c>
      <c r="G860">
        <f>VLOOKUP(D860,'[1]202512 BE lapse'!$C:$D,2,0)</f>
        <v>3.4035258640153433E-3</v>
      </c>
      <c r="H860">
        <f>VLOOKUP($B860,'[1]202512 RFR'!$A:$B,2,0)</f>
        <v>1.2E-2</v>
      </c>
      <c r="I860">
        <f t="shared" si="151"/>
        <v>0.93104606957247804</v>
      </c>
      <c r="J860">
        <f t="shared" si="152"/>
        <v>6.8402424796046193E-4</v>
      </c>
      <c r="K860">
        <f t="shared" si="153"/>
        <v>0</v>
      </c>
      <c r="L860">
        <f t="shared" si="145"/>
        <v>0.36952686515924321</v>
      </c>
      <c r="M860">
        <f>IF(AND(MOD(C860,12)=1,D860&lt;='[1]Product parameters'!$C$2),I859*[1]model_point!$G$2,0)</f>
        <v>0</v>
      </c>
      <c r="N860">
        <f t="shared" si="146"/>
        <v>0</v>
      </c>
      <c r="O860">
        <f>[2]results_sample_product_cf!G859</f>
        <v>0</v>
      </c>
      <c r="P860">
        <f>[2]results_sample_product_cf!H859</f>
        <v>0</v>
      </c>
      <c r="Q860">
        <f t="shared" si="147"/>
        <v>0</v>
      </c>
      <c r="R860">
        <f t="shared" si="143"/>
        <v>0</v>
      </c>
    </row>
    <row r="861" spans="1:18" x14ac:dyDescent="0.3">
      <c r="A861">
        <f t="shared" si="148"/>
        <v>858</v>
      </c>
      <c r="B861">
        <f t="shared" si="149"/>
        <v>72</v>
      </c>
      <c r="C861">
        <f t="shared" si="150"/>
        <v>863</v>
      </c>
      <c r="D861">
        <f t="shared" si="144"/>
        <v>72</v>
      </c>
      <c r="E861">
        <f>[1]model_point!$C$2+D861-1</f>
        <v>76</v>
      </c>
      <c r="F861">
        <f>VLOOKUP(E861,'[1]202512 BE mortality'!$A:$C,3,0)</f>
        <v>8.7742454835655712E-3</v>
      </c>
      <c r="G861">
        <f>VLOOKUP(D861,'[1]202512 BE lapse'!$C:$D,2,0)</f>
        <v>3.4035258640153433E-3</v>
      </c>
      <c r="H861">
        <f>VLOOKUP($B861,'[1]202512 RFR'!$A:$B,2,0)</f>
        <v>1.2E-2</v>
      </c>
      <c r="I861">
        <f t="shared" si="151"/>
        <v>0.93036254749695457</v>
      </c>
      <c r="J861">
        <f t="shared" si="152"/>
        <v>6.8352207552350715E-4</v>
      </c>
      <c r="K861">
        <f t="shared" si="153"/>
        <v>0</v>
      </c>
      <c r="L861">
        <f t="shared" si="145"/>
        <v>0.36915972038602113</v>
      </c>
      <c r="M861">
        <f>IF(AND(MOD(C861,12)=1,D861&lt;='[1]Product parameters'!$C$2),I860*[1]model_point!$G$2,0)</f>
        <v>0</v>
      </c>
      <c r="N861">
        <f t="shared" si="146"/>
        <v>0</v>
      </c>
      <c r="O861">
        <f>[2]results_sample_product_cf!G860</f>
        <v>0</v>
      </c>
      <c r="P861">
        <f>[2]results_sample_product_cf!H860</f>
        <v>0</v>
      </c>
      <c r="Q861">
        <f t="shared" si="147"/>
        <v>0</v>
      </c>
      <c r="R861">
        <f t="shared" si="143"/>
        <v>0</v>
      </c>
    </row>
    <row r="862" spans="1:18" x14ac:dyDescent="0.3">
      <c r="A862">
        <f t="shared" si="148"/>
        <v>859</v>
      </c>
      <c r="B862">
        <f t="shared" si="149"/>
        <v>72</v>
      </c>
      <c r="C862">
        <f t="shared" si="150"/>
        <v>864</v>
      </c>
      <c r="D862">
        <f t="shared" si="144"/>
        <v>72</v>
      </c>
      <c r="E862">
        <f>[1]model_point!$C$2+D862-1</f>
        <v>76</v>
      </c>
      <c r="F862">
        <f>VLOOKUP(E862,'[1]202512 BE mortality'!$A:$C,3,0)</f>
        <v>8.7742454835655712E-3</v>
      </c>
      <c r="G862">
        <f>VLOOKUP(D862,'[1]202512 BE lapse'!$C:$D,2,0)</f>
        <v>3.4035258640153433E-3</v>
      </c>
      <c r="H862">
        <f>VLOOKUP($B862,'[1]202512 RFR'!$A:$B,2,0)</f>
        <v>1.2E-2</v>
      </c>
      <c r="I862">
        <f t="shared" si="151"/>
        <v>0.92651533890904458</v>
      </c>
      <c r="J862">
        <f t="shared" si="152"/>
        <v>6.8302027175353645E-4</v>
      </c>
      <c r="K862">
        <f t="shared" si="153"/>
        <v>3.1641883161565285E-3</v>
      </c>
      <c r="L862">
        <f t="shared" si="145"/>
        <v>0.3687929403908361</v>
      </c>
      <c r="M862">
        <f>IF(AND(MOD(C862,12)=1,D862&lt;='[1]Product parameters'!$C$2),I861*[1]model_point!$G$2,0)</f>
        <v>0</v>
      </c>
      <c r="N862">
        <f t="shared" si="146"/>
        <v>0</v>
      </c>
      <c r="O862">
        <f>[2]results_sample_product_cf!G861</f>
        <v>0</v>
      </c>
      <c r="P862">
        <f>[2]results_sample_product_cf!H861</f>
        <v>0</v>
      </c>
      <c r="Q862">
        <f t="shared" si="147"/>
        <v>0</v>
      </c>
      <c r="R862">
        <f t="shared" si="143"/>
        <v>0</v>
      </c>
    </row>
    <row r="863" spans="1:18" x14ac:dyDescent="0.3">
      <c r="A863">
        <f t="shared" si="148"/>
        <v>860</v>
      </c>
      <c r="B863">
        <f t="shared" si="149"/>
        <v>72</v>
      </c>
      <c r="C863">
        <f t="shared" si="150"/>
        <v>865</v>
      </c>
      <c r="D863">
        <f t="shared" si="144"/>
        <v>73</v>
      </c>
      <c r="E863">
        <f>[1]model_point!$C$2+D863-1</f>
        <v>77</v>
      </c>
      <c r="F863">
        <f>VLOOKUP(E863,'[1]202512 BE mortality'!$A:$C,3,0)</f>
        <v>5.8962720293262102E-4</v>
      </c>
      <c r="G863">
        <f>VLOOKUP(D863,'[1]202512 BE lapse'!$C:$D,2,0)</f>
        <v>3.6801077843296127E-3</v>
      </c>
      <c r="H863">
        <f>VLOOKUP($B863,'[1]202512 RFR'!$A:$B,2,0)</f>
        <v>1.2E-2</v>
      </c>
      <c r="I863">
        <f t="shared" si="151"/>
        <v>0.92646980171418547</v>
      </c>
      <c r="J863">
        <f t="shared" si="152"/>
        <v>4.5537194859156291E-5</v>
      </c>
      <c r="K863">
        <f t="shared" si="153"/>
        <v>0</v>
      </c>
      <c r="L863">
        <f t="shared" si="145"/>
        <v>0.36842652481126154</v>
      </c>
      <c r="M863">
        <f>IF(AND(MOD(C863,12)=1,D863&lt;='[1]Product parameters'!$C$2),I862*[1]model_point!$G$2,0)</f>
        <v>0</v>
      </c>
      <c r="N863">
        <f t="shared" si="146"/>
        <v>0</v>
      </c>
      <c r="O863">
        <f>[2]results_sample_product_cf!G862</f>
        <v>0</v>
      </c>
      <c r="P863">
        <f>[2]results_sample_product_cf!H862</f>
        <v>0</v>
      </c>
      <c r="Q863">
        <f t="shared" si="147"/>
        <v>0</v>
      </c>
      <c r="R863">
        <f t="shared" si="143"/>
        <v>0</v>
      </c>
    </row>
    <row r="864" spans="1:18" x14ac:dyDescent="0.3">
      <c r="A864">
        <f t="shared" si="148"/>
        <v>861</v>
      </c>
      <c r="B864">
        <f t="shared" si="149"/>
        <v>72</v>
      </c>
      <c r="C864">
        <f t="shared" si="150"/>
        <v>866</v>
      </c>
      <c r="D864">
        <f t="shared" si="144"/>
        <v>73</v>
      </c>
      <c r="E864">
        <f>[1]model_point!$C$2+D864-1</f>
        <v>77</v>
      </c>
      <c r="F864">
        <f>VLOOKUP(E864,'[1]202512 BE mortality'!$A:$C,3,0)</f>
        <v>5.8962720293262102E-4</v>
      </c>
      <c r="G864">
        <f>VLOOKUP(D864,'[1]202512 BE lapse'!$C:$D,2,0)</f>
        <v>3.6801077843296127E-3</v>
      </c>
      <c r="H864">
        <f>VLOOKUP($B864,'[1]202512 RFR'!$A:$B,2,0)</f>
        <v>1.2E-2</v>
      </c>
      <c r="I864">
        <f t="shared" si="151"/>
        <v>0.92642426675742862</v>
      </c>
      <c r="J864">
        <f t="shared" si="152"/>
        <v>4.5534956756851284E-5</v>
      </c>
      <c r="K864">
        <f t="shared" si="153"/>
        <v>0</v>
      </c>
      <c r="L864">
        <f t="shared" si="145"/>
        <v>0.368060473285231</v>
      </c>
      <c r="M864">
        <f>IF(AND(MOD(C864,12)=1,D864&lt;='[1]Product parameters'!$C$2),I863*[1]model_point!$G$2,0)</f>
        <v>0</v>
      </c>
      <c r="N864">
        <f t="shared" si="146"/>
        <v>0</v>
      </c>
      <c r="O864">
        <f>[2]results_sample_product_cf!G863</f>
        <v>0</v>
      </c>
      <c r="P864">
        <f>[2]results_sample_product_cf!H863</f>
        <v>0</v>
      </c>
      <c r="Q864">
        <f t="shared" si="147"/>
        <v>0</v>
      </c>
      <c r="R864">
        <f t="shared" si="143"/>
        <v>0</v>
      </c>
    </row>
    <row r="865" spans="1:18" x14ac:dyDescent="0.3">
      <c r="A865">
        <f t="shared" si="148"/>
        <v>862</v>
      </c>
      <c r="B865">
        <f t="shared" si="149"/>
        <v>72</v>
      </c>
      <c r="C865">
        <f t="shared" si="150"/>
        <v>867</v>
      </c>
      <c r="D865">
        <f t="shared" si="144"/>
        <v>73</v>
      </c>
      <c r="E865">
        <f>[1]model_point!$C$2+D865-1</f>
        <v>77</v>
      </c>
      <c r="F865">
        <f>VLOOKUP(E865,'[1]202512 BE mortality'!$A:$C,3,0)</f>
        <v>5.8962720293262102E-4</v>
      </c>
      <c r="G865">
        <f>VLOOKUP(D865,'[1]202512 BE lapse'!$C:$D,2,0)</f>
        <v>3.6801077843296127E-3</v>
      </c>
      <c r="H865">
        <f>VLOOKUP($B865,'[1]202512 RFR'!$A:$B,2,0)</f>
        <v>1.2E-2</v>
      </c>
      <c r="I865">
        <f t="shared" si="151"/>
        <v>0.92637873403866411</v>
      </c>
      <c r="J865">
        <f t="shared" si="152"/>
        <v>4.5532718764546502E-5</v>
      </c>
      <c r="K865">
        <f t="shared" si="153"/>
        <v>0</v>
      </c>
      <c r="L865">
        <f t="shared" si="145"/>
        <v>0.36769478545103773</v>
      </c>
      <c r="M865">
        <f>IF(AND(MOD(C865,12)=1,D865&lt;='[1]Product parameters'!$C$2),I864*[1]model_point!$G$2,0)</f>
        <v>0</v>
      </c>
      <c r="N865">
        <f t="shared" si="146"/>
        <v>0</v>
      </c>
      <c r="O865">
        <f>[2]results_sample_product_cf!G864</f>
        <v>0</v>
      </c>
      <c r="P865">
        <f>[2]results_sample_product_cf!H864</f>
        <v>0</v>
      </c>
      <c r="Q865">
        <f t="shared" si="147"/>
        <v>0</v>
      </c>
      <c r="R865">
        <f t="shared" si="143"/>
        <v>0</v>
      </c>
    </row>
    <row r="866" spans="1:18" x14ac:dyDescent="0.3">
      <c r="A866">
        <f t="shared" si="148"/>
        <v>863</v>
      </c>
      <c r="B866">
        <f t="shared" si="149"/>
        <v>72</v>
      </c>
      <c r="C866">
        <f t="shared" si="150"/>
        <v>868</v>
      </c>
      <c r="D866">
        <f t="shared" si="144"/>
        <v>73</v>
      </c>
      <c r="E866">
        <f>[1]model_point!$C$2+D866-1</f>
        <v>77</v>
      </c>
      <c r="F866">
        <f>VLOOKUP(E866,'[1]202512 BE mortality'!$A:$C,3,0)</f>
        <v>5.8962720293262102E-4</v>
      </c>
      <c r="G866">
        <f>VLOOKUP(D866,'[1]202512 BE lapse'!$C:$D,2,0)</f>
        <v>3.6801077843296127E-3</v>
      </c>
      <c r="H866">
        <f>VLOOKUP($B866,'[1]202512 RFR'!$A:$B,2,0)</f>
        <v>1.2E-2</v>
      </c>
      <c r="I866">
        <f t="shared" si="151"/>
        <v>0.92633320355778193</v>
      </c>
      <c r="J866">
        <f t="shared" si="152"/>
        <v>4.553048088223655E-5</v>
      </c>
      <c r="K866">
        <f t="shared" si="153"/>
        <v>0</v>
      </c>
      <c r="L866">
        <f t="shared" si="145"/>
        <v>0.36732946094733437</v>
      </c>
      <c r="M866">
        <f>IF(AND(MOD(C866,12)=1,D866&lt;='[1]Product parameters'!$C$2),I865*[1]model_point!$G$2,0)</f>
        <v>0</v>
      </c>
      <c r="N866">
        <f t="shared" si="146"/>
        <v>0</v>
      </c>
      <c r="O866">
        <f>[2]results_sample_product_cf!G865</f>
        <v>0</v>
      </c>
      <c r="P866">
        <f>[2]results_sample_product_cf!H865</f>
        <v>0</v>
      </c>
      <c r="Q866">
        <f t="shared" si="147"/>
        <v>0</v>
      </c>
      <c r="R866">
        <f t="shared" si="143"/>
        <v>0</v>
      </c>
    </row>
    <row r="867" spans="1:18" x14ac:dyDescent="0.3">
      <c r="A867">
        <f t="shared" si="148"/>
        <v>864</v>
      </c>
      <c r="B867">
        <f t="shared" si="149"/>
        <v>72</v>
      </c>
      <c r="C867">
        <f t="shared" si="150"/>
        <v>869</v>
      </c>
      <c r="D867">
        <f t="shared" si="144"/>
        <v>73</v>
      </c>
      <c r="E867">
        <f>[1]model_point!$C$2+D867-1</f>
        <v>77</v>
      </c>
      <c r="F867">
        <f>VLOOKUP(E867,'[1]202512 BE mortality'!$A:$C,3,0)</f>
        <v>5.8962720293262102E-4</v>
      </c>
      <c r="G867">
        <f>VLOOKUP(D867,'[1]202512 BE lapse'!$C:$D,2,0)</f>
        <v>3.6801077843296127E-3</v>
      </c>
      <c r="H867">
        <f>VLOOKUP($B867,'[1]202512 RFR'!$A:$B,2,0)</f>
        <v>1.2E-2</v>
      </c>
      <c r="I867">
        <f t="shared" si="151"/>
        <v>0.92628767531467204</v>
      </c>
      <c r="J867">
        <f t="shared" si="152"/>
        <v>4.552824310991601E-5</v>
      </c>
      <c r="K867">
        <f t="shared" si="153"/>
        <v>0</v>
      </c>
      <c r="L867">
        <f t="shared" si="145"/>
        <v>0.36696449941313258</v>
      </c>
      <c r="M867">
        <f>IF(AND(MOD(C867,12)=1,D867&lt;='[1]Product parameters'!$C$2),I866*[1]model_point!$G$2,0)</f>
        <v>0</v>
      </c>
      <c r="N867">
        <f t="shared" si="146"/>
        <v>0</v>
      </c>
      <c r="O867">
        <f>[2]results_sample_product_cf!G866</f>
        <v>0</v>
      </c>
      <c r="P867">
        <f>[2]results_sample_product_cf!H866</f>
        <v>0</v>
      </c>
      <c r="Q867">
        <f t="shared" si="147"/>
        <v>0</v>
      </c>
      <c r="R867">
        <f t="shared" si="143"/>
        <v>0</v>
      </c>
    </row>
    <row r="868" spans="1:18" x14ac:dyDescent="0.3">
      <c r="A868">
        <f t="shared" si="148"/>
        <v>865</v>
      </c>
      <c r="B868">
        <f t="shared" si="149"/>
        <v>73</v>
      </c>
      <c r="C868">
        <f t="shared" si="150"/>
        <v>870</v>
      </c>
      <c r="D868">
        <f t="shared" si="144"/>
        <v>73</v>
      </c>
      <c r="E868">
        <f>[1]model_point!$C$2+D868-1</f>
        <v>77</v>
      </c>
      <c r="F868">
        <f>VLOOKUP(E868,'[1]202512 BE mortality'!$A:$C,3,0)</f>
        <v>5.8962720293262102E-4</v>
      </c>
      <c r="G868">
        <f>VLOOKUP(D868,'[1]202512 BE lapse'!$C:$D,2,0)</f>
        <v>3.6801077843296127E-3</v>
      </c>
      <c r="H868">
        <f>VLOOKUP($B868,'[1]202512 RFR'!$A:$B,2,0)</f>
        <v>1.2E-2</v>
      </c>
      <c r="I868">
        <f t="shared" si="151"/>
        <v>0.92624214930922444</v>
      </c>
      <c r="J868">
        <f t="shared" si="152"/>
        <v>4.5526005447579485E-5</v>
      </c>
      <c r="K868">
        <f t="shared" si="153"/>
        <v>0</v>
      </c>
      <c r="L868">
        <f t="shared" si="145"/>
        <v>0.36659990048780267</v>
      </c>
      <c r="M868">
        <f>IF(AND(MOD(C868,12)=1,D868&lt;='[1]Product parameters'!$C$2),I867*[1]model_point!$G$2,0)</f>
        <v>0</v>
      </c>
      <c r="N868">
        <f t="shared" si="146"/>
        <v>0</v>
      </c>
      <c r="O868">
        <f>[2]results_sample_product_cf!G867</f>
        <v>0</v>
      </c>
      <c r="P868">
        <f>[2]results_sample_product_cf!H867</f>
        <v>0</v>
      </c>
      <c r="Q868">
        <f t="shared" si="147"/>
        <v>0</v>
      </c>
      <c r="R868">
        <f t="shared" si="143"/>
        <v>0</v>
      </c>
    </row>
    <row r="869" spans="1:18" x14ac:dyDescent="0.3">
      <c r="A869">
        <f t="shared" si="148"/>
        <v>866</v>
      </c>
      <c r="B869">
        <f t="shared" si="149"/>
        <v>73</v>
      </c>
      <c r="C869">
        <f t="shared" si="150"/>
        <v>871</v>
      </c>
      <c r="D869">
        <f t="shared" si="144"/>
        <v>73</v>
      </c>
      <c r="E869">
        <f>[1]model_point!$C$2+D869-1</f>
        <v>77</v>
      </c>
      <c r="F869">
        <f>VLOOKUP(E869,'[1]202512 BE mortality'!$A:$C,3,0)</f>
        <v>5.8962720293262102E-4</v>
      </c>
      <c r="G869">
        <f>VLOOKUP(D869,'[1]202512 BE lapse'!$C:$D,2,0)</f>
        <v>3.6801077843296127E-3</v>
      </c>
      <c r="H869">
        <f>VLOOKUP($B869,'[1]202512 RFR'!$A:$B,2,0)</f>
        <v>1.2E-2</v>
      </c>
      <c r="I869">
        <f t="shared" si="151"/>
        <v>0.9261966255413292</v>
      </c>
      <c r="J869">
        <f t="shared" si="152"/>
        <v>4.5523767895221562E-5</v>
      </c>
      <c r="K869">
        <f t="shared" si="153"/>
        <v>0</v>
      </c>
      <c r="L869">
        <f t="shared" si="145"/>
        <v>0.36623566381107325</v>
      </c>
      <c r="M869">
        <f>IF(AND(MOD(C869,12)=1,D869&lt;='[1]Product parameters'!$C$2),I868*[1]model_point!$G$2,0)</f>
        <v>0</v>
      </c>
      <c r="N869">
        <f t="shared" si="146"/>
        <v>0</v>
      </c>
      <c r="O869">
        <f>[2]results_sample_product_cf!G868</f>
        <v>0</v>
      </c>
      <c r="P869">
        <f>[2]results_sample_product_cf!H868</f>
        <v>0</v>
      </c>
      <c r="Q869">
        <f t="shared" si="147"/>
        <v>0</v>
      </c>
      <c r="R869">
        <f t="shared" si="143"/>
        <v>0</v>
      </c>
    </row>
    <row r="870" spans="1:18" x14ac:dyDescent="0.3">
      <c r="A870">
        <f t="shared" si="148"/>
        <v>867</v>
      </c>
      <c r="B870">
        <f t="shared" si="149"/>
        <v>73</v>
      </c>
      <c r="C870">
        <f t="shared" si="150"/>
        <v>872</v>
      </c>
      <c r="D870">
        <f t="shared" si="144"/>
        <v>73</v>
      </c>
      <c r="E870">
        <f>[1]model_point!$C$2+D870-1</f>
        <v>77</v>
      </c>
      <c r="F870">
        <f>VLOOKUP(E870,'[1]202512 BE mortality'!$A:$C,3,0)</f>
        <v>5.8962720293262102E-4</v>
      </c>
      <c r="G870">
        <f>VLOOKUP(D870,'[1]202512 BE lapse'!$C:$D,2,0)</f>
        <v>3.6801077843296127E-3</v>
      </c>
      <c r="H870">
        <f>VLOOKUP($B870,'[1]202512 RFR'!$A:$B,2,0)</f>
        <v>1.2E-2</v>
      </c>
      <c r="I870">
        <f t="shared" si="151"/>
        <v>0.92615110401087641</v>
      </c>
      <c r="J870">
        <f t="shared" si="152"/>
        <v>4.5521530452836841E-5</v>
      </c>
      <c r="K870">
        <f t="shared" si="153"/>
        <v>0</v>
      </c>
      <c r="L870">
        <f t="shared" si="145"/>
        <v>0.36587178902303097</v>
      </c>
      <c r="M870">
        <f>IF(AND(MOD(C870,12)=1,D870&lt;='[1]Product parameters'!$C$2),I869*[1]model_point!$G$2,0)</f>
        <v>0</v>
      </c>
      <c r="N870">
        <f t="shared" si="146"/>
        <v>0</v>
      </c>
      <c r="O870">
        <f>[2]results_sample_product_cf!G869</f>
        <v>0</v>
      </c>
      <c r="P870">
        <f>[2]results_sample_product_cf!H869</f>
        <v>0</v>
      </c>
      <c r="Q870">
        <f t="shared" si="147"/>
        <v>0</v>
      </c>
      <c r="R870">
        <f t="shared" si="143"/>
        <v>0</v>
      </c>
    </row>
    <row r="871" spans="1:18" x14ac:dyDescent="0.3">
      <c r="A871">
        <f t="shared" si="148"/>
        <v>868</v>
      </c>
      <c r="B871">
        <f t="shared" si="149"/>
        <v>73</v>
      </c>
      <c r="C871">
        <f t="shared" si="150"/>
        <v>873</v>
      </c>
      <c r="D871">
        <f t="shared" si="144"/>
        <v>73</v>
      </c>
      <c r="E871">
        <f>[1]model_point!$C$2+D871-1</f>
        <v>77</v>
      </c>
      <c r="F871">
        <f>VLOOKUP(E871,'[1]202512 BE mortality'!$A:$C,3,0)</f>
        <v>5.8962720293262102E-4</v>
      </c>
      <c r="G871">
        <f>VLOOKUP(D871,'[1]202512 BE lapse'!$C:$D,2,0)</f>
        <v>3.6801077843296127E-3</v>
      </c>
      <c r="H871">
        <f>VLOOKUP($B871,'[1]202512 RFR'!$A:$B,2,0)</f>
        <v>1.2E-2</v>
      </c>
      <c r="I871">
        <f t="shared" si="151"/>
        <v>0.92610558471775595</v>
      </c>
      <c r="J871">
        <f t="shared" si="152"/>
        <v>4.551929312041992E-5</v>
      </c>
      <c r="K871">
        <f t="shared" si="153"/>
        <v>0</v>
      </c>
      <c r="L871">
        <f t="shared" si="145"/>
        <v>0.36550827576411993</v>
      </c>
      <c r="M871">
        <f>IF(AND(MOD(C871,12)=1,D871&lt;='[1]Product parameters'!$C$2),I870*[1]model_point!$G$2,0)</f>
        <v>0</v>
      </c>
      <c r="N871">
        <f t="shared" si="146"/>
        <v>0</v>
      </c>
      <c r="O871">
        <f>[2]results_sample_product_cf!G870</f>
        <v>0</v>
      </c>
      <c r="P871">
        <f>[2]results_sample_product_cf!H870</f>
        <v>0</v>
      </c>
      <c r="Q871">
        <f t="shared" si="147"/>
        <v>0</v>
      </c>
      <c r="R871">
        <f t="shared" si="143"/>
        <v>0</v>
      </c>
    </row>
    <row r="872" spans="1:18" x14ac:dyDescent="0.3">
      <c r="A872">
        <f t="shared" si="148"/>
        <v>869</v>
      </c>
      <c r="B872">
        <f t="shared" si="149"/>
        <v>73</v>
      </c>
      <c r="C872">
        <f t="shared" si="150"/>
        <v>874</v>
      </c>
      <c r="D872">
        <f t="shared" si="144"/>
        <v>73</v>
      </c>
      <c r="E872">
        <f>[1]model_point!$C$2+D872-1</f>
        <v>77</v>
      </c>
      <c r="F872">
        <f>VLOOKUP(E872,'[1]202512 BE mortality'!$A:$C,3,0)</f>
        <v>5.8962720293262102E-4</v>
      </c>
      <c r="G872">
        <f>VLOOKUP(D872,'[1]202512 BE lapse'!$C:$D,2,0)</f>
        <v>3.6801077843296127E-3</v>
      </c>
      <c r="H872">
        <f>VLOOKUP($B872,'[1]202512 RFR'!$A:$B,2,0)</f>
        <v>1.2E-2</v>
      </c>
      <c r="I872">
        <f t="shared" si="151"/>
        <v>0.926060067661858</v>
      </c>
      <c r="J872">
        <f t="shared" si="152"/>
        <v>4.5517055897965386E-5</v>
      </c>
      <c r="K872">
        <f t="shared" si="153"/>
        <v>0</v>
      </c>
      <c r="L872">
        <f t="shared" si="145"/>
        <v>0.36514512367514157</v>
      </c>
      <c r="M872">
        <f>IF(AND(MOD(C872,12)=1,D872&lt;='[1]Product parameters'!$C$2),I871*[1]model_point!$G$2,0)</f>
        <v>0</v>
      </c>
      <c r="N872">
        <f t="shared" si="146"/>
        <v>0</v>
      </c>
      <c r="O872">
        <f>[2]results_sample_product_cf!G871</f>
        <v>0</v>
      </c>
      <c r="P872">
        <f>[2]results_sample_product_cf!H871</f>
        <v>0</v>
      </c>
      <c r="Q872">
        <f t="shared" si="147"/>
        <v>0</v>
      </c>
      <c r="R872">
        <f t="shared" si="143"/>
        <v>0</v>
      </c>
    </row>
    <row r="873" spans="1:18" x14ac:dyDescent="0.3">
      <c r="A873">
        <f t="shared" si="148"/>
        <v>870</v>
      </c>
      <c r="B873">
        <f t="shared" si="149"/>
        <v>73</v>
      </c>
      <c r="C873">
        <f t="shared" si="150"/>
        <v>875</v>
      </c>
      <c r="D873">
        <f t="shared" si="144"/>
        <v>73</v>
      </c>
      <c r="E873">
        <f>[1]model_point!$C$2+D873-1</f>
        <v>77</v>
      </c>
      <c r="F873">
        <f>VLOOKUP(E873,'[1]202512 BE mortality'!$A:$C,3,0)</f>
        <v>5.8962720293262102E-4</v>
      </c>
      <c r="G873">
        <f>VLOOKUP(D873,'[1]202512 BE lapse'!$C:$D,2,0)</f>
        <v>3.6801077843296127E-3</v>
      </c>
      <c r="H873">
        <f>VLOOKUP($B873,'[1]202512 RFR'!$A:$B,2,0)</f>
        <v>1.2E-2</v>
      </c>
      <c r="I873">
        <f t="shared" si="151"/>
        <v>0.92601455284307255</v>
      </c>
      <c r="J873">
        <f t="shared" si="152"/>
        <v>4.5514818785467844E-5</v>
      </c>
      <c r="K873">
        <f t="shared" si="153"/>
        <v>0</v>
      </c>
      <c r="L873">
        <f t="shared" si="145"/>
        <v>0.36478233239725416</v>
      </c>
      <c r="M873">
        <f>IF(AND(MOD(C873,12)=1,D873&lt;='[1]Product parameters'!$C$2),I872*[1]model_point!$G$2,0)</f>
        <v>0</v>
      </c>
      <c r="N873">
        <f t="shared" si="146"/>
        <v>0</v>
      </c>
      <c r="O873">
        <f>[2]results_sample_product_cf!G872</f>
        <v>0</v>
      </c>
      <c r="P873">
        <f>[2]results_sample_product_cf!H872</f>
        <v>0</v>
      </c>
      <c r="Q873">
        <f t="shared" si="147"/>
        <v>0</v>
      </c>
      <c r="R873">
        <f t="shared" si="143"/>
        <v>0</v>
      </c>
    </row>
    <row r="874" spans="1:18" x14ac:dyDescent="0.3">
      <c r="A874">
        <f t="shared" si="148"/>
        <v>871</v>
      </c>
      <c r="B874">
        <f t="shared" si="149"/>
        <v>73</v>
      </c>
      <c r="C874">
        <f t="shared" si="150"/>
        <v>876</v>
      </c>
      <c r="D874">
        <f t="shared" si="144"/>
        <v>73</v>
      </c>
      <c r="E874">
        <f>[1]model_point!$C$2+D874-1</f>
        <v>77</v>
      </c>
      <c r="F874">
        <f>VLOOKUP(E874,'[1]202512 BE mortality'!$A:$C,3,0)</f>
        <v>5.8962720293262102E-4</v>
      </c>
      <c r="G874">
        <f>VLOOKUP(D874,'[1]202512 BE lapse'!$C:$D,2,0)</f>
        <v>3.6801077843296127E-3</v>
      </c>
      <c r="H874">
        <f>VLOOKUP($B874,'[1]202512 RFR'!$A:$B,2,0)</f>
        <v>1.2E-2</v>
      </c>
      <c r="I874">
        <f t="shared" si="151"/>
        <v>0.92256137438817587</v>
      </c>
      <c r="J874">
        <f t="shared" si="152"/>
        <v>4.5512581782921881E-5</v>
      </c>
      <c r="K874">
        <f t="shared" si="153"/>
        <v>3.4076658731137929E-3</v>
      </c>
      <c r="L874">
        <f t="shared" si="145"/>
        <v>0.36441990157197252</v>
      </c>
      <c r="M874">
        <f>IF(AND(MOD(C874,12)=1,D874&lt;='[1]Product parameters'!$C$2),I873*[1]model_point!$G$2,0)</f>
        <v>0</v>
      </c>
      <c r="N874">
        <f t="shared" si="146"/>
        <v>0</v>
      </c>
      <c r="O874">
        <f>[2]results_sample_product_cf!G873</f>
        <v>0</v>
      </c>
      <c r="P874">
        <f>[2]results_sample_product_cf!H873</f>
        <v>0</v>
      </c>
      <c r="Q874">
        <f t="shared" si="147"/>
        <v>0</v>
      </c>
      <c r="R874">
        <f t="shared" si="143"/>
        <v>0</v>
      </c>
    </row>
    <row r="875" spans="1:18" x14ac:dyDescent="0.3">
      <c r="A875">
        <f t="shared" si="148"/>
        <v>872</v>
      </c>
      <c r="B875">
        <f t="shared" si="149"/>
        <v>73</v>
      </c>
      <c r="C875">
        <f t="shared" si="150"/>
        <v>877</v>
      </c>
      <c r="D875">
        <f t="shared" si="144"/>
        <v>74</v>
      </c>
      <c r="E875">
        <f>[1]model_point!$C$2+D875-1</f>
        <v>78</v>
      </c>
      <c r="F875">
        <f>VLOOKUP(E875,'[1]202512 BE mortality'!$A:$C,3,0)</f>
        <v>1.238839360366606E-4</v>
      </c>
      <c r="G875">
        <f>VLOOKUP(D875,'[1]202512 BE lapse'!$C:$D,2,0)</f>
        <v>7.3223329229730226E-3</v>
      </c>
      <c r="H875">
        <f>VLOOKUP($B875,'[1]202512 RFR'!$A:$B,2,0)</f>
        <v>1.2E-2</v>
      </c>
      <c r="I875">
        <f t="shared" si="151"/>
        <v>0.92255184963615589</v>
      </c>
      <c r="J875">
        <f t="shared" si="152"/>
        <v>9.5247520199939241E-6</v>
      </c>
      <c r="K875">
        <f t="shared" si="153"/>
        <v>0</v>
      </c>
      <c r="L875">
        <f t="shared" si="145"/>
        <v>0.36405783084116761</v>
      </c>
      <c r="M875">
        <f>IF(AND(MOD(C875,12)=1,D875&lt;='[1]Product parameters'!$C$2),I874*[1]model_point!$G$2,0)</f>
        <v>0</v>
      </c>
      <c r="N875">
        <f t="shared" si="146"/>
        <v>0</v>
      </c>
      <c r="O875">
        <f>[2]results_sample_product_cf!G874</f>
        <v>0</v>
      </c>
      <c r="P875">
        <f>[2]results_sample_product_cf!H874</f>
        <v>0</v>
      </c>
      <c r="Q875">
        <f t="shared" si="147"/>
        <v>0</v>
      </c>
      <c r="R875">
        <f t="shared" si="143"/>
        <v>0</v>
      </c>
    </row>
    <row r="876" spans="1:18" x14ac:dyDescent="0.3">
      <c r="A876">
        <f t="shared" si="148"/>
        <v>873</v>
      </c>
      <c r="B876">
        <f t="shared" si="149"/>
        <v>73</v>
      </c>
      <c r="C876">
        <f t="shared" si="150"/>
        <v>878</v>
      </c>
      <c r="D876">
        <f t="shared" si="144"/>
        <v>74</v>
      </c>
      <c r="E876">
        <f>[1]model_point!$C$2+D876-1</f>
        <v>78</v>
      </c>
      <c r="F876">
        <f>VLOOKUP(E876,'[1]202512 BE mortality'!$A:$C,3,0)</f>
        <v>1.238839360366606E-4</v>
      </c>
      <c r="G876">
        <f>VLOOKUP(D876,'[1]202512 BE lapse'!$C:$D,2,0)</f>
        <v>7.3223329229730226E-3</v>
      </c>
      <c r="H876">
        <f>VLOOKUP($B876,'[1]202512 RFR'!$A:$B,2,0)</f>
        <v>1.2E-2</v>
      </c>
      <c r="I876">
        <f t="shared" si="151"/>
        <v>0.9225423249824718</v>
      </c>
      <c r="J876">
        <f t="shared" si="152"/>
        <v>9.5246536840961075E-6</v>
      </c>
      <c r="K876">
        <f t="shared" si="153"/>
        <v>0</v>
      </c>
      <c r="L876">
        <f t="shared" si="145"/>
        <v>0.36369611984706629</v>
      </c>
      <c r="M876">
        <f>IF(AND(MOD(C876,12)=1,D876&lt;='[1]Product parameters'!$C$2),I875*[1]model_point!$G$2,0)</f>
        <v>0</v>
      </c>
      <c r="N876">
        <f t="shared" si="146"/>
        <v>0</v>
      </c>
      <c r="O876">
        <f>[2]results_sample_product_cf!G875</f>
        <v>0</v>
      </c>
      <c r="P876">
        <f>[2]results_sample_product_cf!H875</f>
        <v>0</v>
      </c>
      <c r="Q876">
        <f t="shared" si="147"/>
        <v>0</v>
      </c>
      <c r="R876">
        <f t="shared" si="143"/>
        <v>0</v>
      </c>
    </row>
    <row r="877" spans="1:18" x14ac:dyDescent="0.3">
      <c r="A877">
        <f t="shared" si="148"/>
        <v>874</v>
      </c>
      <c r="B877">
        <f t="shared" si="149"/>
        <v>73</v>
      </c>
      <c r="C877">
        <f t="shared" si="150"/>
        <v>879</v>
      </c>
      <c r="D877">
        <f t="shared" si="144"/>
        <v>74</v>
      </c>
      <c r="E877">
        <f>[1]model_point!$C$2+D877-1</f>
        <v>78</v>
      </c>
      <c r="F877">
        <f>VLOOKUP(E877,'[1]202512 BE mortality'!$A:$C,3,0)</f>
        <v>1.238839360366606E-4</v>
      </c>
      <c r="G877">
        <f>VLOOKUP(D877,'[1]202512 BE lapse'!$C:$D,2,0)</f>
        <v>7.3223329229730226E-3</v>
      </c>
      <c r="H877">
        <f>VLOOKUP($B877,'[1]202512 RFR'!$A:$B,2,0)</f>
        <v>1.2E-2</v>
      </c>
      <c r="I877">
        <f t="shared" si="151"/>
        <v>0.9225328004271226</v>
      </c>
      <c r="J877">
        <f t="shared" si="152"/>
        <v>9.5245553492135344E-6</v>
      </c>
      <c r="K877">
        <f t="shared" si="153"/>
        <v>0</v>
      </c>
      <c r="L877">
        <f t="shared" si="145"/>
        <v>0.3633347682322508</v>
      </c>
      <c r="M877">
        <f>IF(AND(MOD(C877,12)=1,D877&lt;='[1]Product parameters'!$C$2),I876*[1]model_point!$G$2,0)</f>
        <v>0</v>
      </c>
      <c r="N877">
        <f t="shared" si="146"/>
        <v>0</v>
      </c>
      <c r="O877">
        <f>[2]results_sample_product_cf!G876</f>
        <v>0</v>
      </c>
      <c r="P877">
        <f>[2]results_sample_product_cf!H876</f>
        <v>0</v>
      </c>
      <c r="Q877">
        <f t="shared" si="147"/>
        <v>0</v>
      </c>
      <c r="R877">
        <f t="shared" si="143"/>
        <v>0</v>
      </c>
    </row>
    <row r="878" spans="1:18" x14ac:dyDescent="0.3">
      <c r="A878">
        <f t="shared" si="148"/>
        <v>875</v>
      </c>
      <c r="B878">
        <f t="shared" si="149"/>
        <v>73</v>
      </c>
      <c r="C878">
        <f t="shared" si="150"/>
        <v>880</v>
      </c>
      <c r="D878">
        <f t="shared" si="144"/>
        <v>74</v>
      </c>
      <c r="E878">
        <f>[1]model_point!$C$2+D878-1</f>
        <v>78</v>
      </c>
      <c r="F878">
        <f>VLOOKUP(E878,'[1]202512 BE mortality'!$A:$C,3,0)</f>
        <v>1.238839360366606E-4</v>
      </c>
      <c r="G878">
        <f>VLOOKUP(D878,'[1]202512 BE lapse'!$C:$D,2,0)</f>
        <v>7.3223329229730226E-3</v>
      </c>
      <c r="H878">
        <f>VLOOKUP($B878,'[1]202512 RFR'!$A:$B,2,0)</f>
        <v>1.2E-2</v>
      </c>
      <c r="I878">
        <f t="shared" si="151"/>
        <v>0.9225232759701073</v>
      </c>
      <c r="J878">
        <f t="shared" si="152"/>
        <v>9.5244570153461947E-6</v>
      </c>
      <c r="K878">
        <f t="shared" si="153"/>
        <v>0</v>
      </c>
      <c r="L878">
        <f t="shared" si="145"/>
        <v>0.36297377563965855</v>
      </c>
      <c r="M878">
        <f>IF(AND(MOD(C878,12)=1,D878&lt;='[1]Product parameters'!$C$2),I877*[1]model_point!$G$2,0)</f>
        <v>0</v>
      </c>
      <c r="N878">
        <f t="shared" si="146"/>
        <v>0</v>
      </c>
      <c r="O878">
        <f>[2]results_sample_product_cf!G877</f>
        <v>0</v>
      </c>
      <c r="P878">
        <f>[2]results_sample_product_cf!H877</f>
        <v>0</v>
      </c>
      <c r="Q878">
        <f t="shared" si="147"/>
        <v>0</v>
      </c>
      <c r="R878">
        <f t="shared" si="143"/>
        <v>0</v>
      </c>
    </row>
    <row r="879" spans="1:18" x14ac:dyDescent="0.3">
      <c r="A879">
        <f t="shared" si="148"/>
        <v>876</v>
      </c>
      <c r="B879">
        <f t="shared" si="149"/>
        <v>73</v>
      </c>
      <c r="C879">
        <f t="shared" si="150"/>
        <v>881</v>
      </c>
      <c r="D879">
        <f t="shared" si="144"/>
        <v>74</v>
      </c>
      <c r="E879">
        <f>[1]model_point!$C$2+D879-1</f>
        <v>78</v>
      </c>
      <c r="F879">
        <f>VLOOKUP(E879,'[1]202512 BE mortality'!$A:$C,3,0)</f>
        <v>1.238839360366606E-4</v>
      </c>
      <c r="G879">
        <f>VLOOKUP(D879,'[1]202512 BE lapse'!$C:$D,2,0)</f>
        <v>7.3223329229730226E-3</v>
      </c>
      <c r="H879">
        <f>VLOOKUP($B879,'[1]202512 RFR'!$A:$B,2,0)</f>
        <v>1.2E-2</v>
      </c>
      <c r="I879">
        <f t="shared" si="151"/>
        <v>0.92251375161142479</v>
      </c>
      <c r="J879">
        <f t="shared" si="152"/>
        <v>9.5243586824940782E-6</v>
      </c>
      <c r="K879">
        <f t="shared" si="153"/>
        <v>0</v>
      </c>
      <c r="L879">
        <f t="shared" si="145"/>
        <v>0.36261314171258169</v>
      </c>
      <c r="M879">
        <f>IF(AND(MOD(C879,12)=1,D879&lt;='[1]Product parameters'!$C$2),I878*[1]model_point!$G$2,0)</f>
        <v>0</v>
      </c>
      <c r="N879">
        <f t="shared" si="146"/>
        <v>0</v>
      </c>
      <c r="O879">
        <f>[2]results_sample_product_cf!G878</f>
        <v>0</v>
      </c>
      <c r="P879">
        <f>[2]results_sample_product_cf!H878</f>
        <v>0</v>
      </c>
      <c r="Q879">
        <f t="shared" si="147"/>
        <v>0</v>
      </c>
      <c r="R879">
        <f t="shared" si="143"/>
        <v>0</v>
      </c>
    </row>
    <row r="880" spans="1:18" x14ac:dyDescent="0.3">
      <c r="A880">
        <f t="shared" si="148"/>
        <v>877</v>
      </c>
      <c r="B880">
        <f t="shared" si="149"/>
        <v>74</v>
      </c>
      <c r="C880">
        <f t="shared" si="150"/>
        <v>882</v>
      </c>
      <c r="D880">
        <f t="shared" si="144"/>
        <v>74</v>
      </c>
      <c r="E880">
        <f>[1]model_point!$C$2+D880-1</f>
        <v>78</v>
      </c>
      <c r="F880">
        <f>VLOOKUP(E880,'[1]202512 BE mortality'!$A:$C,3,0)</f>
        <v>1.238839360366606E-4</v>
      </c>
      <c r="G880">
        <f>VLOOKUP(D880,'[1]202512 BE lapse'!$C:$D,2,0)</f>
        <v>7.3223329229730226E-3</v>
      </c>
      <c r="H880">
        <f>VLOOKUP($B880,'[1]202512 RFR'!$A:$B,2,0)</f>
        <v>1.2E-2</v>
      </c>
      <c r="I880">
        <f t="shared" si="151"/>
        <v>0.92250422735107418</v>
      </c>
      <c r="J880">
        <f t="shared" si="152"/>
        <v>9.524260350657173E-6</v>
      </c>
      <c r="K880">
        <f t="shared" si="153"/>
        <v>0</v>
      </c>
      <c r="L880">
        <f t="shared" si="145"/>
        <v>0.36225286609466678</v>
      </c>
      <c r="M880">
        <f>IF(AND(MOD(C880,12)=1,D880&lt;='[1]Product parameters'!$C$2),I879*[1]model_point!$G$2,0)</f>
        <v>0</v>
      </c>
      <c r="N880">
        <f t="shared" si="146"/>
        <v>0</v>
      </c>
      <c r="O880">
        <f>[2]results_sample_product_cf!G879</f>
        <v>0</v>
      </c>
      <c r="P880">
        <f>[2]results_sample_product_cf!H879</f>
        <v>0</v>
      </c>
      <c r="Q880">
        <f t="shared" si="147"/>
        <v>0</v>
      </c>
      <c r="R880">
        <f t="shared" si="143"/>
        <v>0</v>
      </c>
    </row>
    <row r="881" spans="1:18" x14ac:dyDescent="0.3">
      <c r="A881">
        <f t="shared" si="148"/>
        <v>878</v>
      </c>
      <c r="B881">
        <f t="shared" si="149"/>
        <v>74</v>
      </c>
      <c r="C881">
        <f t="shared" si="150"/>
        <v>883</v>
      </c>
      <c r="D881">
        <f t="shared" si="144"/>
        <v>74</v>
      </c>
      <c r="E881">
        <f>[1]model_point!$C$2+D881-1</f>
        <v>78</v>
      </c>
      <c r="F881">
        <f>VLOOKUP(E881,'[1]202512 BE mortality'!$A:$C,3,0)</f>
        <v>1.238839360366606E-4</v>
      </c>
      <c r="G881">
        <f>VLOOKUP(D881,'[1]202512 BE lapse'!$C:$D,2,0)</f>
        <v>7.3223329229730226E-3</v>
      </c>
      <c r="H881">
        <f>VLOOKUP($B881,'[1]202512 RFR'!$A:$B,2,0)</f>
        <v>1.2E-2</v>
      </c>
      <c r="I881">
        <f t="shared" si="151"/>
        <v>0.92249470318905435</v>
      </c>
      <c r="J881">
        <f t="shared" si="152"/>
        <v>9.5241620198354724E-6</v>
      </c>
      <c r="K881">
        <f t="shared" si="153"/>
        <v>0</v>
      </c>
      <c r="L881">
        <f t="shared" si="145"/>
        <v>0.36189294842991443</v>
      </c>
      <c r="M881">
        <f>IF(AND(MOD(C881,12)=1,D881&lt;='[1]Product parameters'!$C$2),I880*[1]model_point!$G$2,0)</f>
        <v>0</v>
      </c>
      <c r="N881">
        <f t="shared" si="146"/>
        <v>0</v>
      </c>
      <c r="O881">
        <f>[2]results_sample_product_cf!G880</f>
        <v>0</v>
      </c>
      <c r="P881">
        <f>[2]results_sample_product_cf!H880</f>
        <v>0</v>
      </c>
      <c r="Q881">
        <f t="shared" si="147"/>
        <v>0</v>
      </c>
      <c r="R881">
        <f t="shared" si="143"/>
        <v>0</v>
      </c>
    </row>
    <row r="882" spans="1:18" x14ac:dyDescent="0.3">
      <c r="A882">
        <f t="shared" si="148"/>
        <v>879</v>
      </c>
      <c r="B882">
        <f t="shared" si="149"/>
        <v>74</v>
      </c>
      <c r="C882">
        <f t="shared" si="150"/>
        <v>884</v>
      </c>
      <c r="D882">
        <f t="shared" si="144"/>
        <v>74</v>
      </c>
      <c r="E882">
        <f>[1]model_point!$C$2+D882-1</f>
        <v>78</v>
      </c>
      <c r="F882">
        <f>VLOOKUP(E882,'[1]202512 BE mortality'!$A:$C,3,0)</f>
        <v>1.238839360366606E-4</v>
      </c>
      <c r="G882">
        <f>VLOOKUP(D882,'[1]202512 BE lapse'!$C:$D,2,0)</f>
        <v>7.3223329229730226E-3</v>
      </c>
      <c r="H882">
        <f>VLOOKUP($B882,'[1]202512 RFR'!$A:$B,2,0)</f>
        <v>1.2E-2</v>
      </c>
      <c r="I882">
        <f t="shared" si="151"/>
        <v>0.92248517912536432</v>
      </c>
      <c r="J882">
        <f t="shared" si="152"/>
        <v>9.5240636900289628E-6</v>
      </c>
      <c r="K882">
        <f t="shared" si="153"/>
        <v>0</v>
      </c>
      <c r="L882">
        <f t="shared" si="145"/>
        <v>0.36153338836267895</v>
      </c>
      <c r="M882">
        <f>IF(AND(MOD(C882,12)=1,D882&lt;='[1]Product parameters'!$C$2),I881*[1]model_point!$G$2,0)</f>
        <v>0</v>
      </c>
      <c r="N882">
        <f t="shared" si="146"/>
        <v>0</v>
      </c>
      <c r="O882">
        <f>[2]results_sample_product_cf!G881</f>
        <v>0</v>
      </c>
      <c r="P882">
        <f>[2]results_sample_product_cf!H881</f>
        <v>0</v>
      </c>
      <c r="Q882">
        <f t="shared" si="147"/>
        <v>0</v>
      </c>
      <c r="R882">
        <f t="shared" si="143"/>
        <v>0</v>
      </c>
    </row>
    <row r="883" spans="1:18" x14ac:dyDescent="0.3">
      <c r="A883">
        <f t="shared" si="148"/>
        <v>880</v>
      </c>
      <c r="B883">
        <f t="shared" si="149"/>
        <v>74</v>
      </c>
      <c r="C883">
        <f t="shared" si="150"/>
        <v>885</v>
      </c>
      <c r="D883">
        <f t="shared" si="144"/>
        <v>74</v>
      </c>
      <c r="E883">
        <f>[1]model_point!$C$2+D883-1</f>
        <v>78</v>
      </c>
      <c r="F883">
        <f>VLOOKUP(E883,'[1]202512 BE mortality'!$A:$C,3,0)</f>
        <v>1.238839360366606E-4</v>
      </c>
      <c r="G883">
        <f>VLOOKUP(D883,'[1]202512 BE lapse'!$C:$D,2,0)</f>
        <v>7.3223329229730226E-3</v>
      </c>
      <c r="H883">
        <f>VLOOKUP($B883,'[1]202512 RFR'!$A:$B,2,0)</f>
        <v>1.2E-2</v>
      </c>
      <c r="I883">
        <f t="shared" si="151"/>
        <v>0.92247565516000307</v>
      </c>
      <c r="J883">
        <f t="shared" si="152"/>
        <v>9.5239653612376341E-6</v>
      </c>
      <c r="K883">
        <f t="shared" si="153"/>
        <v>0</v>
      </c>
      <c r="L883">
        <f t="shared" si="145"/>
        <v>0.36117418553766806</v>
      </c>
      <c r="M883">
        <f>IF(AND(MOD(C883,12)=1,D883&lt;='[1]Product parameters'!$C$2),I882*[1]model_point!$G$2,0)</f>
        <v>0</v>
      </c>
      <c r="N883">
        <f t="shared" si="146"/>
        <v>0</v>
      </c>
      <c r="O883">
        <f>[2]results_sample_product_cf!G882</f>
        <v>0</v>
      </c>
      <c r="P883">
        <f>[2]results_sample_product_cf!H882</f>
        <v>0</v>
      </c>
      <c r="Q883">
        <f t="shared" si="147"/>
        <v>0</v>
      </c>
      <c r="R883">
        <f t="shared" si="143"/>
        <v>0</v>
      </c>
    </row>
    <row r="884" spans="1:18" x14ac:dyDescent="0.3">
      <c r="A884">
        <f t="shared" si="148"/>
        <v>881</v>
      </c>
      <c r="B884">
        <f t="shared" si="149"/>
        <v>74</v>
      </c>
      <c r="C884">
        <f t="shared" si="150"/>
        <v>886</v>
      </c>
      <c r="D884">
        <f t="shared" si="144"/>
        <v>74</v>
      </c>
      <c r="E884">
        <f>[1]model_point!$C$2+D884-1</f>
        <v>78</v>
      </c>
      <c r="F884">
        <f>VLOOKUP(E884,'[1]202512 BE mortality'!$A:$C,3,0)</f>
        <v>1.238839360366606E-4</v>
      </c>
      <c r="G884">
        <f>VLOOKUP(D884,'[1]202512 BE lapse'!$C:$D,2,0)</f>
        <v>7.3223329229730226E-3</v>
      </c>
      <c r="H884">
        <f>VLOOKUP($B884,'[1]202512 RFR'!$A:$B,2,0)</f>
        <v>1.2E-2</v>
      </c>
      <c r="I884">
        <f t="shared" si="151"/>
        <v>0.92246613129296962</v>
      </c>
      <c r="J884">
        <f t="shared" si="152"/>
        <v>9.523867033461476E-6</v>
      </c>
      <c r="K884">
        <f t="shared" si="153"/>
        <v>0</v>
      </c>
      <c r="L884">
        <f t="shared" si="145"/>
        <v>0.36081533959994239</v>
      </c>
      <c r="M884">
        <f>IF(AND(MOD(C884,12)=1,D884&lt;='[1]Product parameters'!$C$2),I883*[1]model_point!$G$2,0)</f>
        <v>0</v>
      </c>
      <c r="N884">
        <f t="shared" si="146"/>
        <v>0</v>
      </c>
      <c r="O884">
        <f>[2]results_sample_product_cf!G883</f>
        <v>0</v>
      </c>
      <c r="P884">
        <f>[2]results_sample_product_cf!H883</f>
        <v>0</v>
      </c>
      <c r="Q884">
        <f t="shared" si="147"/>
        <v>0</v>
      </c>
      <c r="R884">
        <f t="shared" si="143"/>
        <v>0</v>
      </c>
    </row>
    <row r="885" spans="1:18" x14ac:dyDescent="0.3">
      <c r="A885">
        <f t="shared" si="148"/>
        <v>882</v>
      </c>
      <c r="B885">
        <f t="shared" si="149"/>
        <v>74</v>
      </c>
      <c r="C885">
        <f t="shared" si="150"/>
        <v>887</v>
      </c>
      <c r="D885">
        <f t="shared" si="144"/>
        <v>74</v>
      </c>
      <c r="E885">
        <f>[1]model_point!$C$2+D885-1</f>
        <v>78</v>
      </c>
      <c r="F885">
        <f>VLOOKUP(E885,'[1]202512 BE mortality'!$A:$C,3,0)</f>
        <v>1.238839360366606E-4</v>
      </c>
      <c r="G885">
        <f>VLOOKUP(D885,'[1]202512 BE lapse'!$C:$D,2,0)</f>
        <v>7.3223329229730226E-3</v>
      </c>
      <c r="H885">
        <f>VLOOKUP($B885,'[1]202512 RFR'!$A:$B,2,0)</f>
        <v>1.2E-2</v>
      </c>
      <c r="I885">
        <f t="shared" si="151"/>
        <v>0.92245660752426295</v>
      </c>
      <c r="J885">
        <f t="shared" si="152"/>
        <v>9.5237687067004784E-6</v>
      </c>
      <c r="K885">
        <f t="shared" si="153"/>
        <v>0</v>
      </c>
      <c r="L885">
        <f t="shared" si="145"/>
        <v>0.3604568501949153</v>
      </c>
      <c r="M885">
        <f>IF(AND(MOD(C885,12)=1,D885&lt;='[1]Product parameters'!$C$2),I884*[1]model_point!$G$2,0)</f>
        <v>0</v>
      </c>
      <c r="N885">
        <f t="shared" si="146"/>
        <v>0</v>
      </c>
      <c r="O885">
        <f>[2]results_sample_product_cf!G884</f>
        <v>0</v>
      </c>
      <c r="P885">
        <f>[2]results_sample_product_cf!H884</f>
        <v>0</v>
      </c>
      <c r="Q885">
        <f t="shared" si="147"/>
        <v>0</v>
      </c>
      <c r="R885">
        <f t="shared" si="143"/>
        <v>0</v>
      </c>
    </row>
    <row r="886" spans="1:18" x14ac:dyDescent="0.3">
      <c r="A886">
        <f t="shared" si="148"/>
        <v>883</v>
      </c>
      <c r="B886">
        <f t="shared" si="149"/>
        <v>74</v>
      </c>
      <c r="C886">
        <f t="shared" si="150"/>
        <v>888</v>
      </c>
      <c r="D886">
        <f t="shared" si="144"/>
        <v>74</v>
      </c>
      <c r="E886">
        <f>[1]model_point!$C$2+D886-1</f>
        <v>78</v>
      </c>
      <c r="F886">
        <f>VLOOKUP(E886,'[1]202512 BE mortality'!$A:$C,3,0)</f>
        <v>1.238839360366606E-4</v>
      </c>
      <c r="G886">
        <f>VLOOKUP(D886,'[1]202512 BE lapse'!$C:$D,2,0)</f>
        <v>7.3223329229730226E-3</v>
      </c>
      <c r="H886">
        <f>VLOOKUP($B886,'[1]202512 RFR'!$A:$B,2,0)</f>
        <v>1.2E-2</v>
      </c>
      <c r="I886">
        <f t="shared" si="151"/>
        <v>0.91569261920207823</v>
      </c>
      <c r="J886">
        <f t="shared" si="152"/>
        <v>9.5236703809546312E-6</v>
      </c>
      <c r="K886">
        <f t="shared" si="153"/>
        <v>6.7544646518037368E-3</v>
      </c>
      <c r="L886">
        <f t="shared" si="145"/>
        <v>0.36009871696835238</v>
      </c>
      <c r="M886">
        <f>IF(AND(MOD(C886,12)=1,D886&lt;='[1]Product parameters'!$C$2),I885*[1]model_point!$G$2,0)</f>
        <v>0</v>
      </c>
      <c r="N886">
        <f t="shared" si="146"/>
        <v>0</v>
      </c>
      <c r="O886">
        <f>[2]results_sample_product_cf!G885</f>
        <v>0</v>
      </c>
      <c r="P886">
        <f>[2]results_sample_product_cf!H885</f>
        <v>0</v>
      </c>
      <c r="Q886">
        <f t="shared" si="147"/>
        <v>0</v>
      </c>
      <c r="R886">
        <f t="shared" si="143"/>
        <v>0</v>
      </c>
    </row>
    <row r="887" spans="1:18" x14ac:dyDescent="0.3">
      <c r="A887">
        <f t="shared" si="148"/>
        <v>884</v>
      </c>
      <c r="B887">
        <f t="shared" si="149"/>
        <v>74</v>
      </c>
      <c r="C887">
        <f t="shared" si="150"/>
        <v>889</v>
      </c>
      <c r="D887">
        <f t="shared" si="144"/>
        <v>75</v>
      </c>
      <c r="E887">
        <f>[1]model_point!$C$2+D887-1</f>
        <v>79</v>
      </c>
      <c r="F887">
        <f>VLOOKUP(E887,'[1]202512 BE mortality'!$A:$C,3,0)</f>
        <v>1.7766699550440335E-3</v>
      </c>
      <c r="G887">
        <f>VLOOKUP(D887,'[1]202512 BE lapse'!$C:$D,2,0)</f>
        <v>5.8453941805870135E-3</v>
      </c>
      <c r="H887">
        <f>VLOOKUP($B887,'[1]202512 RFR'!$A:$B,2,0)</f>
        <v>1.2E-2</v>
      </c>
      <c r="I887">
        <f t="shared" si="151"/>
        <v>0.91555693504765545</v>
      </c>
      <c r="J887">
        <f t="shared" si="152"/>
        <v>1.3568415442281661E-4</v>
      </c>
      <c r="K887">
        <f t="shared" si="153"/>
        <v>0</v>
      </c>
      <c r="L887">
        <f t="shared" si="145"/>
        <v>0.35974093956637127</v>
      </c>
      <c r="M887">
        <f>IF(AND(MOD(C887,12)=1,D887&lt;='[1]Product parameters'!$C$2),I886*[1]model_point!$G$2,0)</f>
        <v>0</v>
      </c>
      <c r="N887">
        <f t="shared" si="146"/>
        <v>0</v>
      </c>
      <c r="O887">
        <f>[2]results_sample_product_cf!G886</f>
        <v>0</v>
      </c>
      <c r="P887">
        <f>[2]results_sample_product_cf!H886</f>
        <v>0</v>
      </c>
      <c r="Q887">
        <f t="shared" si="147"/>
        <v>0</v>
      </c>
      <c r="R887">
        <f t="shared" si="143"/>
        <v>0</v>
      </c>
    </row>
    <row r="888" spans="1:18" x14ac:dyDescent="0.3">
      <c r="A888">
        <f t="shared" si="148"/>
        <v>885</v>
      </c>
      <c r="B888">
        <f t="shared" si="149"/>
        <v>74</v>
      </c>
      <c r="C888">
        <f t="shared" si="150"/>
        <v>890</v>
      </c>
      <c r="D888">
        <f t="shared" si="144"/>
        <v>75</v>
      </c>
      <c r="E888">
        <f>[1]model_point!$C$2+D888-1</f>
        <v>79</v>
      </c>
      <c r="F888">
        <f>VLOOKUP(E888,'[1]202512 BE mortality'!$A:$C,3,0)</f>
        <v>1.7766699550440335E-3</v>
      </c>
      <c r="G888">
        <f>VLOOKUP(D888,'[1]202512 BE lapse'!$C:$D,2,0)</f>
        <v>5.8453941805870135E-3</v>
      </c>
      <c r="H888">
        <f>VLOOKUP($B888,'[1]202512 RFR'!$A:$B,2,0)</f>
        <v>1.2E-2</v>
      </c>
      <c r="I888">
        <f t="shared" si="151"/>
        <v>0.91542127099843973</v>
      </c>
      <c r="J888">
        <f t="shared" si="152"/>
        <v>1.3566404921570304E-4</v>
      </c>
      <c r="K888">
        <f t="shared" si="153"/>
        <v>0</v>
      </c>
      <c r="L888">
        <f t="shared" si="145"/>
        <v>0.35938351763544107</v>
      </c>
      <c r="M888">
        <f>IF(AND(MOD(C888,12)=1,D888&lt;='[1]Product parameters'!$C$2),I887*[1]model_point!$G$2,0)</f>
        <v>0</v>
      </c>
      <c r="N888">
        <f t="shared" si="146"/>
        <v>0</v>
      </c>
      <c r="O888">
        <f>[2]results_sample_product_cf!G887</f>
        <v>0</v>
      </c>
      <c r="P888">
        <f>[2]results_sample_product_cf!H887</f>
        <v>0</v>
      </c>
      <c r="Q888">
        <f t="shared" si="147"/>
        <v>0</v>
      </c>
      <c r="R888">
        <f t="shared" si="143"/>
        <v>0</v>
      </c>
    </row>
    <row r="889" spans="1:18" x14ac:dyDescent="0.3">
      <c r="A889">
        <f t="shared" si="148"/>
        <v>886</v>
      </c>
      <c r="B889">
        <f t="shared" si="149"/>
        <v>74</v>
      </c>
      <c r="C889">
        <f t="shared" si="150"/>
        <v>891</v>
      </c>
      <c r="D889">
        <f t="shared" si="144"/>
        <v>75</v>
      </c>
      <c r="E889">
        <f>[1]model_point!$C$2+D889-1</f>
        <v>79</v>
      </c>
      <c r="F889">
        <f>VLOOKUP(E889,'[1]202512 BE mortality'!$A:$C,3,0)</f>
        <v>1.7766699550440335E-3</v>
      </c>
      <c r="G889">
        <f>VLOOKUP(D889,'[1]202512 BE lapse'!$C:$D,2,0)</f>
        <v>5.8453941805870135E-3</v>
      </c>
      <c r="H889">
        <f>VLOOKUP($B889,'[1]202512 RFR'!$A:$B,2,0)</f>
        <v>1.2E-2</v>
      </c>
      <c r="I889">
        <f t="shared" si="151"/>
        <v>0.915285627051452</v>
      </c>
      <c r="J889">
        <f t="shared" si="152"/>
        <v>1.3564394698770927E-4</v>
      </c>
      <c r="K889">
        <f t="shared" si="153"/>
        <v>0</v>
      </c>
      <c r="L889">
        <f t="shared" si="145"/>
        <v>0.35902645082238227</v>
      </c>
      <c r="M889">
        <f>IF(AND(MOD(C889,12)=1,D889&lt;='[1]Product parameters'!$C$2),I888*[1]model_point!$G$2,0)</f>
        <v>0</v>
      </c>
      <c r="N889">
        <f t="shared" si="146"/>
        <v>0</v>
      </c>
      <c r="O889">
        <f>[2]results_sample_product_cf!G888</f>
        <v>0</v>
      </c>
      <c r="P889">
        <f>[2]results_sample_product_cf!H888</f>
        <v>0</v>
      </c>
      <c r="Q889">
        <f t="shared" si="147"/>
        <v>0</v>
      </c>
      <c r="R889">
        <f t="shared" si="143"/>
        <v>0</v>
      </c>
    </row>
    <row r="890" spans="1:18" x14ac:dyDescent="0.3">
      <c r="A890">
        <f t="shared" si="148"/>
        <v>887</v>
      </c>
      <c r="B890">
        <f t="shared" si="149"/>
        <v>74</v>
      </c>
      <c r="C890">
        <f t="shared" si="150"/>
        <v>892</v>
      </c>
      <c r="D890">
        <f t="shared" si="144"/>
        <v>75</v>
      </c>
      <c r="E890">
        <f>[1]model_point!$C$2+D890-1</f>
        <v>79</v>
      </c>
      <c r="F890">
        <f>VLOOKUP(E890,'[1]202512 BE mortality'!$A:$C,3,0)</f>
        <v>1.7766699550440335E-3</v>
      </c>
      <c r="G890">
        <f>VLOOKUP(D890,'[1]202512 BE lapse'!$C:$D,2,0)</f>
        <v>5.8453941805870135E-3</v>
      </c>
      <c r="H890">
        <f>VLOOKUP($B890,'[1]202512 RFR'!$A:$B,2,0)</f>
        <v>1.2E-2</v>
      </c>
      <c r="I890">
        <f t="shared" si="151"/>
        <v>0.91515000320371365</v>
      </c>
      <c r="J890">
        <f t="shared" si="152"/>
        <v>1.3562384773839389E-4</v>
      </c>
      <c r="K890">
        <f t="shared" si="153"/>
        <v>0</v>
      </c>
      <c r="L890">
        <f t="shared" si="145"/>
        <v>0.3586697387743662</v>
      </c>
      <c r="M890">
        <f>IF(AND(MOD(C890,12)=1,D890&lt;='[1]Product parameters'!$C$2),I889*[1]model_point!$G$2,0)</f>
        <v>0</v>
      </c>
      <c r="N890">
        <f t="shared" si="146"/>
        <v>0</v>
      </c>
      <c r="O890">
        <f>[2]results_sample_product_cf!G889</f>
        <v>0</v>
      </c>
      <c r="P890">
        <f>[2]results_sample_product_cf!H889</f>
        <v>0</v>
      </c>
      <c r="Q890">
        <f t="shared" si="147"/>
        <v>0</v>
      </c>
      <c r="R890">
        <f t="shared" si="143"/>
        <v>0</v>
      </c>
    </row>
    <row r="891" spans="1:18" x14ac:dyDescent="0.3">
      <c r="A891">
        <f t="shared" si="148"/>
        <v>888</v>
      </c>
      <c r="B891">
        <f t="shared" si="149"/>
        <v>74</v>
      </c>
      <c r="C891">
        <f t="shared" si="150"/>
        <v>893</v>
      </c>
      <c r="D891">
        <f t="shared" si="144"/>
        <v>75</v>
      </c>
      <c r="E891">
        <f>[1]model_point!$C$2+D891-1</f>
        <v>79</v>
      </c>
      <c r="F891">
        <f>VLOOKUP(E891,'[1]202512 BE mortality'!$A:$C,3,0)</f>
        <v>1.7766699550440335E-3</v>
      </c>
      <c r="G891">
        <f>VLOOKUP(D891,'[1]202512 BE lapse'!$C:$D,2,0)</f>
        <v>5.8453941805870135E-3</v>
      </c>
      <c r="H891">
        <f>VLOOKUP($B891,'[1]202512 RFR'!$A:$B,2,0)</f>
        <v>1.2E-2</v>
      </c>
      <c r="I891">
        <f t="shared" si="151"/>
        <v>0.91501439945224639</v>
      </c>
      <c r="J891">
        <f t="shared" si="152"/>
        <v>1.3560375146731552E-4</v>
      </c>
      <c r="K891">
        <f t="shared" si="153"/>
        <v>0</v>
      </c>
      <c r="L891">
        <f t="shared" si="145"/>
        <v>0.35831338113891475</v>
      </c>
      <c r="M891">
        <f>IF(AND(MOD(C891,12)=1,D891&lt;='[1]Product parameters'!$C$2),I890*[1]model_point!$G$2,0)</f>
        <v>0</v>
      </c>
      <c r="N891">
        <f t="shared" si="146"/>
        <v>0</v>
      </c>
      <c r="O891">
        <f>[2]results_sample_product_cf!G890</f>
        <v>0</v>
      </c>
      <c r="P891">
        <f>[2]results_sample_product_cf!H890</f>
        <v>0</v>
      </c>
      <c r="Q891">
        <f t="shared" si="147"/>
        <v>0</v>
      </c>
      <c r="R891">
        <f t="shared" si="143"/>
        <v>0</v>
      </c>
    </row>
    <row r="892" spans="1:18" x14ac:dyDescent="0.3">
      <c r="A892">
        <f t="shared" si="148"/>
        <v>889</v>
      </c>
      <c r="B892">
        <f t="shared" si="149"/>
        <v>75</v>
      </c>
      <c r="C892">
        <f t="shared" si="150"/>
        <v>894</v>
      </c>
      <c r="D892">
        <f t="shared" si="144"/>
        <v>75</v>
      </c>
      <c r="E892">
        <f>[1]model_point!$C$2+D892-1</f>
        <v>79</v>
      </c>
      <c r="F892">
        <f>VLOOKUP(E892,'[1]202512 BE mortality'!$A:$C,3,0)</f>
        <v>1.7766699550440335E-3</v>
      </c>
      <c r="G892">
        <f>VLOOKUP(D892,'[1]202512 BE lapse'!$C:$D,2,0)</f>
        <v>5.8453941805870135E-3</v>
      </c>
      <c r="H892">
        <f>VLOOKUP($B892,'[1]202512 RFR'!$A:$B,2,0)</f>
        <v>1.2E-2</v>
      </c>
      <c r="I892">
        <f t="shared" si="151"/>
        <v>0.91487881579407238</v>
      </c>
      <c r="J892">
        <f t="shared" si="152"/>
        <v>1.3558365817403285E-4</v>
      </c>
      <c r="K892">
        <f t="shared" si="153"/>
        <v>0</v>
      </c>
      <c r="L892">
        <f t="shared" si="145"/>
        <v>0.3579573775639</v>
      </c>
      <c r="M892">
        <f>IF(AND(MOD(C892,12)=1,D892&lt;='[1]Product parameters'!$C$2),I891*[1]model_point!$G$2,0)</f>
        <v>0</v>
      </c>
      <c r="N892">
        <f t="shared" si="146"/>
        <v>0</v>
      </c>
      <c r="O892">
        <f>[2]results_sample_product_cf!G891</f>
        <v>0</v>
      </c>
      <c r="P892">
        <f>[2]results_sample_product_cf!H891</f>
        <v>0</v>
      </c>
      <c r="Q892">
        <f t="shared" si="147"/>
        <v>0</v>
      </c>
      <c r="R892">
        <f t="shared" si="143"/>
        <v>0</v>
      </c>
    </row>
    <row r="893" spans="1:18" x14ac:dyDescent="0.3">
      <c r="A893">
        <f t="shared" si="148"/>
        <v>890</v>
      </c>
      <c r="B893">
        <f t="shared" si="149"/>
        <v>75</v>
      </c>
      <c r="C893">
        <f t="shared" si="150"/>
        <v>895</v>
      </c>
      <c r="D893">
        <f t="shared" si="144"/>
        <v>75</v>
      </c>
      <c r="E893">
        <f>[1]model_point!$C$2+D893-1</f>
        <v>79</v>
      </c>
      <c r="F893">
        <f>VLOOKUP(E893,'[1]202512 BE mortality'!$A:$C,3,0)</f>
        <v>1.7766699550440335E-3</v>
      </c>
      <c r="G893">
        <f>VLOOKUP(D893,'[1]202512 BE lapse'!$C:$D,2,0)</f>
        <v>5.8453941805870135E-3</v>
      </c>
      <c r="H893">
        <f>VLOOKUP($B893,'[1]202512 RFR'!$A:$B,2,0)</f>
        <v>1.2E-2</v>
      </c>
      <c r="I893">
        <f t="shared" si="151"/>
        <v>0.91474325222621422</v>
      </c>
      <c r="J893">
        <f t="shared" si="152"/>
        <v>1.3556356785810464E-4</v>
      </c>
      <c r="K893">
        <f t="shared" si="153"/>
        <v>0</v>
      </c>
      <c r="L893">
        <f t="shared" si="145"/>
        <v>0.35760172769754389</v>
      </c>
      <c r="M893">
        <f>IF(AND(MOD(C893,12)=1,D893&lt;='[1]Product parameters'!$C$2),I892*[1]model_point!$G$2,0)</f>
        <v>0</v>
      </c>
      <c r="N893">
        <f t="shared" si="146"/>
        <v>0</v>
      </c>
      <c r="O893">
        <f>[2]results_sample_product_cf!G892</f>
        <v>0</v>
      </c>
      <c r="P893">
        <f>[2]results_sample_product_cf!H892</f>
        <v>0</v>
      </c>
      <c r="Q893">
        <f t="shared" si="147"/>
        <v>0</v>
      </c>
      <c r="R893">
        <f t="shared" si="143"/>
        <v>0</v>
      </c>
    </row>
    <row r="894" spans="1:18" x14ac:dyDescent="0.3">
      <c r="A894">
        <f t="shared" si="148"/>
        <v>891</v>
      </c>
      <c r="B894">
        <f t="shared" si="149"/>
        <v>75</v>
      </c>
      <c r="C894">
        <f t="shared" si="150"/>
        <v>896</v>
      </c>
      <c r="D894">
        <f t="shared" si="144"/>
        <v>75</v>
      </c>
      <c r="E894">
        <f>[1]model_point!$C$2+D894-1</f>
        <v>79</v>
      </c>
      <c r="F894">
        <f>VLOOKUP(E894,'[1]202512 BE mortality'!$A:$C,3,0)</f>
        <v>1.7766699550440335E-3</v>
      </c>
      <c r="G894">
        <f>VLOOKUP(D894,'[1]202512 BE lapse'!$C:$D,2,0)</f>
        <v>5.8453941805870135E-3</v>
      </c>
      <c r="H894">
        <f>VLOOKUP($B894,'[1]202512 RFR'!$A:$B,2,0)</f>
        <v>1.2E-2</v>
      </c>
      <c r="I894">
        <f t="shared" si="151"/>
        <v>0.91460770874569508</v>
      </c>
      <c r="J894">
        <f t="shared" si="152"/>
        <v>1.3554348051908973E-4</v>
      </c>
      <c r="K894">
        <f t="shared" si="153"/>
        <v>0</v>
      </c>
      <c r="L894">
        <f t="shared" si="145"/>
        <v>0.35724643118841792</v>
      </c>
      <c r="M894">
        <f>IF(AND(MOD(C894,12)=1,D894&lt;='[1]Product parameters'!$C$2),I893*[1]model_point!$G$2,0)</f>
        <v>0</v>
      </c>
      <c r="N894">
        <f t="shared" si="146"/>
        <v>0</v>
      </c>
      <c r="O894">
        <f>[2]results_sample_product_cf!G893</f>
        <v>0</v>
      </c>
      <c r="P894">
        <f>[2]results_sample_product_cf!H893</f>
        <v>0</v>
      </c>
      <c r="Q894">
        <f t="shared" si="147"/>
        <v>0</v>
      </c>
      <c r="R894">
        <f t="shared" si="143"/>
        <v>0</v>
      </c>
    </row>
    <row r="895" spans="1:18" x14ac:dyDescent="0.3">
      <c r="A895">
        <f t="shared" si="148"/>
        <v>892</v>
      </c>
      <c r="B895">
        <f t="shared" si="149"/>
        <v>75</v>
      </c>
      <c r="C895">
        <f t="shared" si="150"/>
        <v>897</v>
      </c>
      <c r="D895">
        <f t="shared" si="144"/>
        <v>75</v>
      </c>
      <c r="E895">
        <f>[1]model_point!$C$2+D895-1</f>
        <v>79</v>
      </c>
      <c r="F895">
        <f>VLOOKUP(E895,'[1]202512 BE mortality'!$A:$C,3,0)</f>
        <v>1.7766699550440335E-3</v>
      </c>
      <c r="G895">
        <f>VLOOKUP(D895,'[1]202512 BE lapse'!$C:$D,2,0)</f>
        <v>5.8453941805870135E-3</v>
      </c>
      <c r="H895">
        <f>VLOOKUP($B895,'[1]202512 RFR'!$A:$B,2,0)</f>
        <v>1.2E-2</v>
      </c>
      <c r="I895">
        <f t="shared" si="151"/>
        <v>0.91447218534953856</v>
      </c>
      <c r="J895">
        <f t="shared" si="152"/>
        <v>1.3552339615654699E-4</v>
      </c>
      <c r="K895">
        <f t="shared" si="153"/>
        <v>0</v>
      </c>
      <c r="L895">
        <f t="shared" si="145"/>
        <v>0.35689148768544271</v>
      </c>
      <c r="M895">
        <f>IF(AND(MOD(C895,12)=1,D895&lt;='[1]Product parameters'!$C$2),I894*[1]model_point!$G$2,0)</f>
        <v>0</v>
      </c>
      <c r="N895">
        <f t="shared" si="146"/>
        <v>0</v>
      </c>
      <c r="O895">
        <f>[2]results_sample_product_cf!G894</f>
        <v>0</v>
      </c>
      <c r="P895">
        <f>[2]results_sample_product_cf!H894</f>
        <v>0</v>
      </c>
      <c r="Q895">
        <f t="shared" si="147"/>
        <v>0</v>
      </c>
      <c r="R895">
        <f t="shared" si="143"/>
        <v>0</v>
      </c>
    </row>
    <row r="896" spans="1:18" x14ac:dyDescent="0.3">
      <c r="A896">
        <f t="shared" si="148"/>
        <v>893</v>
      </c>
      <c r="B896">
        <f t="shared" si="149"/>
        <v>75</v>
      </c>
      <c r="C896">
        <f t="shared" si="150"/>
        <v>898</v>
      </c>
      <c r="D896">
        <f t="shared" si="144"/>
        <v>75</v>
      </c>
      <c r="E896">
        <f>[1]model_point!$C$2+D896-1</f>
        <v>79</v>
      </c>
      <c r="F896">
        <f>VLOOKUP(E896,'[1]202512 BE mortality'!$A:$C,3,0)</f>
        <v>1.7766699550440335E-3</v>
      </c>
      <c r="G896">
        <f>VLOOKUP(D896,'[1]202512 BE lapse'!$C:$D,2,0)</f>
        <v>5.8453941805870135E-3</v>
      </c>
      <c r="H896">
        <f>VLOOKUP($B896,'[1]202512 RFR'!$A:$B,2,0)</f>
        <v>1.2E-2</v>
      </c>
      <c r="I896">
        <f t="shared" si="151"/>
        <v>0.91433668203476848</v>
      </c>
      <c r="J896">
        <f t="shared" si="152"/>
        <v>1.355033147700354E-4</v>
      </c>
      <c r="K896">
        <f t="shared" si="153"/>
        <v>0</v>
      </c>
      <c r="L896">
        <f t="shared" si="145"/>
        <v>0.3565368968378877</v>
      </c>
      <c r="M896">
        <f>IF(AND(MOD(C896,12)=1,D896&lt;='[1]Product parameters'!$C$2),I895*[1]model_point!$G$2,0)</f>
        <v>0</v>
      </c>
      <c r="N896">
        <f t="shared" si="146"/>
        <v>0</v>
      </c>
      <c r="O896">
        <f>[2]results_sample_product_cf!G895</f>
        <v>0</v>
      </c>
      <c r="P896">
        <f>[2]results_sample_product_cf!H895</f>
        <v>0</v>
      </c>
      <c r="Q896">
        <f t="shared" si="147"/>
        <v>0</v>
      </c>
      <c r="R896">
        <f t="shared" si="143"/>
        <v>0</v>
      </c>
    </row>
    <row r="897" spans="1:18" x14ac:dyDescent="0.3">
      <c r="A897">
        <f t="shared" si="148"/>
        <v>894</v>
      </c>
      <c r="B897">
        <f t="shared" si="149"/>
        <v>75</v>
      </c>
      <c r="C897">
        <f t="shared" si="150"/>
        <v>899</v>
      </c>
      <c r="D897">
        <f t="shared" si="144"/>
        <v>75</v>
      </c>
      <c r="E897">
        <f>[1]model_point!$C$2+D897-1</f>
        <v>79</v>
      </c>
      <c r="F897">
        <f>VLOOKUP(E897,'[1]202512 BE mortality'!$A:$C,3,0)</f>
        <v>1.7766699550440335E-3</v>
      </c>
      <c r="G897">
        <f>VLOOKUP(D897,'[1]202512 BE lapse'!$C:$D,2,0)</f>
        <v>5.8453941805870135E-3</v>
      </c>
      <c r="H897">
        <f>VLOOKUP($B897,'[1]202512 RFR'!$A:$B,2,0)</f>
        <v>1.2E-2</v>
      </c>
      <c r="I897">
        <f t="shared" si="151"/>
        <v>0.91420119879840933</v>
      </c>
      <c r="J897">
        <f t="shared" si="152"/>
        <v>1.3548323635911397E-4</v>
      </c>
      <c r="K897">
        <f t="shared" si="153"/>
        <v>0</v>
      </c>
      <c r="L897">
        <f t="shared" si="145"/>
        <v>0.35618265829537077</v>
      </c>
      <c r="M897">
        <f>IF(AND(MOD(C897,12)=1,D897&lt;='[1]Product parameters'!$C$2),I896*[1]model_point!$G$2,0)</f>
        <v>0</v>
      </c>
      <c r="N897">
        <f t="shared" si="146"/>
        <v>0</v>
      </c>
      <c r="O897">
        <f>[2]results_sample_product_cf!G896</f>
        <v>0</v>
      </c>
      <c r="P897">
        <f>[2]results_sample_product_cf!H896</f>
        <v>0</v>
      </c>
      <c r="Q897">
        <f t="shared" si="147"/>
        <v>0</v>
      </c>
      <c r="R897">
        <f t="shared" si="143"/>
        <v>0</v>
      </c>
    </row>
    <row r="898" spans="1:18" x14ac:dyDescent="0.3">
      <c r="A898">
        <f t="shared" si="148"/>
        <v>895</v>
      </c>
      <c r="B898">
        <f t="shared" si="149"/>
        <v>75</v>
      </c>
      <c r="C898">
        <f t="shared" si="150"/>
        <v>900</v>
      </c>
      <c r="D898">
        <f t="shared" si="144"/>
        <v>75</v>
      </c>
      <c r="E898">
        <f>[1]model_point!$C$2+D898-1</f>
        <v>79</v>
      </c>
      <c r="F898">
        <f>VLOOKUP(E898,'[1]202512 BE mortality'!$A:$C,3,0)</f>
        <v>1.7766699550440335E-3</v>
      </c>
      <c r="G898">
        <f>VLOOKUP(D898,'[1]202512 BE lapse'!$C:$D,2,0)</f>
        <v>5.8453941805870135E-3</v>
      </c>
      <c r="H898">
        <f>VLOOKUP($B898,'[1]202512 RFR'!$A:$B,2,0)</f>
        <v>1.2E-2</v>
      </c>
      <c r="I898">
        <f t="shared" si="151"/>
        <v>0.90872266110571664</v>
      </c>
      <c r="J898">
        <f t="shared" si="152"/>
        <v>1.3546316092334176E-4</v>
      </c>
      <c r="K898">
        <f t="shared" si="153"/>
        <v>5.3430745317693479E-3</v>
      </c>
      <c r="L898">
        <f t="shared" si="145"/>
        <v>0.35582877170785804</v>
      </c>
      <c r="M898">
        <f>IF(AND(MOD(C898,12)=1,D898&lt;='[1]Product parameters'!$C$2),I897*[1]model_point!$G$2,0)</f>
        <v>0</v>
      </c>
      <c r="N898">
        <f t="shared" si="146"/>
        <v>0</v>
      </c>
      <c r="O898">
        <f>[2]results_sample_product_cf!G897</f>
        <v>0</v>
      </c>
      <c r="P898">
        <f>[2]results_sample_product_cf!H897</f>
        <v>0</v>
      </c>
      <c r="Q898">
        <f t="shared" si="147"/>
        <v>0</v>
      </c>
      <c r="R898">
        <f t="shared" si="143"/>
        <v>0</v>
      </c>
    </row>
    <row r="899" spans="1:18" x14ac:dyDescent="0.3">
      <c r="A899">
        <f t="shared" si="148"/>
        <v>896</v>
      </c>
      <c r="B899">
        <f t="shared" si="149"/>
        <v>75</v>
      </c>
      <c r="C899">
        <f t="shared" si="150"/>
        <v>901</v>
      </c>
      <c r="D899">
        <f t="shared" si="144"/>
        <v>76</v>
      </c>
      <c r="E899">
        <f>[1]model_point!$C$2+D899-1</f>
        <v>80</v>
      </c>
      <c r="F899">
        <f>VLOOKUP(E899,'[1]202512 BE mortality'!$A:$C,3,0)</f>
        <v>8.1599708609406962E-3</v>
      </c>
      <c r="G899">
        <f>VLOOKUP(D899,'[1]202512 BE lapse'!$C:$D,2,0)</f>
        <v>9.098141601408493E-3</v>
      </c>
      <c r="H899">
        <f>VLOOKUP($B899,'[1]202512 RFR'!$A:$B,2,0)</f>
        <v>1.2E-2</v>
      </c>
      <c r="I899">
        <f t="shared" si="151"/>
        <v>0.90810240873544557</v>
      </c>
      <c r="J899">
        <f t="shared" si="152"/>
        <v>6.2025237027102463E-4</v>
      </c>
      <c r="K899">
        <f t="shared" si="153"/>
        <v>0</v>
      </c>
      <c r="L899">
        <f t="shared" si="145"/>
        <v>0.35547523672566322</v>
      </c>
      <c r="M899">
        <f>IF(AND(MOD(C899,12)=1,D899&lt;='[1]Product parameters'!$C$2),I898*[1]model_point!$G$2,0)</f>
        <v>0</v>
      </c>
      <c r="N899">
        <f t="shared" si="146"/>
        <v>0</v>
      </c>
      <c r="O899">
        <f>[2]results_sample_product_cf!G898</f>
        <v>0</v>
      </c>
      <c r="P899">
        <f>[2]results_sample_product_cf!H898</f>
        <v>0</v>
      </c>
      <c r="Q899">
        <f t="shared" si="147"/>
        <v>0</v>
      </c>
      <c r="R899">
        <f t="shared" ref="R899:R962" si="154">ROUND(N899-P899,6)</f>
        <v>0</v>
      </c>
    </row>
    <row r="900" spans="1:18" x14ac:dyDescent="0.3">
      <c r="A900">
        <f t="shared" si="148"/>
        <v>897</v>
      </c>
      <c r="B900">
        <f t="shared" si="149"/>
        <v>75</v>
      </c>
      <c r="C900">
        <f t="shared" si="150"/>
        <v>902</v>
      </c>
      <c r="D900">
        <f t="shared" ref="D900:D963" si="155">TRUNC((C900-1)/12,0)+1</f>
        <v>76</v>
      </c>
      <c r="E900">
        <f>[1]model_point!$C$2+D900-1</f>
        <v>80</v>
      </c>
      <c r="F900">
        <f>VLOOKUP(E900,'[1]202512 BE mortality'!$A:$C,3,0)</f>
        <v>8.1599708609406962E-3</v>
      </c>
      <c r="G900">
        <f>VLOOKUP(D900,'[1]202512 BE lapse'!$C:$D,2,0)</f>
        <v>9.098141601408493E-3</v>
      </c>
      <c r="H900">
        <f>VLOOKUP($B900,'[1]202512 RFR'!$A:$B,2,0)</f>
        <v>1.2E-2</v>
      </c>
      <c r="I900">
        <f t="shared" si="151"/>
        <v>0.90748257972096757</v>
      </c>
      <c r="J900">
        <f t="shared" si="152"/>
        <v>6.1982901447800551E-4</v>
      </c>
      <c r="K900">
        <f t="shared" si="153"/>
        <v>0</v>
      </c>
      <c r="L900">
        <f t="shared" ref="L900:L963" si="156">L899/(1+H900)^(1/12)</f>
        <v>0.35512205299944766</v>
      </c>
      <c r="M900">
        <f>IF(AND(MOD(C900,12)=1,D900&lt;='[1]Product parameters'!$C$2),I899*[1]model_point!$G$2,0)</f>
        <v>0</v>
      </c>
      <c r="N900">
        <f t="shared" ref="N900:N963" si="157">SUMPRODUCT(L900:L2099,M901:M2100)/L900</f>
        <v>0</v>
      </c>
      <c r="O900">
        <f>[2]results_sample_product_cf!G899</f>
        <v>0</v>
      </c>
      <c r="P900">
        <f>[2]results_sample_product_cf!H899</f>
        <v>0</v>
      </c>
      <c r="Q900">
        <f t="shared" ref="Q900:Q963" si="158">ROUND(M900-O900,6)</f>
        <v>0</v>
      </c>
      <c r="R900">
        <f t="shared" si="154"/>
        <v>0</v>
      </c>
    </row>
    <row r="901" spans="1:18" x14ac:dyDescent="0.3">
      <c r="A901">
        <f t="shared" ref="A901:A964" si="159">A900+1</f>
        <v>898</v>
      </c>
      <c r="B901">
        <f t="shared" ref="B901:B964" si="160">INT((A901-1)/12)+1</f>
        <v>75</v>
      </c>
      <c r="C901">
        <f t="shared" ref="C901:C964" si="161">C900+1</f>
        <v>903</v>
      </c>
      <c r="D901">
        <f t="shared" si="155"/>
        <v>76</v>
      </c>
      <c r="E901">
        <f>[1]model_point!$C$2+D901-1</f>
        <v>80</v>
      </c>
      <c r="F901">
        <f>VLOOKUP(E901,'[1]202512 BE mortality'!$A:$C,3,0)</f>
        <v>8.1599708609406962E-3</v>
      </c>
      <c r="G901">
        <f>VLOOKUP(D901,'[1]202512 BE lapse'!$C:$D,2,0)</f>
        <v>9.098141601408493E-3</v>
      </c>
      <c r="H901">
        <f>VLOOKUP($B901,'[1]202512 RFR'!$A:$B,2,0)</f>
        <v>1.2E-2</v>
      </c>
      <c r="I901">
        <f t="shared" ref="I901:I964" si="162">I900-J901-K901</f>
        <v>0.90686317377331938</v>
      </c>
      <c r="J901">
        <f t="shared" ref="J901:J964" si="163">I900*(1-(1-F901)^(1/12))</f>
        <v>6.1940594764821506E-4</v>
      </c>
      <c r="K901">
        <f t="shared" ref="K901:K964" si="164">(I900-J901)*IF(MOD(C901,12)=0,G901,0)</f>
        <v>0</v>
      </c>
      <c r="L901">
        <f t="shared" si="156"/>
        <v>0.35476922018021961</v>
      </c>
      <c r="M901">
        <f>IF(AND(MOD(C901,12)=1,D901&lt;='[1]Product parameters'!$C$2),I900*[1]model_point!$G$2,0)</f>
        <v>0</v>
      </c>
      <c r="N901">
        <f t="shared" si="157"/>
        <v>0</v>
      </c>
      <c r="O901">
        <f>[2]results_sample_product_cf!G900</f>
        <v>0</v>
      </c>
      <c r="P901">
        <f>[2]results_sample_product_cf!H900</f>
        <v>0</v>
      </c>
      <c r="Q901">
        <f t="shared" si="158"/>
        <v>0</v>
      </c>
      <c r="R901">
        <f t="shared" si="154"/>
        <v>0</v>
      </c>
    </row>
    <row r="902" spans="1:18" x14ac:dyDescent="0.3">
      <c r="A902">
        <f t="shared" si="159"/>
        <v>899</v>
      </c>
      <c r="B902">
        <f t="shared" si="160"/>
        <v>75</v>
      </c>
      <c r="C902">
        <f t="shared" si="161"/>
        <v>904</v>
      </c>
      <c r="D902">
        <f t="shared" si="155"/>
        <v>76</v>
      </c>
      <c r="E902">
        <f>[1]model_point!$C$2+D902-1</f>
        <v>80</v>
      </c>
      <c r="F902">
        <f>VLOOKUP(E902,'[1]202512 BE mortality'!$A:$C,3,0)</f>
        <v>8.1599708609406962E-3</v>
      </c>
      <c r="G902">
        <f>VLOOKUP(D902,'[1]202512 BE lapse'!$C:$D,2,0)</f>
        <v>9.098141601408493E-3</v>
      </c>
      <c r="H902">
        <f>VLOOKUP($B902,'[1]202512 RFR'!$A:$B,2,0)</f>
        <v>1.2E-2</v>
      </c>
      <c r="I902">
        <f t="shared" si="162"/>
        <v>0.90624419060373496</v>
      </c>
      <c r="J902">
        <f t="shared" si="163"/>
        <v>6.1898316958442032E-4</v>
      </c>
      <c r="K902">
        <f t="shared" si="164"/>
        <v>0</v>
      </c>
      <c r="L902">
        <f t="shared" si="156"/>
        <v>0.35441673791933415</v>
      </c>
      <c r="M902">
        <f>IF(AND(MOD(C902,12)=1,D902&lt;='[1]Product parameters'!$C$2),I901*[1]model_point!$G$2,0)</f>
        <v>0</v>
      </c>
      <c r="N902">
        <f t="shared" si="157"/>
        <v>0</v>
      </c>
      <c r="O902">
        <f>[2]results_sample_product_cf!G901</f>
        <v>0</v>
      </c>
      <c r="P902">
        <f>[2]results_sample_product_cf!H901</f>
        <v>0</v>
      </c>
      <c r="Q902">
        <f t="shared" si="158"/>
        <v>0</v>
      </c>
      <c r="R902">
        <f t="shared" si="154"/>
        <v>0</v>
      </c>
    </row>
    <row r="903" spans="1:18" x14ac:dyDescent="0.3">
      <c r="A903">
        <f t="shared" si="159"/>
        <v>900</v>
      </c>
      <c r="B903">
        <f t="shared" si="160"/>
        <v>75</v>
      </c>
      <c r="C903">
        <f t="shared" si="161"/>
        <v>905</v>
      </c>
      <c r="D903">
        <f t="shared" si="155"/>
        <v>76</v>
      </c>
      <c r="E903">
        <f>[1]model_point!$C$2+D903-1</f>
        <v>80</v>
      </c>
      <c r="F903">
        <f>VLOOKUP(E903,'[1]202512 BE mortality'!$A:$C,3,0)</f>
        <v>8.1599708609406962E-3</v>
      </c>
      <c r="G903">
        <f>VLOOKUP(D903,'[1]202512 BE lapse'!$C:$D,2,0)</f>
        <v>9.098141601408493E-3</v>
      </c>
      <c r="H903">
        <f>VLOOKUP($B903,'[1]202512 RFR'!$A:$B,2,0)</f>
        <v>1.2E-2</v>
      </c>
      <c r="I903">
        <f t="shared" si="162"/>
        <v>0.90562562992364548</v>
      </c>
      <c r="J903">
        <f t="shared" si="163"/>
        <v>6.1856068008952266E-4</v>
      </c>
      <c r="K903">
        <f t="shared" si="164"/>
        <v>0</v>
      </c>
      <c r="L903">
        <f t="shared" si="156"/>
        <v>0.35406460586849281</v>
      </c>
      <c r="M903">
        <f>IF(AND(MOD(C903,12)=1,D903&lt;='[1]Product parameters'!$C$2),I902*[1]model_point!$G$2,0)</f>
        <v>0</v>
      </c>
      <c r="N903">
        <f t="shared" si="157"/>
        <v>0</v>
      </c>
      <c r="O903">
        <f>[2]results_sample_product_cf!G902</f>
        <v>0</v>
      </c>
      <c r="P903">
        <f>[2]results_sample_product_cf!H902</f>
        <v>0</v>
      </c>
      <c r="Q903">
        <f t="shared" si="158"/>
        <v>0</v>
      </c>
      <c r="R903">
        <f t="shared" si="154"/>
        <v>0</v>
      </c>
    </row>
    <row r="904" spans="1:18" x14ac:dyDescent="0.3">
      <c r="A904">
        <f t="shared" si="159"/>
        <v>901</v>
      </c>
      <c r="B904">
        <f t="shared" si="160"/>
        <v>76</v>
      </c>
      <c r="C904">
        <f t="shared" si="161"/>
        <v>906</v>
      </c>
      <c r="D904">
        <f t="shared" si="155"/>
        <v>76</v>
      </c>
      <c r="E904">
        <f>[1]model_point!$C$2+D904-1</f>
        <v>80</v>
      </c>
      <c r="F904">
        <f>VLOOKUP(E904,'[1]202512 BE mortality'!$A:$C,3,0)</f>
        <v>8.1599708609406962E-3</v>
      </c>
      <c r="G904">
        <f>VLOOKUP(D904,'[1]202512 BE lapse'!$C:$D,2,0)</f>
        <v>9.098141601408493E-3</v>
      </c>
      <c r="H904">
        <f>VLOOKUP($B904,'[1]202512 RFR'!$A:$B,2,0)</f>
        <v>1.2E-2</v>
      </c>
      <c r="I904">
        <f t="shared" si="162"/>
        <v>0.90500749144467896</v>
      </c>
      <c r="J904">
        <f t="shared" si="163"/>
        <v>6.1813847896655832E-4</v>
      </c>
      <c r="K904">
        <f t="shared" si="164"/>
        <v>0</v>
      </c>
      <c r="L904">
        <f t="shared" si="156"/>
        <v>0.35371282367974305</v>
      </c>
      <c r="M904">
        <f>IF(AND(MOD(C904,12)=1,D904&lt;='[1]Product parameters'!$C$2),I903*[1]model_point!$G$2,0)</f>
        <v>0</v>
      </c>
      <c r="N904">
        <f t="shared" si="157"/>
        <v>0</v>
      </c>
      <c r="O904">
        <f>[2]results_sample_product_cf!G903</f>
        <v>0</v>
      </c>
      <c r="P904">
        <f>[2]results_sample_product_cf!H903</f>
        <v>0</v>
      </c>
      <c r="Q904">
        <f t="shared" si="158"/>
        <v>0</v>
      </c>
      <c r="R904">
        <f t="shared" si="154"/>
        <v>0</v>
      </c>
    </row>
    <row r="905" spans="1:18" x14ac:dyDescent="0.3">
      <c r="A905">
        <f t="shared" si="159"/>
        <v>902</v>
      </c>
      <c r="B905">
        <f t="shared" si="160"/>
        <v>76</v>
      </c>
      <c r="C905">
        <f t="shared" si="161"/>
        <v>907</v>
      </c>
      <c r="D905">
        <f t="shared" si="155"/>
        <v>76</v>
      </c>
      <c r="E905">
        <f>[1]model_point!$C$2+D905-1</f>
        <v>80</v>
      </c>
      <c r="F905">
        <f>VLOOKUP(E905,'[1]202512 BE mortality'!$A:$C,3,0)</f>
        <v>8.1599708609406962E-3</v>
      </c>
      <c r="G905">
        <f>VLOOKUP(D905,'[1]202512 BE lapse'!$C:$D,2,0)</f>
        <v>9.098141601408493E-3</v>
      </c>
      <c r="H905">
        <f>VLOOKUP($B905,'[1]202512 RFR'!$A:$B,2,0)</f>
        <v>1.2E-2</v>
      </c>
      <c r="I905">
        <f t="shared" si="162"/>
        <v>0.90438977487866024</v>
      </c>
      <c r="J905">
        <f t="shared" si="163"/>
        <v>6.1771656601869787E-4</v>
      </c>
      <c r="K905">
        <f t="shared" si="164"/>
        <v>0</v>
      </c>
      <c r="L905">
        <f t="shared" si="156"/>
        <v>0.35336139100547814</v>
      </c>
      <c r="M905">
        <f>IF(AND(MOD(C905,12)=1,D905&lt;='[1]Product parameters'!$C$2),I904*[1]model_point!$G$2,0)</f>
        <v>0</v>
      </c>
      <c r="N905">
        <f t="shared" si="157"/>
        <v>0</v>
      </c>
      <c r="O905">
        <f>[2]results_sample_product_cf!G904</f>
        <v>0</v>
      </c>
      <c r="P905">
        <f>[2]results_sample_product_cf!H904</f>
        <v>0</v>
      </c>
      <c r="Q905">
        <f t="shared" si="158"/>
        <v>0</v>
      </c>
      <c r="R905">
        <f t="shared" si="154"/>
        <v>0</v>
      </c>
    </row>
    <row r="906" spans="1:18" x14ac:dyDescent="0.3">
      <c r="A906">
        <f t="shared" si="159"/>
        <v>903</v>
      </c>
      <c r="B906">
        <f t="shared" si="160"/>
        <v>76</v>
      </c>
      <c r="C906">
        <f t="shared" si="161"/>
        <v>908</v>
      </c>
      <c r="D906">
        <f t="shared" si="155"/>
        <v>76</v>
      </c>
      <c r="E906">
        <f>[1]model_point!$C$2+D906-1</f>
        <v>80</v>
      </c>
      <c r="F906">
        <f>VLOOKUP(E906,'[1]202512 BE mortality'!$A:$C,3,0)</f>
        <v>8.1599708609406962E-3</v>
      </c>
      <c r="G906">
        <f>VLOOKUP(D906,'[1]202512 BE lapse'!$C:$D,2,0)</f>
        <v>9.098141601408493E-3</v>
      </c>
      <c r="H906">
        <f>VLOOKUP($B906,'[1]202512 RFR'!$A:$B,2,0)</f>
        <v>1.2E-2</v>
      </c>
      <c r="I906">
        <f t="shared" si="162"/>
        <v>0.90377247993761101</v>
      </c>
      <c r="J906">
        <f t="shared" si="163"/>
        <v>6.1729494104924613E-4</v>
      </c>
      <c r="K906">
        <f t="shared" si="164"/>
        <v>0</v>
      </c>
      <c r="L906">
        <f t="shared" si="156"/>
        <v>0.3530103074984367</v>
      </c>
      <c r="M906">
        <f>IF(AND(MOD(C906,12)=1,D906&lt;='[1]Product parameters'!$C$2),I905*[1]model_point!$G$2,0)</f>
        <v>0</v>
      </c>
      <c r="N906">
        <f t="shared" si="157"/>
        <v>0</v>
      </c>
      <c r="O906">
        <f>[2]results_sample_product_cf!G905</f>
        <v>0</v>
      </c>
      <c r="P906">
        <f>[2]results_sample_product_cf!H905</f>
        <v>0</v>
      </c>
      <c r="Q906">
        <f t="shared" si="158"/>
        <v>0</v>
      </c>
      <c r="R906">
        <f t="shared" si="154"/>
        <v>0</v>
      </c>
    </row>
    <row r="907" spans="1:18" x14ac:dyDescent="0.3">
      <c r="A907">
        <f t="shared" si="159"/>
        <v>904</v>
      </c>
      <c r="B907">
        <f t="shared" si="160"/>
        <v>76</v>
      </c>
      <c r="C907">
        <f t="shared" si="161"/>
        <v>909</v>
      </c>
      <c r="D907">
        <f t="shared" si="155"/>
        <v>76</v>
      </c>
      <c r="E907">
        <f>[1]model_point!$C$2+D907-1</f>
        <v>80</v>
      </c>
      <c r="F907">
        <f>VLOOKUP(E907,'[1]202512 BE mortality'!$A:$C,3,0)</f>
        <v>8.1599708609406962E-3</v>
      </c>
      <c r="G907">
        <f>VLOOKUP(D907,'[1]202512 BE lapse'!$C:$D,2,0)</f>
        <v>9.098141601408493E-3</v>
      </c>
      <c r="H907">
        <f>VLOOKUP($B907,'[1]202512 RFR'!$A:$B,2,0)</f>
        <v>1.2E-2</v>
      </c>
      <c r="I907">
        <f t="shared" si="162"/>
        <v>0.90315560633374936</v>
      </c>
      <c r="J907">
        <f t="shared" si="163"/>
        <v>6.1687360386164232E-4</v>
      </c>
      <c r="K907">
        <f t="shared" si="164"/>
        <v>0</v>
      </c>
      <c r="L907">
        <f t="shared" si="156"/>
        <v>0.35265957281170229</v>
      </c>
      <c r="M907">
        <f>IF(AND(MOD(C907,12)=1,D907&lt;='[1]Product parameters'!$C$2),I906*[1]model_point!$G$2,0)</f>
        <v>0</v>
      </c>
      <c r="N907">
        <f t="shared" si="157"/>
        <v>0</v>
      </c>
      <c r="O907">
        <f>[2]results_sample_product_cf!G906</f>
        <v>0</v>
      </c>
      <c r="P907">
        <f>[2]results_sample_product_cf!H906</f>
        <v>0</v>
      </c>
      <c r="Q907">
        <f t="shared" si="158"/>
        <v>0</v>
      </c>
      <c r="R907">
        <f t="shared" si="154"/>
        <v>0</v>
      </c>
    </row>
    <row r="908" spans="1:18" x14ac:dyDescent="0.3">
      <c r="A908">
        <f t="shared" si="159"/>
        <v>905</v>
      </c>
      <c r="B908">
        <f t="shared" si="160"/>
        <v>76</v>
      </c>
      <c r="C908">
        <f t="shared" si="161"/>
        <v>910</v>
      </c>
      <c r="D908">
        <f t="shared" si="155"/>
        <v>76</v>
      </c>
      <c r="E908">
        <f>[1]model_point!$C$2+D908-1</f>
        <v>80</v>
      </c>
      <c r="F908">
        <f>VLOOKUP(E908,'[1]202512 BE mortality'!$A:$C,3,0)</f>
        <v>8.1599708609406962E-3</v>
      </c>
      <c r="G908">
        <f>VLOOKUP(D908,'[1]202512 BE lapse'!$C:$D,2,0)</f>
        <v>9.098141601408493E-3</v>
      </c>
      <c r="H908">
        <f>VLOOKUP($B908,'[1]202512 RFR'!$A:$B,2,0)</f>
        <v>1.2E-2</v>
      </c>
      <c r="I908">
        <f t="shared" si="162"/>
        <v>0.9025391537794899</v>
      </c>
      <c r="J908">
        <f t="shared" si="163"/>
        <v>6.1645255425945981E-4</v>
      </c>
      <c r="K908">
        <f t="shared" si="164"/>
        <v>0</v>
      </c>
      <c r="L908">
        <f t="shared" si="156"/>
        <v>0.35230918659870325</v>
      </c>
      <c r="M908">
        <f>IF(AND(MOD(C908,12)=1,D908&lt;='[1]Product parameters'!$C$2),I907*[1]model_point!$G$2,0)</f>
        <v>0</v>
      </c>
      <c r="N908">
        <f t="shared" si="157"/>
        <v>0</v>
      </c>
      <c r="O908">
        <f>[2]results_sample_product_cf!G907</f>
        <v>0</v>
      </c>
      <c r="P908">
        <f>[2]results_sample_product_cf!H907</f>
        <v>0</v>
      </c>
      <c r="Q908">
        <f t="shared" si="158"/>
        <v>0</v>
      </c>
      <c r="R908">
        <f t="shared" si="154"/>
        <v>0</v>
      </c>
    </row>
    <row r="909" spans="1:18" x14ac:dyDescent="0.3">
      <c r="A909">
        <f t="shared" si="159"/>
        <v>906</v>
      </c>
      <c r="B909">
        <f t="shared" si="160"/>
        <v>76</v>
      </c>
      <c r="C909">
        <f t="shared" si="161"/>
        <v>911</v>
      </c>
      <c r="D909">
        <f t="shared" si="155"/>
        <v>76</v>
      </c>
      <c r="E909">
        <f>[1]model_point!$C$2+D909-1</f>
        <v>80</v>
      </c>
      <c r="F909">
        <f>VLOOKUP(E909,'[1]202512 BE mortality'!$A:$C,3,0)</f>
        <v>8.1599708609406962E-3</v>
      </c>
      <c r="G909">
        <f>VLOOKUP(D909,'[1]202512 BE lapse'!$C:$D,2,0)</f>
        <v>9.098141601408493E-3</v>
      </c>
      <c r="H909">
        <f>VLOOKUP($B909,'[1]202512 RFR'!$A:$B,2,0)</f>
        <v>1.2E-2</v>
      </c>
      <c r="I909">
        <f t="shared" si="162"/>
        <v>0.90192312198744351</v>
      </c>
      <c r="J909">
        <f t="shared" si="163"/>
        <v>6.1603179204640596E-4</v>
      </c>
      <c r="K909">
        <f t="shared" si="164"/>
        <v>0</v>
      </c>
      <c r="L909">
        <f t="shared" si="156"/>
        <v>0.35195914851321225</v>
      </c>
      <c r="M909">
        <f>IF(AND(MOD(C909,12)=1,D909&lt;='[1]Product parameters'!$C$2),I908*[1]model_point!$G$2,0)</f>
        <v>0</v>
      </c>
      <c r="N909">
        <f t="shared" si="157"/>
        <v>0</v>
      </c>
      <c r="O909">
        <f>[2]results_sample_product_cf!G908</f>
        <v>0</v>
      </c>
      <c r="P909">
        <f>[2]results_sample_product_cf!H908</f>
        <v>0</v>
      </c>
      <c r="Q909">
        <f t="shared" si="158"/>
        <v>0</v>
      </c>
      <c r="R909">
        <f t="shared" si="154"/>
        <v>0</v>
      </c>
    </row>
    <row r="910" spans="1:18" x14ac:dyDescent="0.3">
      <c r="A910">
        <f t="shared" si="159"/>
        <v>907</v>
      </c>
      <c r="B910">
        <f t="shared" si="160"/>
        <v>76</v>
      </c>
      <c r="C910">
        <f t="shared" si="161"/>
        <v>912</v>
      </c>
      <c r="D910">
        <f t="shared" si="155"/>
        <v>76</v>
      </c>
      <c r="E910">
        <f>[1]model_point!$C$2+D910-1</f>
        <v>80</v>
      </c>
      <c r="F910">
        <f>VLOOKUP(E910,'[1]202512 BE mortality'!$A:$C,3,0)</f>
        <v>8.1599708609406962E-3</v>
      </c>
      <c r="G910">
        <f>VLOOKUP(D910,'[1]202512 BE lapse'!$C:$D,2,0)</f>
        <v>9.098141601408493E-3</v>
      </c>
      <c r="H910">
        <f>VLOOKUP($B910,'[1]202512 RFR'!$A:$B,2,0)</f>
        <v>1.2E-2</v>
      </c>
      <c r="I910">
        <f t="shared" si="162"/>
        <v>0.89310728731192468</v>
      </c>
      <c r="J910">
        <f t="shared" si="163"/>
        <v>6.1561131702632204E-4</v>
      </c>
      <c r="K910">
        <f t="shared" si="164"/>
        <v>8.2002233584924523E-3</v>
      </c>
      <c r="L910">
        <f t="shared" si="156"/>
        <v>0.35160945820934592</v>
      </c>
      <c r="M910">
        <f>IF(AND(MOD(C910,12)=1,D910&lt;='[1]Product parameters'!$C$2),I909*[1]model_point!$G$2,0)</f>
        <v>0</v>
      </c>
      <c r="N910">
        <f t="shared" si="157"/>
        <v>0</v>
      </c>
      <c r="O910">
        <f>[2]results_sample_product_cf!G909</f>
        <v>0</v>
      </c>
      <c r="P910">
        <f>[2]results_sample_product_cf!H909</f>
        <v>0</v>
      </c>
      <c r="Q910">
        <f t="shared" si="158"/>
        <v>0</v>
      </c>
      <c r="R910">
        <f t="shared" si="154"/>
        <v>0</v>
      </c>
    </row>
    <row r="911" spans="1:18" x14ac:dyDescent="0.3">
      <c r="A911">
        <f t="shared" si="159"/>
        <v>908</v>
      </c>
      <c r="B911">
        <f t="shared" si="160"/>
        <v>76</v>
      </c>
      <c r="C911">
        <f t="shared" si="161"/>
        <v>913</v>
      </c>
      <c r="D911">
        <f t="shared" si="155"/>
        <v>77</v>
      </c>
      <c r="E911">
        <f>[1]model_point!$C$2+D911-1</f>
        <v>81</v>
      </c>
      <c r="F911">
        <f>VLOOKUP(E911,'[1]202512 BE mortality'!$A:$C,3,0)</f>
        <v>8.4223681740007803E-3</v>
      </c>
      <c r="G911">
        <f>VLOOKUP(D911,'[1]202512 BE lapse'!$C:$D,2,0)</f>
        <v>7.3303281827977293E-4</v>
      </c>
      <c r="H911">
        <f>VLOOKUP($B911,'[1]202512 RFR'!$A:$B,2,0)</f>
        <v>1.2E-2</v>
      </c>
      <c r="I911">
        <f t="shared" si="162"/>
        <v>0.89247801458485621</v>
      </c>
      <c r="J911">
        <f t="shared" si="163"/>
        <v>6.2927272706852231E-4</v>
      </c>
      <c r="K911">
        <f t="shared" si="164"/>
        <v>0</v>
      </c>
      <c r="L911">
        <f t="shared" si="156"/>
        <v>0.35126011534156448</v>
      </c>
      <c r="M911">
        <f>IF(AND(MOD(C911,12)=1,D911&lt;='[1]Product parameters'!$C$2),I910*[1]model_point!$G$2,0)</f>
        <v>0</v>
      </c>
      <c r="N911">
        <f t="shared" si="157"/>
        <v>0</v>
      </c>
      <c r="O911">
        <f>[2]results_sample_product_cf!G910</f>
        <v>0</v>
      </c>
      <c r="P911">
        <f>[2]results_sample_product_cf!H910</f>
        <v>0</v>
      </c>
      <c r="Q911">
        <f t="shared" si="158"/>
        <v>0</v>
      </c>
      <c r="R911">
        <f t="shared" si="154"/>
        <v>0</v>
      </c>
    </row>
    <row r="912" spans="1:18" x14ac:dyDescent="0.3">
      <c r="A912">
        <f t="shared" si="159"/>
        <v>909</v>
      </c>
      <c r="B912">
        <f t="shared" si="160"/>
        <v>76</v>
      </c>
      <c r="C912">
        <f t="shared" si="161"/>
        <v>914</v>
      </c>
      <c r="D912">
        <f t="shared" si="155"/>
        <v>77</v>
      </c>
      <c r="E912">
        <f>[1]model_point!$C$2+D912-1</f>
        <v>81</v>
      </c>
      <c r="F912">
        <f>VLOOKUP(E912,'[1]202512 BE mortality'!$A:$C,3,0)</f>
        <v>8.4223681740007803E-3</v>
      </c>
      <c r="G912">
        <f>VLOOKUP(D912,'[1]202512 BE lapse'!$C:$D,2,0)</f>
        <v>7.3303281827977293E-4</v>
      </c>
      <c r="H912">
        <f>VLOOKUP($B912,'[1]202512 RFR'!$A:$B,2,0)</f>
        <v>1.2E-2</v>
      </c>
      <c r="I912">
        <f t="shared" si="162"/>
        <v>0.8918491852358349</v>
      </c>
      <c r="J912">
        <f t="shared" si="163"/>
        <v>6.2882934902127327E-4</v>
      </c>
      <c r="K912">
        <f t="shared" si="164"/>
        <v>0</v>
      </c>
      <c r="L912">
        <f t="shared" si="156"/>
        <v>0.35091111956467158</v>
      </c>
      <c r="M912">
        <f>IF(AND(MOD(C912,12)=1,D912&lt;='[1]Product parameters'!$C$2),I911*[1]model_point!$G$2,0)</f>
        <v>0</v>
      </c>
      <c r="N912">
        <f t="shared" si="157"/>
        <v>0</v>
      </c>
      <c r="O912">
        <f>[2]results_sample_product_cf!G911</f>
        <v>0</v>
      </c>
      <c r="P912">
        <f>[2]results_sample_product_cf!H911</f>
        <v>0</v>
      </c>
      <c r="Q912">
        <f t="shared" si="158"/>
        <v>0</v>
      </c>
      <c r="R912">
        <f t="shared" si="154"/>
        <v>0</v>
      </c>
    </row>
    <row r="913" spans="1:18" x14ac:dyDescent="0.3">
      <c r="A913">
        <f t="shared" si="159"/>
        <v>910</v>
      </c>
      <c r="B913">
        <f t="shared" si="160"/>
        <v>76</v>
      </c>
      <c r="C913">
        <f t="shared" si="161"/>
        <v>915</v>
      </c>
      <c r="D913">
        <f t="shared" si="155"/>
        <v>77</v>
      </c>
      <c r="E913">
        <f>[1]model_point!$C$2+D913-1</f>
        <v>81</v>
      </c>
      <c r="F913">
        <f>VLOOKUP(E913,'[1]202512 BE mortality'!$A:$C,3,0)</f>
        <v>8.4223681740007803E-3</v>
      </c>
      <c r="G913">
        <f>VLOOKUP(D913,'[1]202512 BE lapse'!$C:$D,2,0)</f>
        <v>7.3303281827977293E-4</v>
      </c>
      <c r="H913">
        <f>VLOOKUP($B913,'[1]202512 RFR'!$A:$B,2,0)</f>
        <v>1.2E-2</v>
      </c>
      <c r="I913">
        <f t="shared" si="162"/>
        <v>0.89122079895246198</v>
      </c>
      <c r="J913">
        <f t="shared" si="163"/>
        <v>6.2838628337290043E-4</v>
      </c>
      <c r="K913">
        <f t="shared" si="164"/>
        <v>0</v>
      </c>
      <c r="L913">
        <f t="shared" si="156"/>
        <v>0.35056247053381384</v>
      </c>
      <c r="M913">
        <f>IF(AND(MOD(C913,12)=1,D913&lt;='[1]Product parameters'!$C$2),I912*[1]model_point!$G$2,0)</f>
        <v>0</v>
      </c>
      <c r="N913">
        <f t="shared" si="157"/>
        <v>0</v>
      </c>
      <c r="O913">
        <f>[2]results_sample_product_cf!G912</f>
        <v>0</v>
      </c>
      <c r="P913">
        <f>[2]results_sample_product_cf!H912</f>
        <v>0</v>
      </c>
      <c r="Q913">
        <f t="shared" si="158"/>
        <v>0</v>
      </c>
      <c r="R913">
        <f t="shared" si="154"/>
        <v>0</v>
      </c>
    </row>
    <row r="914" spans="1:18" x14ac:dyDescent="0.3">
      <c r="A914">
        <f t="shared" si="159"/>
        <v>911</v>
      </c>
      <c r="B914">
        <f t="shared" si="160"/>
        <v>76</v>
      </c>
      <c r="C914">
        <f t="shared" si="161"/>
        <v>916</v>
      </c>
      <c r="D914">
        <f t="shared" si="155"/>
        <v>77</v>
      </c>
      <c r="E914">
        <f>[1]model_point!$C$2+D914-1</f>
        <v>81</v>
      </c>
      <c r="F914">
        <f>VLOOKUP(E914,'[1]202512 BE mortality'!$A:$C,3,0)</f>
        <v>8.4223681740007803E-3</v>
      </c>
      <c r="G914">
        <f>VLOOKUP(D914,'[1]202512 BE lapse'!$C:$D,2,0)</f>
        <v>7.3303281827977293E-4</v>
      </c>
      <c r="H914">
        <f>VLOOKUP($B914,'[1]202512 RFR'!$A:$B,2,0)</f>
        <v>1.2E-2</v>
      </c>
      <c r="I914">
        <f t="shared" si="162"/>
        <v>0.89059285542255873</v>
      </c>
      <c r="J914">
        <f t="shared" si="163"/>
        <v>6.2794352990329133E-4</v>
      </c>
      <c r="K914">
        <f t="shared" si="164"/>
        <v>0</v>
      </c>
      <c r="L914">
        <f t="shared" si="156"/>
        <v>0.3502141679044804</v>
      </c>
      <c r="M914">
        <f>IF(AND(MOD(C914,12)=1,D914&lt;='[1]Product parameters'!$C$2),I913*[1]model_point!$G$2,0)</f>
        <v>0</v>
      </c>
      <c r="N914">
        <f t="shared" si="157"/>
        <v>0</v>
      </c>
      <c r="O914">
        <f>[2]results_sample_product_cf!G913</f>
        <v>0</v>
      </c>
      <c r="P914">
        <f>[2]results_sample_product_cf!H913</f>
        <v>0</v>
      </c>
      <c r="Q914">
        <f t="shared" si="158"/>
        <v>0</v>
      </c>
      <c r="R914">
        <f t="shared" si="154"/>
        <v>0</v>
      </c>
    </row>
    <row r="915" spans="1:18" x14ac:dyDescent="0.3">
      <c r="A915">
        <f t="shared" si="159"/>
        <v>912</v>
      </c>
      <c r="B915">
        <f t="shared" si="160"/>
        <v>76</v>
      </c>
      <c r="C915">
        <f t="shared" si="161"/>
        <v>917</v>
      </c>
      <c r="D915">
        <f t="shared" si="155"/>
        <v>77</v>
      </c>
      <c r="E915">
        <f>[1]model_point!$C$2+D915-1</f>
        <v>81</v>
      </c>
      <c r="F915">
        <f>VLOOKUP(E915,'[1]202512 BE mortality'!$A:$C,3,0)</f>
        <v>8.4223681740007803E-3</v>
      </c>
      <c r="G915">
        <f>VLOOKUP(D915,'[1]202512 BE lapse'!$C:$D,2,0)</f>
        <v>7.3303281827977293E-4</v>
      </c>
      <c r="H915">
        <f>VLOOKUP($B915,'[1]202512 RFR'!$A:$B,2,0)</f>
        <v>1.2E-2</v>
      </c>
      <c r="I915">
        <f t="shared" si="162"/>
        <v>0.88996535433416624</v>
      </c>
      <c r="J915">
        <f t="shared" si="163"/>
        <v>6.2750108839248857E-4</v>
      </c>
      <c r="K915">
        <f t="shared" si="164"/>
        <v>0</v>
      </c>
      <c r="L915">
        <f t="shared" si="156"/>
        <v>0.34986621133250279</v>
      </c>
      <c r="M915">
        <f>IF(AND(MOD(C915,12)=1,D915&lt;='[1]Product parameters'!$C$2),I914*[1]model_point!$G$2,0)</f>
        <v>0</v>
      </c>
      <c r="N915">
        <f t="shared" si="157"/>
        <v>0</v>
      </c>
      <c r="O915">
        <f>[2]results_sample_product_cf!G914</f>
        <v>0</v>
      </c>
      <c r="P915">
        <f>[2]results_sample_product_cf!H914</f>
        <v>0</v>
      </c>
      <c r="Q915">
        <f t="shared" si="158"/>
        <v>0</v>
      </c>
      <c r="R915">
        <f t="shared" si="154"/>
        <v>0</v>
      </c>
    </row>
    <row r="916" spans="1:18" x14ac:dyDescent="0.3">
      <c r="A916">
        <f t="shared" si="159"/>
        <v>913</v>
      </c>
      <c r="B916">
        <f t="shared" si="160"/>
        <v>77</v>
      </c>
      <c r="C916">
        <f t="shared" si="161"/>
        <v>918</v>
      </c>
      <c r="D916">
        <f t="shared" si="155"/>
        <v>77</v>
      </c>
      <c r="E916">
        <f>[1]model_point!$C$2+D916-1</f>
        <v>81</v>
      </c>
      <c r="F916">
        <f>VLOOKUP(E916,'[1]202512 BE mortality'!$A:$C,3,0)</f>
        <v>8.4223681740007803E-3</v>
      </c>
      <c r="G916">
        <f>VLOOKUP(D916,'[1]202512 BE lapse'!$C:$D,2,0)</f>
        <v>7.3303281827977293E-4</v>
      </c>
      <c r="H916">
        <f>VLOOKUP($B916,'[1]202512 RFR'!$A:$B,2,0)</f>
        <v>1.2E-2</v>
      </c>
      <c r="I916">
        <f t="shared" si="162"/>
        <v>0.88933829537554554</v>
      </c>
      <c r="J916">
        <f t="shared" si="163"/>
        <v>6.2705895862068966E-4</v>
      </c>
      <c r="K916">
        <f t="shared" si="164"/>
        <v>0</v>
      </c>
      <c r="L916">
        <f t="shared" si="156"/>
        <v>0.34951860047405442</v>
      </c>
      <c r="M916">
        <f>IF(AND(MOD(C916,12)=1,D916&lt;='[1]Product parameters'!$C$2),I915*[1]model_point!$G$2,0)</f>
        <v>0</v>
      </c>
      <c r="N916">
        <f t="shared" si="157"/>
        <v>0</v>
      </c>
      <c r="O916">
        <f>[2]results_sample_product_cf!G915</f>
        <v>0</v>
      </c>
      <c r="P916">
        <f>[2]results_sample_product_cf!H915</f>
        <v>0</v>
      </c>
      <c r="Q916">
        <f t="shared" si="158"/>
        <v>0</v>
      </c>
      <c r="R916">
        <f t="shared" si="154"/>
        <v>0</v>
      </c>
    </row>
    <row r="917" spans="1:18" x14ac:dyDescent="0.3">
      <c r="A917">
        <f t="shared" si="159"/>
        <v>914</v>
      </c>
      <c r="B917">
        <f t="shared" si="160"/>
        <v>77</v>
      </c>
      <c r="C917">
        <f t="shared" si="161"/>
        <v>919</v>
      </c>
      <c r="D917">
        <f t="shared" si="155"/>
        <v>77</v>
      </c>
      <c r="E917">
        <f>[1]model_point!$C$2+D917-1</f>
        <v>81</v>
      </c>
      <c r="F917">
        <f>VLOOKUP(E917,'[1]202512 BE mortality'!$A:$C,3,0)</f>
        <v>8.4223681740007803E-3</v>
      </c>
      <c r="G917">
        <f>VLOOKUP(D917,'[1]202512 BE lapse'!$C:$D,2,0)</f>
        <v>7.3303281827977293E-4</v>
      </c>
      <c r="H917">
        <f>VLOOKUP($B917,'[1]202512 RFR'!$A:$B,2,0)</f>
        <v>1.2E-2</v>
      </c>
      <c r="I917">
        <f t="shared" si="162"/>
        <v>0.88871167823517727</v>
      </c>
      <c r="J917">
        <f t="shared" si="163"/>
        <v>6.2661714036824697E-4</v>
      </c>
      <c r="K917">
        <f t="shared" si="164"/>
        <v>0</v>
      </c>
      <c r="L917">
        <f t="shared" si="156"/>
        <v>0.34917133498565034</v>
      </c>
      <c r="M917">
        <f>IF(AND(MOD(C917,12)=1,D917&lt;='[1]Product parameters'!$C$2),I916*[1]model_point!$G$2,0)</f>
        <v>0</v>
      </c>
      <c r="N917">
        <f t="shared" si="157"/>
        <v>0</v>
      </c>
      <c r="O917">
        <f>[2]results_sample_product_cf!G916</f>
        <v>0</v>
      </c>
      <c r="P917">
        <f>[2]results_sample_product_cf!H916</f>
        <v>0</v>
      </c>
      <c r="Q917">
        <f t="shared" si="158"/>
        <v>0</v>
      </c>
      <c r="R917">
        <f t="shared" si="154"/>
        <v>0</v>
      </c>
    </row>
    <row r="918" spans="1:18" x14ac:dyDescent="0.3">
      <c r="A918">
        <f t="shared" si="159"/>
        <v>915</v>
      </c>
      <c r="B918">
        <f t="shared" si="160"/>
        <v>77</v>
      </c>
      <c r="C918">
        <f t="shared" si="161"/>
        <v>920</v>
      </c>
      <c r="D918">
        <f t="shared" si="155"/>
        <v>77</v>
      </c>
      <c r="E918">
        <f>[1]model_point!$C$2+D918-1</f>
        <v>81</v>
      </c>
      <c r="F918">
        <f>VLOOKUP(E918,'[1]202512 BE mortality'!$A:$C,3,0)</f>
        <v>8.4223681740007803E-3</v>
      </c>
      <c r="G918">
        <f>VLOOKUP(D918,'[1]202512 BE lapse'!$C:$D,2,0)</f>
        <v>7.3303281827977293E-4</v>
      </c>
      <c r="H918">
        <f>VLOOKUP($B918,'[1]202512 RFR'!$A:$B,2,0)</f>
        <v>1.2E-2</v>
      </c>
      <c r="I918">
        <f t="shared" si="162"/>
        <v>0.88808550260176156</v>
      </c>
      <c r="J918">
        <f t="shared" si="163"/>
        <v>6.2617563341566766E-4</v>
      </c>
      <c r="K918">
        <f t="shared" si="164"/>
        <v>0</v>
      </c>
      <c r="L918">
        <f t="shared" si="156"/>
        <v>0.34882441452414692</v>
      </c>
      <c r="M918">
        <f>IF(AND(MOD(C918,12)=1,D918&lt;='[1]Product parameters'!$C$2),I917*[1]model_point!$G$2,0)</f>
        <v>0</v>
      </c>
      <c r="N918">
        <f t="shared" si="157"/>
        <v>0</v>
      </c>
      <c r="O918">
        <f>[2]results_sample_product_cf!G917</f>
        <v>0</v>
      </c>
      <c r="P918">
        <f>[2]results_sample_product_cf!H917</f>
        <v>0</v>
      </c>
      <c r="Q918">
        <f t="shared" si="158"/>
        <v>0</v>
      </c>
      <c r="R918">
        <f t="shared" si="154"/>
        <v>0</v>
      </c>
    </row>
    <row r="919" spans="1:18" x14ac:dyDescent="0.3">
      <c r="A919">
        <f t="shared" si="159"/>
        <v>916</v>
      </c>
      <c r="B919">
        <f t="shared" si="160"/>
        <v>77</v>
      </c>
      <c r="C919">
        <f t="shared" si="161"/>
        <v>921</v>
      </c>
      <c r="D919">
        <f t="shared" si="155"/>
        <v>77</v>
      </c>
      <c r="E919">
        <f>[1]model_point!$C$2+D919-1</f>
        <v>81</v>
      </c>
      <c r="F919">
        <f>VLOOKUP(E919,'[1]202512 BE mortality'!$A:$C,3,0)</f>
        <v>8.4223681740007803E-3</v>
      </c>
      <c r="G919">
        <f>VLOOKUP(D919,'[1]202512 BE lapse'!$C:$D,2,0)</f>
        <v>7.3303281827977293E-4</v>
      </c>
      <c r="H919">
        <f>VLOOKUP($B919,'[1]202512 RFR'!$A:$B,2,0)</f>
        <v>1.2E-2</v>
      </c>
      <c r="I919">
        <f t="shared" si="162"/>
        <v>0.8874597681642179</v>
      </c>
      <c r="J919">
        <f t="shared" si="163"/>
        <v>6.2573443754361361E-4</v>
      </c>
      <c r="K919">
        <f t="shared" si="164"/>
        <v>0</v>
      </c>
      <c r="L919">
        <f t="shared" si="156"/>
        <v>0.34847783874674138</v>
      </c>
      <c r="M919">
        <f>IF(AND(MOD(C919,12)=1,D919&lt;='[1]Product parameters'!$C$2),I918*[1]model_point!$G$2,0)</f>
        <v>0</v>
      </c>
      <c r="N919">
        <f t="shared" si="157"/>
        <v>0</v>
      </c>
      <c r="O919">
        <f>[2]results_sample_product_cf!G918</f>
        <v>0</v>
      </c>
      <c r="P919">
        <f>[2]results_sample_product_cf!H918</f>
        <v>0</v>
      </c>
      <c r="Q919">
        <f t="shared" si="158"/>
        <v>0</v>
      </c>
      <c r="R919">
        <f t="shared" si="154"/>
        <v>0</v>
      </c>
    </row>
    <row r="920" spans="1:18" x14ac:dyDescent="0.3">
      <c r="A920">
        <f t="shared" si="159"/>
        <v>917</v>
      </c>
      <c r="B920">
        <f t="shared" si="160"/>
        <v>77</v>
      </c>
      <c r="C920">
        <f t="shared" si="161"/>
        <v>922</v>
      </c>
      <c r="D920">
        <f t="shared" si="155"/>
        <v>77</v>
      </c>
      <c r="E920">
        <f>[1]model_point!$C$2+D920-1</f>
        <v>81</v>
      </c>
      <c r="F920">
        <f>VLOOKUP(E920,'[1]202512 BE mortality'!$A:$C,3,0)</f>
        <v>8.4223681740007803E-3</v>
      </c>
      <c r="G920">
        <f>VLOOKUP(D920,'[1]202512 BE lapse'!$C:$D,2,0)</f>
        <v>7.3303281827977293E-4</v>
      </c>
      <c r="H920">
        <f>VLOOKUP($B920,'[1]202512 RFR'!$A:$B,2,0)</f>
        <v>1.2E-2</v>
      </c>
      <c r="I920">
        <f t="shared" si="162"/>
        <v>0.88683447461168496</v>
      </c>
      <c r="J920">
        <f t="shared" si="163"/>
        <v>6.2529355253290134E-4</v>
      </c>
      <c r="K920">
        <f t="shared" si="164"/>
        <v>0</v>
      </c>
      <c r="L920">
        <f t="shared" si="156"/>
        <v>0.34813160731097159</v>
      </c>
      <c r="M920">
        <f>IF(AND(MOD(C920,12)=1,D920&lt;='[1]Product parameters'!$C$2),I919*[1]model_point!$G$2,0)</f>
        <v>0</v>
      </c>
      <c r="N920">
        <f t="shared" si="157"/>
        <v>0</v>
      </c>
      <c r="O920">
        <f>[2]results_sample_product_cf!G919</f>
        <v>0</v>
      </c>
      <c r="P920">
        <f>[2]results_sample_product_cf!H919</f>
        <v>0</v>
      </c>
      <c r="Q920">
        <f t="shared" si="158"/>
        <v>0</v>
      </c>
      <c r="R920">
        <f t="shared" si="154"/>
        <v>0</v>
      </c>
    </row>
    <row r="921" spans="1:18" x14ac:dyDescent="0.3">
      <c r="A921">
        <f t="shared" si="159"/>
        <v>918</v>
      </c>
      <c r="B921">
        <f t="shared" si="160"/>
        <v>77</v>
      </c>
      <c r="C921">
        <f t="shared" si="161"/>
        <v>923</v>
      </c>
      <c r="D921">
        <f t="shared" si="155"/>
        <v>77</v>
      </c>
      <c r="E921">
        <f>[1]model_point!$C$2+D921-1</f>
        <v>81</v>
      </c>
      <c r="F921">
        <f>VLOOKUP(E921,'[1]202512 BE mortality'!$A:$C,3,0)</f>
        <v>8.4223681740007803E-3</v>
      </c>
      <c r="G921">
        <f>VLOOKUP(D921,'[1]202512 BE lapse'!$C:$D,2,0)</f>
        <v>7.3303281827977293E-4</v>
      </c>
      <c r="H921">
        <f>VLOOKUP($B921,'[1]202512 RFR'!$A:$B,2,0)</f>
        <v>1.2E-2</v>
      </c>
      <c r="I921">
        <f t="shared" si="162"/>
        <v>0.88620962163352046</v>
      </c>
      <c r="J921">
        <f t="shared" si="163"/>
        <v>6.2485297816450151E-4</v>
      </c>
      <c r="K921">
        <f t="shared" si="164"/>
        <v>0</v>
      </c>
      <c r="L921">
        <f t="shared" si="156"/>
        <v>0.34778571987471563</v>
      </c>
      <c r="M921">
        <f>IF(AND(MOD(C921,12)=1,D921&lt;='[1]Product parameters'!$C$2),I920*[1]model_point!$G$2,0)</f>
        <v>0</v>
      </c>
      <c r="N921">
        <f t="shared" si="157"/>
        <v>0</v>
      </c>
      <c r="O921">
        <f>[2]results_sample_product_cf!G920</f>
        <v>0</v>
      </c>
      <c r="P921">
        <f>[2]results_sample_product_cf!H920</f>
        <v>0</v>
      </c>
      <c r="Q921">
        <f t="shared" si="158"/>
        <v>0</v>
      </c>
      <c r="R921">
        <f t="shared" si="154"/>
        <v>0</v>
      </c>
    </row>
    <row r="922" spans="1:18" x14ac:dyDescent="0.3">
      <c r="A922">
        <f t="shared" si="159"/>
        <v>919</v>
      </c>
      <c r="B922">
        <f t="shared" si="160"/>
        <v>77</v>
      </c>
      <c r="C922">
        <f t="shared" si="161"/>
        <v>924</v>
      </c>
      <c r="D922">
        <f t="shared" si="155"/>
        <v>77</v>
      </c>
      <c r="E922">
        <f>[1]model_point!$C$2+D922-1</f>
        <v>81</v>
      </c>
      <c r="F922">
        <f>VLOOKUP(E922,'[1]202512 BE mortality'!$A:$C,3,0)</f>
        <v>8.4223681740007803E-3</v>
      </c>
      <c r="G922">
        <f>VLOOKUP(D922,'[1]202512 BE lapse'!$C:$D,2,0)</f>
        <v>7.3303281827977293E-4</v>
      </c>
      <c r="H922">
        <f>VLOOKUP($B922,'[1]202512 RFR'!$A:$B,2,0)</f>
        <v>1.2E-2</v>
      </c>
      <c r="I922">
        <f t="shared" si="162"/>
        <v>0.88493604589777997</v>
      </c>
      <c r="J922">
        <f t="shared" si="163"/>
        <v>6.2441271421953928E-4</v>
      </c>
      <c r="K922">
        <f t="shared" si="164"/>
        <v>6.491630215209967E-4</v>
      </c>
      <c r="L922">
        <f t="shared" si="156"/>
        <v>0.34744017609619154</v>
      </c>
      <c r="M922">
        <f>IF(AND(MOD(C922,12)=1,D922&lt;='[1]Product parameters'!$C$2),I921*[1]model_point!$G$2,0)</f>
        <v>0</v>
      </c>
      <c r="N922">
        <f t="shared" si="157"/>
        <v>0</v>
      </c>
      <c r="O922">
        <f>[2]results_sample_product_cf!G921</f>
        <v>0</v>
      </c>
      <c r="P922">
        <f>[2]results_sample_product_cf!H921</f>
        <v>0</v>
      </c>
      <c r="Q922">
        <f t="shared" si="158"/>
        <v>0</v>
      </c>
      <c r="R922">
        <f t="shared" si="154"/>
        <v>0</v>
      </c>
    </row>
    <row r="923" spans="1:18" x14ac:dyDescent="0.3">
      <c r="A923">
        <f t="shared" si="159"/>
        <v>920</v>
      </c>
      <c r="B923">
        <f t="shared" si="160"/>
        <v>77</v>
      </c>
      <c r="C923">
        <f t="shared" si="161"/>
        <v>925</v>
      </c>
      <c r="D923">
        <f t="shared" si="155"/>
        <v>78</v>
      </c>
      <c r="E923">
        <f>[1]model_point!$C$2+D923-1</f>
        <v>82</v>
      </c>
      <c r="F923">
        <f>VLOOKUP(E923,'[1]202512 BE mortality'!$A:$C,3,0)</f>
        <v>2.0784540178523858E-3</v>
      </c>
      <c r="G923">
        <f>VLOOKUP(D923,'[1]202512 BE lapse'!$C:$D,2,0)</f>
        <v>7.2243312833913421E-3</v>
      </c>
      <c r="H923">
        <f>VLOOKUP($B923,'[1]202512 RFR'!$A:$B,2,0)</f>
        <v>1.2E-2</v>
      </c>
      <c r="I923">
        <f t="shared" si="162"/>
        <v>0.88478262478344505</v>
      </c>
      <c r="J923">
        <f t="shared" si="163"/>
        <v>1.5342111433489907E-4</v>
      </c>
      <c r="K923">
        <f t="shared" si="164"/>
        <v>0</v>
      </c>
      <c r="L923">
        <f t="shared" si="156"/>
        <v>0.34709497563395691</v>
      </c>
      <c r="M923">
        <f>IF(AND(MOD(C923,12)=1,D923&lt;='[1]Product parameters'!$C$2),I922*[1]model_point!$G$2,0)</f>
        <v>0</v>
      </c>
      <c r="N923">
        <f t="shared" si="157"/>
        <v>0</v>
      </c>
      <c r="O923">
        <f>[2]results_sample_product_cf!G922</f>
        <v>0</v>
      </c>
      <c r="P923">
        <f>[2]results_sample_product_cf!H922</f>
        <v>0</v>
      </c>
      <c r="Q923">
        <f t="shared" si="158"/>
        <v>0</v>
      </c>
      <c r="R923">
        <f t="shared" si="154"/>
        <v>0</v>
      </c>
    </row>
    <row r="924" spans="1:18" x14ac:dyDescent="0.3">
      <c r="A924">
        <f t="shared" si="159"/>
        <v>921</v>
      </c>
      <c r="B924">
        <f t="shared" si="160"/>
        <v>77</v>
      </c>
      <c r="C924">
        <f t="shared" si="161"/>
        <v>926</v>
      </c>
      <c r="D924">
        <f t="shared" si="155"/>
        <v>78</v>
      </c>
      <c r="E924">
        <f>[1]model_point!$C$2+D924-1</f>
        <v>82</v>
      </c>
      <c r="F924">
        <f>VLOOKUP(E924,'[1]202512 BE mortality'!$A:$C,3,0)</f>
        <v>2.0784540178523858E-3</v>
      </c>
      <c r="G924">
        <f>VLOOKUP(D924,'[1]202512 BE lapse'!$C:$D,2,0)</f>
        <v>7.2243312833913421E-3</v>
      </c>
      <c r="H924">
        <f>VLOOKUP($B924,'[1]202512 RFR'!$A:$B,2,0)</f>
        <v>1.2E-2</v>
      </c>
      <c r="I924">
        <f t="shared" si="162"/>
        <v>0.88462923026768581</v>
      </c>
      <c r="J924">
        <f t="shared" si="163"/>
        <v>1.5339451575929254E-4</v>
      </c>
      <c r="K924">
        <f t="shared" si="164"/>
        <v>0</v>
      </c>
      <c r="L924">
        <f t="shared" si="156"/>
        <v>0.34675011814690859</v>
      </c>
      <c r="M924">
        <f>IF(AND(MOD(C924,12)=1,D924&lt;='[1]Product parameters'!$C$2),I923*[1]model_point!$G$2,0)</f>
        <v>0</v>
      </c>
      <c r="N924">
        <f t="shared" si="157"/>
        <v>0</v>
      </c>
      <c r="O924">
        <f>[2]results_sample_product_cf!G923</f>
        <v>0</v>
      </c>
      <c r="P924">
        <f>[2]results_sample_product_cf!H923</f>
        <v>0</v>
      </c>
      <c r="Q924">
        <f t="shared" si="158"/>
        <v>0</v>
      </c>
      <c r="R924">
        <f t="shared" si="154"/>
        <v>0</v>
      </c>
    </row>
    <row r="925" spans="1:18" x14ac:dyDescent="0.3">
      <c r="A925">
        <f t="shared" si="159"/>
        <v>922</v>
      </c>
      <c r="B925">
        <f t="shared" si="160"/>
        <v>77</v>
      </c>
      <c r="C925">
        <f t="shared" si="161"/>
        <v>927</v>
      </c>
      <c r="D925">
        <f t="shared" si="155"/>
        <v>78</v>
      </c>
      <c r="E925">
        <f>[1]model_point!$C$2+D925-1</f>
        <v>82</v>
      </c>
      <c r="F925">
        <f>VLOOKUP(E925,'[1]202512 BE mortality'!$A:$C,3,0)</f>
        <v>2.0784540178523858E-3</v>
      </c>
      <c r="G925">
        <f>VLOOKUP(D925,'[1]202512 BE lapse'!$C:$D,2,0)</f>
        <v>7.2243312833913421E-3</v>
      </c>
      <c r="H925">
        <f>VLOOKUP($B925,'[1]202512 RFR'!$A:$B,2,0)</f>
        <v>1.2E-2</v>
      </c>
      <c r="I925">
        <f t="shared" si="162"/>
        <v>0.88447586234589071</v>
      </c>
      <c r="J925">
        <f t="shared" si="163"/>
        <v>1.533679217950736E-4</v>
      </c>
      <c r="K925">
        <f t="shared" si="164"/>
        <v>0</v>
      </c>
      <c r="L925">
        <f t="shared" si="156"/>
        <v>0.34640560329428233</v>
      </c>
      <c r="M925">
        <f>IF(AND(MOD(C925,12)=1,D925&lt;='[1]Product parameters'!$C$2),I924*[1]model_point!$G$2,0)</f>
        <v>0</v>
      </c>
      <c r="N925">
        <f t="shared" si="157"/>
        <v>0</v>
      </c>
      <c r="O925">
        <f>[2]results_sample_product_cf!G924</f>
        <v>0</v>
      </c>
      <c r="P925">
        <f>[2]results_sample_product_cf!H924</f>
        <v>0</v>
      </c>
      <c r="Q925">
        <f t="shared" si="158"/>
        <v>0</v>
      </c>
      <c r="R925">
        <f t="shared" si="154"/>
        <v>0</v>
      </c>
    </row>
    <row r="926" spans="1:18" x14ac:dyDescent="0.3">
      <c r="A926">
        <f t="shared" si="159"/>
        <v>923</v>
      </c>
      <c r="B926">
        <f t="shared" si="160"/>
        <v>77</v>
      </c>
      <c r="C926">
        <f t="shared" si="161"/>
        <v>928</v>
      </c>
      <c r="D926">
        <f t="shared" si="155"/>
        <v>78</v>
      </c>
      <c r="E926">
        <f>[1]model_point!$C$2+D926-1</f>
        <v>82</v>
      </c>
      <c r="F926">
        <f>VLOOKUP(E926,'[1]202512 BE mortality'!$A:$C,3,0)</f>
        <v>2.0784540178523858E-3</v>
      </c>
      <c r="G926">
        <f>VLOOKUP(D926,'[1]202512 BE lapse'!$C:$D,2,0)</f>
        <v>7.2243312833913421E-3</v>
      </c>
      <c r="H926">
        <f>VLOOKUP($B926,'[1]202512 RFR'!$A:$B,2,0)</f>
        <v>1.2E-2</v>
      </c>
      <c r="I926">
        <f t="shared" si="162"/>
        <v>0.88432252101344921</v>
      </c>
      <c r="J926">
        <f t="shared" si="163"/>
        <v>1.5334133244144279E-4</v>
      </c>
      <c r="K926">
        <f t="shared" si="164"/>
        <v>0</v>
      </c>
      <c r="L926">
        <f t="shared" si="156"/>
        <v>0.34606143073565243</v>
      </c>
      <c r="M926">
        <f>IF(AND(MOD(C926,12)=1,D926&lt;='[1]Product parameters'!$C$2),I925*[1]model_point!$G$2,0)</f>
        <v>0</v>
      </c>
      <c r="N926">
        <f t="shared" si="157"/>
        <v>0</v>
      </c>
      <c r="O926">
        <f>[2]results_sample_product_cf!G925</f>
        <v>0</v>
      </c>
      <c r="P926">
        <f>[2]results_sample_product_cf!H925</f>
        <v>0</v>
      </c>
      <c r="Q926">
        <f t="shared" si="158"/>
        <v>0</v>
      </c>
      <c r="R926">
        <f t="shared" si="154"/>
        <v>0</v>
      </c>
    </row>
    <row r="927" spans="1:18" x14ac:dyDescent="0.3">
      <c r="A927">
        <f t="shared" si="159"/>
        <v>924</v>
      </c>
      <c r="B927">
        <f t="shared" si="160"/>
        <v>77</v>
      </c>
      <c r="C927">
        <f t="shared" si="161"/>
        <v>929</v>
      </c>
      <c r="D927">
        <f t="shared" si="155"/>
        <v>78</v>
      </c>
      <c r="E927">
        <f>[1]model_point!$C$2+D927-1</f>
        <v>82</v>
      </c>
      <c r="F927">
        <f>VLOOKUP(E927,'[1]202512 BE mortality'!$A:$C,3,0)</f>
        <v>2.0784540178523858E-3</v>
      </c>
      <c r="G927">
        <f>VLOOKUP(D927,'[1]202512 BE lapse'!$C:$D,2,0)</f>
        <v>7.2243312833913421E-3</v>
      </c>
      <c r="H927">
        <f>VLOOKUP($B927,'[1]202512 RFR'!$A:$B,2,0)</f>
        <v>1.2E-2</v>
      </c>
      <c r="I927">
        <f t="shared" si="162"/>
        <v>0.88416920626575157</v>
      </c>
      <c r="J927">
        <f t="shared" si="163"/>
        <v>1.5331474769760076E-4</v>
      </c>
      <c r="K927">
        <f t="shared" si="164"/>
        <v>0</v>
      </c>
      <c r="L927">
        <f t="shared" si="156"/>
        <v>0.34571760013093145</v>
      </c>
      <c r="M927">
        <f>IF(AND(MOD(C927,12)=1,D927&lt;='[1]Product parameters'!$C$2),I926*[1]model_point!$G$2,0)</f>
        <v>0</v>
      </c>
      <c r="N927">
        <f t="shared" si="157"/>
        <v>0</v>
      </c>
      <c r="O927">
        <f>[2]results_sample_product_cf!G926</f>
        <v>0</v>
      </c>
      <c r="P927">
        <f>[2]results_sample_product_cf!H926</f>
        <v>0</v>
      </c>
      <c r="Q927">
        <f t="shared" si="158"/>
        <v>0</v>
      </c>
      <c r="R927">
        <f t="shared" si="154"/>
        <v>0</v>
      </c>
    </row>
    <row r="928" spans="1:18" x14ac:dyDescent="0.3">
      <c r="A928">
        <f t="shared" si="159"/>
        <v>925</v>
      </c>
      <c r="B928">
        <f t="shared" si="160"/>
        <v>78</v>
      </c>
      <c r="C928">
        <f t="shared" si="161"/>
        <v>930</v>
      </c>
      <c r="D928">
        <f t="shared" si="155"/>
        <v>78</v>
      </c>
      <c r="E928">
        <f>[1]model_point!$C$2+D928-1</f>
        <v>82</v>
      </c>
      <c r="F928">
        <f>VLOOKUP(E928,'[1]202512 BE mortality'!$A:$C,3,0)</f>
        <v>2.0784540178523858E-3</v>
      </c>
      <c r="G928">
        <f>VLOOKUP(D928,'[1]202512 BE lapse'!$C:$D,2,0)</f>
        <v>7.2243312833913421E-3</v>
      </c>
      <c r="H928">
        <f>VLOOKUP($B928,'[1]202512 RFR'!$A:$B,2,0)</f>
        <v>1.2E-2</v>
      </c>
      <c r="I928">
        <f t="shared" si="162"/>
        <v>0.8840159180981888</v>
      </c>
      <c r="J928">
        <f t="shared" si="163"/>
        <v>1.532881675627483E-4</v>
      </c>
      <c r="K928">
        <f t="shared" si="164"/>
        <v>0</v>
      </c>
      <c r="L928">
        <f t="shared" si="156"/>
        <v>0.34537411114036981</v>
      </c>
      <c r="M928">
        <f>IF(AND(MOD(C928,12)=1,D928&lt;='[1]Product parameters'!$C$2),I927*[1]model_point!$G$2,0)</f>
        <v>0</v>
      </c>
      <c r="N928">
        <f t="shared" si="157"/>
        <v>0</v>
      </c>
      <c r="O928">
        <f>[2]results_sample_product_cf!G927</f>
        <v>0</v>
      </c>
      <c r="P928">
        <f>[2]results_sample_product_cf!H927</f>
        <v>0</v>
      </c>
      <c r="Q928">
        <f t="shared" si="158"/>
        <v>0</v>
      </c>
      <c r="R928">
        <f t="shared" si="154"/>
        <v>0</v>
      </c>
    </row>
    <row r="929" spans="1:18" x14ac:dyDescent="0.3">
      <c r="A929">
        <f t="shared" si="159"/>
        <v>926</v>
      </c>
      <c r="B929">
        <f t="shared" si="160"/>
        <v>78</v>
      </c>
      <c r="C929">
        <f t="shared" si="161"/>
        <v>931</v>
      </c>
      <c r="D929">
        <f t="shared" si="155"/>
        <v>78</v>
      </c>
      <c r="E929">
        <f>[1]model_point!$C$2+D929-1</f>
        <v>82</v>
      </c>
      <c r="F929">
        <f>VLOOKUP(E929,'[1]202512 BE mortality'!$A:$C,3,0)</f>
        <v>2.0784540178523858E-3</v>
      </c>
      <c r="G929">
        <f>VLOOKUP(D929,'[1]202512 BE lapse'!$C:$D,2,0)</f>
        <v>7.2243312833913421E-3</v>
      </c>
      <c r="H929">
        <f>VLOOKUP($B929,'[1]202512 RFR'!$A:$B,2,0)</f>
        <v>1.2E-2</v>
      </c>
      <c r="I929">
        <f t="shared" si="162"/>
        <v>0.8838626565061527</v>
      </c>
      <c r="J929">
        <f t="shared" si="163"/>
        <v>1.5326159203608641E-4</v>
      </c>
      <c r="K929">
        <f t="shared" si="164"/>
        <v>0</v>
      </c>
      <c r="L929">
        <f t="shared" si="156"/>
        <v>0.34503096342455553</v>
      </c>
      <c r="M929">
        <f>IF(AND(MOD(C929,12)=1,D929&lt;='[1]Product parameters'!$C$2),I928*[1]model_point!$G$2,0)</f>
        <v>0</v>
      </c>
      <c r="N929">
        <f t="shared" si="157"/>
        <v>0</v>
      </c>
      <c r="O929">
        <f>[2]results_sample_product_cf!G928</f>
        <v>0</v>
      </c>
      <c r="P929">
        <f>[2]results_sample_product_cf!H928</f>
        <v>0</v>
      </c>
      <c r="Q929">
        <f t="shared" si="158"/>
        <v>0</v>
      </c>
      <c r="R929">
        <f t="shared" si="154"/>
        <v>0</v>
      </c>
    </row>
    <row r="930" spans="1:18" x14ac:dyDescent="0.3">
      <c r="A930">
        <f t="shared" si="159"/>
        <v>927</v>
      </c>
      <c r="B930">
        <f t="shared" si="160"/>
        <v>78</v>
      </c>
      <c r="C930">
        <f t="shared" si="161"/>
        <v>932</v>
      </c>
      <c r="D930">
        <f t="shared" si="155"/>
        <v>78</v>
      </c>
      <c r="E930">
        <f>[1]model_point!$C$2+D930-1</f>
        <v>82</v>
      </c>
      <c r="F930">
        <f>VLOOKUP(E930,'[1]202512 BE mortality'!$A:$C,3,0)</f>
        <v>2.0784540178523858E-3</v>
      </c>
      <c r="G930">
        <f>VLOOKUP(D930,'[1]202512 BE lapse'!$C:$D,2,0)</f>
        <v>7.2243312833913421E-3</v>
      </c>
      <c r="H930">
        <f>VLOOKUP($B930,'[1]202512 RFR'!$A:$B,2,0)</f>
        <v>1.2E-2</v>
      </c>
      <c r="I930">
        <f t="shared" si="162"/>
        <v>0.88370942148503584</v>
      </c>
      <c r="J930">
        <f t="shared" si="163"/>
        <v>1.5323502111681613E-4</v>
      </c>
      <c r="K930">
        <f t="shared" si="164"/>
        <v>0</v>
      </c>
      <c r="L930">
        <f t="shared" si="156"/>
        <v>0.34468815664441382</v>
      </c>
      <c r="M930">
        <f>IF(AND(MOD(C930,12)=1,D930&lt;='[1]Product parameters'!$C$2),I929*[1]model_point!$G$2,0)</f>
        <v>0</v>
      </c>
      <c r="N930">
        <f t="shared" si="157"/>
        <v>0</v>
      </c>
      <c r="O930">
        <f>[2]results_sample_product_cf!G929</f>
        <v>0</v>
      </c>
      <c r="P930">
        <f>[2]results_sample_product_cf!H929</f>
        <v>0</v>
      </c>
      <c r="Q930">
        <f t="shared" si="158"/>
        <v>0</v>
      </c>
      <c r="R930">
        <f t="shared" si="154"/>
        <v>0</v>
      </c>
    </row>
    <row r="931" spans="1:18" x14ac:dyDescent="0.3">
      <c r="A931">
        <f t="shared" si="159"/>
        <v>928</v>
      </c>
      <c r="B931">
        <f t="shared" si="160"/>
        <v>78</v>
      </c>
      <c r="C931">
        <f t="shared" si="161"/>
        <v>933</v>
      </c>
      <c r="D931">
        <f t="shared" si="155"/>
        <v>78</v>
      </c>
      <c r="E931">
        <f>[1]model_point!$C$2+D931-1</f>
        <v>82</v>
      </c>
      <c r="F931">
        <f>VLOOKUP(E931,'[1]202512 BE mortality'!$A:$C,3,0)</f>
        <v>2.0784540178523858E-3</v>
      </c>
      <c r="G931">
        <f>VLOOKUP(D931,'[1]202512 BE lapse'!$C:$D,2,0)</f>
        <v>7.2243312833913421E-3</v>
      </c>
      <c r="H931">
        <f>VLOOKUP($B931,'[1]202512 RFR'!$A:$B,2,0)</f>
        <v>1.2E-2</v>
      </c>
      <c r="I931">
        <f t="shared" si="162"/>
        <v>0.88355621303023169</v>
      </c>
      <c r="J931">
        <f t="shared" si="163"/>
        <v>1.5320845480413866E-4</v>
      </c>
      <c r="K931">
        <f t="shared" si="164"/>
        <v>0</v>
      </c>
      <c r="L931">
        <f t="shared" si="156"/>
        <v>0.34434569046120678</v>
      </c>
      <c r="M931">
        <f>IF(AND(MOD(C931,12)=1,D931&lt;='[1]Product parameters'!$C$2),I930*[1]model_point!$G$2,0)</f>
        <v>0</v>
      </c>
      <c r="N931">
        <f t="shared" si="157"/>
        <v>0</v>
      </c>
      <c r="O931">
        <f>[2]results_sample_product_cf!G930</f>
        <v>0</v>
      </c>
      <c r="P931">
        <f>[2]results_sample_product_cf!H930</f>
        <v>0</v>
      </c>
      <c r="Q931">
        <f t="shared" si="158"/>
        <v>0</v>
      </c>
      <c r="R931">
        <f t="shared" si="154"/>
        <v>0</v>
      </c>
    </row>
    <row r="932" spans="1:18" x14ac:dyDescent="0.3">
      <c r="A932">
        <f t="shared" si="159"/>
        <v>929</v>
      </c>
      <c r="B932">
        <f t="shared" si="160"/>
        <v>78</v>
      </c>
      <c r="C932">
        <f t="shared" si="161"/>
        <v>934</v>
      </c>
      <c r="D932">
        <f t="shared" si="155"/>
        <v>78</v>
      </c>
      <c r="E932">
        <f>[1]model_point!$C$2+D932-1</f>
        <v>82</v>
      </c>
      <c r="F932">
        <f>VLOOKUP(E932,'[1]202512 BE mortality'!$A:$C,3,0)</f>
        <v>2.0784540178523858E-3</v>
      </c>
      <c r="G932">
        <f>VLOOKUP(D932,'[1]202512 BE lapse'!$C:$D,2,0)</f>
        <v>7.2243312833913421E-3</v>
      </c>
      <c r="H932">
        <f>VLOOKUP($B932,'[1]202512 RFR'!$A:$B,2,0)</f>
        <v>1.2E-2</v>
      </c>
      <c r="I932">
        <f t="shared" si="162"/>
        <v>0.88340303113713448</v>
      </c>
      <c r="J932">
        <f t="shared" si="163"/>
        <v>1.5318189309725539E-4</v>
      </c>
      <c r="K932">
        <f t="shared" si="164"/>
        <v>0</v>
      </c>
      <c r="L932">
        <f t="shared" si="156"/>
        <v>0.34400356453653308</v>
      </c>
      <c r="M932">
        <f>IF(AND(MOD(C932,12)=1,D932&lt;='[1]Product parameters'!$C$2),I931*[1]model_point!$G$2,0)</f>
        <v>0</v>
      </c>
      <c r="N932">
        <f t="shared" si="157"/>
        <v>0</v>
      </c>
      <c r="O932">
        <f>[2]results_sample_product_cf!G931</f>
        <v>0</v>
      </c>
      <c r="P932">
        <f>[2]results_sample_product_cf!H931</f>
        <v>0</v>
      </c>
      <c r="Q932">
        <f t="shared" si="158"/>
        <v>0</v>
      </c>
      <c r="R932">
        <f t="shared" si="154"/>
        <v>0</v>
      </c>
    </row>
    <row r="933" spans="1:18" x14ac:dyDescent="0.3">
      <c r="A933">
        <f t="shared" si="159"/>
        <v>930</v>
      </c>
      <c r="B933">
        <f t="shared" si="160"/>
        <v>78</v>
      </c>
      <c r="C933">
        <f t="shared" si="161"/>
        <v>935</v>
      </c>
      <c r="D933">
        <f t="shared" si="155"/>
        <v>78</v>
      </c>
      <c r="E933">
        <f>[1]model_point!$C$2+D933-1</f>
        <v>82</v>
      </c>
      <c r="F933">
        <f>VLOOKUP(E933,'[1]202512 BE mortality'!$A:$C,3,0)</f>
        <v>2.0784540178523858E-3</v>
      </c>
      <c r="G933">
        <f>VLOOKUP(D933,'[1]202512 BE lapse'!$C:$D,2,0)</f>
        <v>7.2243312833913421E-3</v>
      </c>
      <c r="H933">
        <f>VLOOKUP($B933,'[1]202512 RFR'!$A:$B,2,0)</f>
        <v>1.2E-2</v>
      </c>
      <c r="I933">
        <f t="shared" si="162"/>
        <v>0.88324987580113912</v>
      </c>
      <c r="J933">
        <f t="shared" si="163"/>
        <v>1.5315533599536779E-4</v>
      </c>
      <c r="K933">
        <f t="shared" si="164"/>
        <v>0</v>
      </c>
      <c r="L933">
        <f t="shared" si="156"/>
        <v>0.3436617785323276</v>
      </c>
      <c r="M933">
        <f>IF(AND(MOD(C933,12)=1,D933&lt;='[1]Product parameters'!$C$2),I932*[1]model_point!$G$2,0)</f>
        <v>0</v>
      </c>
      <c r="N933">
        <f t="shared" si="157"/>
        <v>0</v>
      </c>
      <c r="O933">
        <f>[2]results_sample_product_cf!G932</f>
        <v>0</v>
      </c>
      <c r="P933">
        <f>[2]results_sample_product_cf!H932</f>
        <v>0</v>
      </c>
      <c r="Q933">
        <f t="shared" si="158"/>
        <v>0</v>
      </c>
      <c r="R933">
        <f t="shared" si="154"/>
        <v>0</v>
      </c>
    </row>
    <row r="934" spans="1:18" x14ac:dyDescent="0.3">
      <c r="A934">
        <f t="shared" si="159"/>
        <v>931</v>
      </c>
      <c r="B934">
        <f t="shared" si="160"/>
        <v>78</v>
      </c>
      <c r="C934">
        <f t="shared" si="161"/>
        <v>936</v>
      </c>
      <c r="D934">
        <f t="shared" si="155"/>
        <v>78</v>
      </c>
      <c r="E934">
        <f>[1]model_point!$C$2+D934-1</f>
        <v>82</v>
      </c>
      <c r="F934">
        <f>VLOOKUP(E934,'[1]202512 BE mortality'!$A:$C,3,0)</f>
        <v>2.0784540178523858E-3</v>
      </c>
      <c r="G934">
        <f>VLOOKUP(D934,'[1]202512 BE lapse'!$C:$D,2,0)</f>
        <v>7.2243312833913421E-3</v>
      </c>
      <c r="H934">
        <f>VLOOKUP($B934,'[1]202512 RFR'!$A:$B,2,0)</f>
        <v>1.2E-2</v>
      </c>
      <c r="I934">
        <f t="shared" si="162"/>
        <v>0.87671696356190076</v>
      </c>
      <c r="J934">
        <f t="shared" si="163"/>
        <v>1.5312878349767753E-4</v>
      </c>
      <c r="K934">
        <f t="shared" si="164"/>
        <v>6.3797834557406769E-3</v>
      </c>
      <c r="L934">
        <f t="shared" si="156"/>
        <v>0.3433203321108611</v>
      </c>
      <c r="M934">
        <f>IF(AND(MOD(C934,12)=1,D934&lt;='[1]Product parameters'!$C$2),I933*[1]model_point!$G$2,0)</f>
        <v>0</v>
      </c>
      <c r="N934">
        <f t="shared" si="157"/>
        <v>0</v>
      </c>
      <c r="O934">
        <f>[2]results_sample_product_cf!G933</f>
        <v>0</v>
      </c>
      <c r="P934">
        <f>[2]results_sample_product_cf!H933</f>
        <v>0</v>
      </c>
      <c r="Q934">
        <f t="shared" si="158"/>
        <v>0</v>
      </c>
      <c r="R934">
        <f t="shared" si="154"/>
        <v>0</v>
      </c>
    </row>
    <row r="935" spans="1:18" x14ac:dyDescent="0.3">
      <c r="A935">
        <f t="shared" si="159"/>
        <v>932</v>
      </c>
      <c r="B935">
        <f t="shared" si="160"/>
        <v>78</v>
      </c>
      <c r="C935">
        <f t="shared" si="161"/>
        <v>937</v>
      </c>
      <c r="D935">
        <f t="shared" si="155"/>
        <v>79</v>
      </c>
      <c r="E935">
        <f>[1]model_point!$C$2+D935-1</f>
        <v>83</v>
      </c>
      <c r="F935">
        <f>VLOOKUP(E935,'[1]202512 BE mortality'!$A:$C,3,0)</f>
        <v>1.1966143625539083E-3</v>
      </c>
      <c r="G935">
        <f>VLOOKUP(D935,'[1]202512 BE lapse'!$C:$D,2,0)</f>
        <v>1.035371043970874E-3</v>
      </c>
      <c r="H935">
        <f>VLOOKUP($B935,'[1]202512 RFR'!$A:$B,2,0)</f>
        <v>1.2E-2</v>
      </c>
      <c r="I935">
        <f t="shared" si="162"/>
        <v>0.87662949123494383</v>
      </c>
      <c r="J935">
        <f t="shared" si="163"/>
        <v>8.7472326956885806E-5</v>
      </c>
      <c r="K935">
        <f t="shared" si="164"/>
        <v>0</v>
      </c>
      <c r="L935">
        <f t="shared" si="156"/>
        <v>0.34297922493473998</v>
      </c>
      <c r="M935">
        <f>IF(AND(MOD(C935,12)=1,D935&lt;='[1]Product parameters'!$C$2),I934*[1]model_point!$G$2,0)</f>
        <v>0</v>
      </c>
      <c r="N935">
        <f t="shared" si="157"/>
        <v>0</v>
      </c>
      <c r="O935">
        <f>[2]results_sample_product_cf!G934</f>
        <v>0</v>
      </c>
      <c r="P935">
        <f>[2]results_sample_product_cf!H934</f>
        <v>0</v>
      </c>
      <c r="Q935">
        <f t="shared" si="158"/>
        <v>0</v>
      </c>
      <c r="R935">
        <f t="shared" si="154"/>
        <v>0</v>
      </c>
    </row>
    <row r="936" spans="1:18" x14ac:dyDescent="0.3">
      <c r="A936">
        <f t="shared" si="159"/>
        <v>933</v>
      </c>
      <c r="B936">
        <f t="shared" si="160"/>
        <v>78</v>
      </c>
      <c r="C936">
        <f t="shared" si="161"/>
        <v>938</v>
      </c>
      <c r="D936">
        <f t="shared" si="155"/>
        <v>79</v>
      </c>
      <c r="E936">
        <f>[1]model_point!$C$2+D936-1</f>
        <v>83</v>
      </c>
      <c r="F936">
        <f>VLOOKUP(E936,'[1]202512 BE mortality'!$A:$C,3,0)</f>
        <v>1.1966143625539083E-3</v>
      </c>
      <c r="G936">
        <f>VLOOKUP(D936,'[1]202512 BE lapse'!$C:$D,2,0)</f>
        <v>1.035371043970874E-3</v>
      </c>
      <c r="H936">
        <f>VLOOKUP($B936,'[1]202512 RFR'!$A:$B,2,0)</f>
        <v>1.2E-2</v>
      </c>
      <c r="I936">
        <f t="shared" si="162"/>
        <v>0.87654202763532807</v>
      </c>
      <c r="J936">
        <f t="shared" si="163"/>
        <v>8.7463599615792551E-5</v>
      </c>
      <c r="K936">
        <f t="shared" si="164"/>
        <v>0</v>
      </c>
      <c r="L936">
        <f t="shared" si="156"/>
        <v>0.34263845666690568</v>
      </c>
      <c r="M936">
        <f>IF(AND(MOD(C936,12)=1,D936&lt;='[1]Product parameters'!$C$2),I935*[1]model_point!$G$2,0)</f>
        <v>0</v>
      </c>
      <c r="N936">
        <f t="shared" si="157"/>
        <v>0</v>
      </c>
      <c r="O936">
        <f>[2]results_sample_product_cf!G935</f>
        <v>0</v>
      </c>
      <c r="P936">
        <f>[2]results_sample_product_cf!H935</f>
        <v>0</v>
      </c>
      <c r="Q936">
        <f t="shared" si="158"/>
        <v>0</v>
      </c>
      <c r="R936">
        <f t="shared" si="154"/>
        <v>0</v>
      </c>
    </row>
    <row r="937" spans="1:18" x14ac:dyDescent="0.3">
      <c r="A937">
        <f t="shared" si="159"/>
        <v>934</v>
      </c>
      <c r="B937">
        <f t="shared" si="160"/>
        <v>78</v>
      </c>
      <c r="C937">
        <f t="shared" si="161"/>
        <v>939</v>
      </c>
      <c r="D937">
        <f t="shared" si="155"/>
        <v>79</v>
      </c>
      <c r="E937">
        <f>[1]model_point!$C$2+D937-1</f>
        <v>83</v>
      </c>
      <c r="F937">
        <f>VLOOKUP(E937,'[1]202512 BE mortality'!$A:$C,3,0)</f>
        <v>1.1966143625539083E-3</v>
      </c>
      <c r="G937">
        <f>VLOOKUP(D937,'[1]202512 BE lapse'!$C:$D,2,0)</f>
        <v>1.035371043970874E-3</v>
      </c>
      <c r="H937">
        <f>VLOOKUP($B937,'[1]202512 RFR'!$A:$B,2,0)</f>
        <v>1.2E-2</v>
      </c>
      <c r="I937">
        <f t="shared" si="162"/>
        <v>0.87645457276218264</v>
      </c>
      <c r="J937">
        <f t="shared" si="163"/>
        <v>8.7454873145448759E-5</v>
      </c>
      <c r="K937">
        <f t="shared" si="164"/>
        <v>0</v>
      </c>
      <c r="L937">
        <f t="shared" si="156"/>
        <v>0.34229802697063466</v>
      </c>
      <c r="M937">
        <f>IF(AND(MOD(C937,12)=1,D937&lt;='[1]Product parameters'!$C$2),I936*[1]model_point!$G$2,0)</f>
        <v>0</v>
      </c>
      <c r="N937">
        <f t="shared" si="157"/>
        <v>0</v>
      </c>
      <c r="O937">
        <f>[2]results_sample_product_cf!G936</f>
        <v>0</v>
      </c>
      <c r="P937">
        <f>[2]results_sample_product_cf!H936</f>
        <v>0</v>
      </c>
      <c r="Q937">
        <f t="shared" si="158"/>
        <v>0</v>
      </c>
      <c r="R937">
        <f t="shared" si="154"/>
        <v>0</v>
      </c>
    </row>
    <row r="938" spans="1:18" x14ac:dyDescent="0.3">
      <c r="A938">
        <f t="shared" si="159"/>
        <v>935</v>
      </c>
      <c r="B938">
        <f t="shared" si="160"/>
        <v>78</v>
      </c>
      <c r="C938">
        <f t="shared" si="161"/>
        <v>940</v>
      </c>
      <c r="D938">
        <f t="shared" si="155"/>
        <v>79</v>
      </c>
      <c r="E938">
        <f>[1]model_point!$C$2+D938-1</f>
        <v>83</v>
      </c>
      <c r="F938">
        <f>VLOOKUP(E938,'[1]202512 BE mortality'!$A:$C,3,0)</f>
        <v>1.1966143625539083E-3</v>
      </c>
      <c r="G938">
        <f>VLOOKUP(D938,'[1]202512 BE lapse'!$C:$D,2,0)</f>
        <v>1.035371043970874E-3</v>
      </c>
      <c r="H938">
        <f>VLOOKUP($B938,'[1]202512 RFR'!$A:$B,2,0)</f>
        <v>1.2E-2</v>
      </c>
      <c r="I938">
        <f t="shared" si="162"/>
        <v>0.87636712661463689</v>
      </c>
      <c r="J938">
        <f t="shared" si="163"/>
        <v>8.7446147545767571E-5</v>
      </c>
      <c r="K938">
        <f t="shared" si="164"/>
        <v>0</v>
      </c>
      <c r="L938">
        <f t="shared" si="156"/>
        <v>0.34195793550953796</v>
      </c>
      <c r="M938">
        <f>IF(AND(MOD(C938,12)=1,D938&lt;='[1]Product parameters'!$C$2),I937*[1]model_point!$G$2,0)</f>
        <v>0</v>
      </c>
      <c r="N938">
        <f t="shared" si="157"/>
        <v>0</v>
      </c>
      <c r="O938">
        <f>[2]results_sample_product_cf!G937</f>
        <v>0</v>
      </c>
      <c r="P938">
        <f>[2]results_sample_product_cf!H937</f>
        <v>0</v>
      </c>
      <c r="Q938">
        <f t="shared" si="158"/>
        <v>0</v>
      </c>
      <c r="R938">
        <f t="shared" si="154"/>
        <v>0</v>
      </c>
    </row>
    <row r="939" spans="1:18" x14ac:dyDescent="0.3">
      <c r="A939">
        <f t="shared" si="159"/>
        <v>936</v>
      </c>
      <c r="B939">
        <f t="shared" si="160"/>
        <v>78</v>
      </c>
      <c r="C939">
        <f t="shared" si="161"/>
        <v>941</v>
      </c>
      <c r="D939">
        <f t="shared" si="155"/>
        <v>79</v>
      </c>
      <c r="E939">
        <f>[1]model_point!$C$2+D939-1</f>
        <v>83</v>
      </c>
      <c r="F939">
        <f>VLOOKUP(E939,'[1]202512 BE mortality'!$A:$C,3,0)</f>
        <v>1.1966143625539083E-3</v>
      </c>
      <c r="G939">
        <f>VLOOKUP(D939,'[1]202512 BE lapse'!$C:$D,2,0)</f>
        <v>1.035371043970874E-3</v>
      </c>
      <c r="H939">
        <f>VLOOKUP($B939,'[1]202512 RFR'!$A:$B,2,0)</f>
        <v>1.2E-2</v>
      </c>
      <c r="I939">
        <f t="shared" si="162"/>
        <v>0.8762796891918202</v>
      </c>
      <c r="J939">
        <f t="shared" si="163"/>
        <v>8.7437422816662104E-5</v>
      </c>
      <c r="K939">
        <f t="shared" si="164"/>
        <v>0</v>
      </c>
      <c r="L939">
        <f t="shared" si="156"/>
        <v>0.34161818194756072</v>
      </c>
      <c r="M939">
        <f>IF(AND(MOD(C939,12)=1,D939&lt;='[1]Product parameters'!$C$2),I938*[1]model_point!$G$2,0)</f>
        <v>0</v>
      </c>
      <c r="N939">
        <f t="shared" si="157"/>
        <v>0</v>
      </c>
      <c r="O939">
        <f>[2]results_sample_product_cf!G938</f>
        <v>0</v>
      </c>
      <c r="P939">
        <f>[2]results_sample_product_cf!H938</f>
        <v>0</v>
      </c>
      <c r="Q939">
        <f t="shared" si="158"/>
        <v>0</v>
      </c>
      <c r="R939">
        <f t="shared" si="154"/>
        <v>0</v>
      </c>
    </row>
    <row r="940" spans="1:18" x14ac:dyDescent="0.3">
      <c r="A940">
        <f t="shared" si="159"/>
        <v>937</v>
      </c>
      <c r="B940">
        <f t="shared" si="160"/>
        <v>79</v>
      </c>
      <c r="C940">
        <f t="shared" si="161"/>
        <v>942</v>
      </c>
      <c r="D940">
        <f t="shared" si="155"/>
        <v>79</v>
      </c>
      <c r="E940">
        <f>[1]model_point!$C$2+D940-1</f>
        <v>83</v>
      </c>
      <c r="F940">
        <f>VLOOKUP(E940,'[1]202512 BE mortality'!$A:$C,3,0)</f>
        <v>1.1966143625539083E-3</v>
      </c>
      <c r="G940">
        <f>VLOOKUP(D940,'[1]202512 BE lapse'!$C:$D,2,0)</f>
        <v>1.035371043970874E-3</v>
      </c>
      <c r="H940">
        <f>VLOOKUP($B940,'[1]202512 RFR'!$A:$B,2,0)</f>
        <v>1.2E-2</v>
      </c>
      <c r="I940">
        <f t="shared" si="162"/>
        <v>0.87619226049286214</v>
      </c>
      <c r="J940">
        <f t="shared" si="163"/>
        <v>8.7428698958045512E-5</v>
      </c>
      <c r="K940">
        <f t="shared" si="164"/>
        <v>0</v>
      </c>
      <c r="L940">
        <f t="shared" si="156"/>
        <v>0.34127876594898204</v>
      </c>
      <c r="M940">
        <f>IF(AND(MOD(C940,12)=1,D940&lt;='[1]Product parameters'!$C$2),I939*[1]model_point!$G$2,0)</f>
        <v>0</v>
      </c>
      <c r="N940">
        <f t="shared" si="157"/>
        <v>0</v>
      </c>
      <c r="O940">
        <f>[2]results_sample_product_cf!G939</f>
        <v>0</v>
      </c>
      <c r="P940">
        <f>[2]results_sample_product_cf!H939</f>
        <v>0</v>
      </c>
      <c r="Q940">
        <f t="shared" si="158"/>
        <v>0</v>
      </c>
      <c r="R940">
        <f t="shared" si="154"/>
        <v>0</v>
      </c>
    </row>
    <row r="941" spans="1:18" x14ac:dyDescent="0.3">
      <c r="A941">
        <f t="shared" si="159"/>
        <v>938</v>
      </c>
      <c r="B941">
        <f t="shared" si="160"/>
        <v>79</v>
      </c>
      <c r="C941">
        <f t="shared" si="161"/>
        <v>943</v>
      </c>
      <c r="D941">
        <f t="shared" si="155"/>
        <v>79</v>
      </c>
      <c r="E941">
        <f>[1]model_point!$C$2+D941-1</f>
        <v>83</v>
      </c>
      <c r="F941">
        <f>VLOOKUP(E941,'[1]202512 BE mortality'!$A:$C,3,0)</f>
        <v>1.1966143625539083E-3</v>
      </c>
      <c r="G941">
        <f>VLOOKUP(D941,'[1]202512 BE lapse'!$C:$D,2,0)</f>
        <v>1.035371043970874E-3</v>
      </c>
      <c r="H941">
        <f>VLOOKUP($B941,'[1]202512 RFR'!$A:$B,2,0)</f>
        <v>1.2E-2</v>
      </c>
      <c r="I941">
        <f t="shared" si="162"/>
        <v>0.8761048405168923</v>
      </c>
      <c r="J941">
        <f t="shared" si="163"/>
        <v>8.7419975969830923E-5</v>
      </c>
      <c r="K941">
        <f t="shared" si="164"/>
        <v>0</v>
      </c>
      <c r="L941">
        <f t="shared" si="156"/>
        <v>0.34093968717841455</v>
      </c>
      <c r="M941">
        <f>IF(AND(MOD(C941,12)=1,D941&lt;='[1]Product parameters'!$C$2),I940*[1]model_point!$G$2,0)</f>
        <v>0</v>
      </c>
      <c r="N941">
        <f t="shared" si="157"/>
        <v>0</v>
      </c>
      <c r="O941">
        <f>[2]results_sample_product_cf!G940</f>
        <v>0</v>
      </c>
      <c r="P941">
        <f>[2]results_sample_product_cf!H940</f>
        <v>0</v>
      </c>
      <c r="Q941">
        <f t="shared" si="158"/>
        <v>0</v>
      </c>
      <c r="R941">
        <f t="shared" si="154"/>
        <v>0</v>
      </c>
    </row>
    <row r="942" spans="1:18" x14ac:dyDescent="0.3">
      <c r="A942">
        <f t="shared" si="159"/>
        <v>939</v>
      </c>
      <c r="B942">
        <f t="shared" si="160"/>
        <v>79</v>
      </c>
      <c r="C942">
        <f t="shared" si="161"/>
        <v>944</v>
      </c>
      <c r="D942">
        <f t="shared" si="155"/>
        <v>79</v>
      </c>
      <c r="E942">
        <f>[1]model_point!$C$2+D942-1</f>
        <v>83</v>
      </c>
      <c r="F942">
        <f>VLOOKUP(E942,'[1]202512 BE mortality'!$A:$C,3,0)</f>
        <v>1.1966143625539083E-3</v>
      </c>
      <c r="G942">
        <f>VLOOKUP(D942,'[1]202512 BE lapse'!$C:$D,2,0)</f>
        <v>1.035371043970874E-3</v>
      </c>
      <c r="H942">
        <f>VLOOKUP($B942,'[1]202512 RFR'!$A:$B,2,0)</f>
        <v>1.2E-2</v>
      </c>
      <c r="I942">
        <f t="shared" si="162"/>
        <v>0.87601742926304038</v>
      </c>
      <c r="J942">
        <f t="shared" si="163"/>
        <v>8.7411253851931521E-5</v>
      </c>
      <c r="K942">
        <f t="shared" si="164"/>
        <v>0</v>
      </c>
      <c r="L942">
        <f t="shared" si="156"/>
        <v>0.34060094530080415</v>
      </c>
      <c r="M942">
        <f>IF(AND(MOD(C942,12)=1,D942&lt;='[1]Product parameters'!$C$2),I941*[1]model_point!$G$2,0)</f>
        <v>0</v>
      </c>
      <c r="N942">
        <f t="shared" si="157"/>
        <v>0</v>
      </c>
      <c r="O942">
        <f>[2]results_sample_product_cf!G941</f>
        <v>0</v>
      </c>
      <c r="P942">
        <f>[2]results_sample_product_cf!H941</f>
        <v>0</v>
      </c>
      <c r="Q942">
        <f t="shared" si="158"/>
        <v>0</v>
      </c>
      <c r="R942">
        <f t="shared" si="154"/>
        <v>0</v>
      </c>
    </row>
    <row r="943" spans="1:18" x14ac:dyDescent="0.3">
      <c r="A943">
        <f t="shared" si="159"/>
        <v>940</v>
      </c>
      <c r="B943">
        <f t="shared" si="160"/>
        <v>79</v>
      </c>
      <c r="C943">
        <f t="shared" si="161"/>
        <v>945</v>
      </c>
      <c r="D943">
        <f t="shared" si="155"/>
        <v>79</v>
      </c>
      <c r="E943">
        <f>[1]model_point!$C$2+D943-1</f>
        <v>83</v>
      </c>
      <c r="F943">
        <f>VLOOKUP(E943,'[1]202512 BE mortality'!$A:$C,3,0)</f>
        <v>1.1966143625539083E-3</v>
      </c>
      <c r="G943">
        <f>VLOOKUP(D943,'[1]202512 BE lapse'!$C:$D,2,0)</f>
        <v>1.035371043970874E-3</v>
      </c>
      <c r="H943">
        <f>VLOOKUP($B943,'[1]202512 RFR'!$A:$B,2,0)</f>
        <v>1.2E-2</v>
      </c>
      <c r="I943">
        <f t="shared" si="162"/>
        <v>0.87593002673043607</v>
      </c>
      <c r="J943">
        <f t="shared" si="163"/>
        <v>8.740253260426046E-5</v>
      </c>
      <c r="K943">
        <f t="shared" si="164"/>
        <v>0</v>
      </c>
      <c r="L943">
        <f t="shared" si="156"/>
        <v>0.34026253998142958</v>
      </c>
      <c r="M943">
        <f>IF(AND(MOD(C943,12)=1,D943&lt;='[1]Product parameters'!$C$2),I942*[1]model_point!$G$2,0)</f>
        <v>0</v>
      </c>
      <c r="N943">
        <f t="shared" si="157"/>
        <v>0</v>
      </c>
      <c r="O943">
        <f>[2]results_sample_product_cf!G942</f>
        <v>0</v>
      </c>
      <c r="P943">
        <f>[2]results_sample_product_cf!H942</f>
        <v>0</v>
      </c>
      <c r="Q943">
        <f t="shared" si="158"/>
        <v>0</v>
      </c>
      <c r="R943">
        <f t="shared" si="154"/>
        <v>0</v>
      </c>
    </row>
    <row r="944" spans="1:18" x14ac:dyDescent="0.3">
      <c r="A944">
        <f t="shared" si="159"/>
        <v>941</v>
      </c>
      <c r="B944">
        <f t="shared" si="160"/>
        <v>79</v>
      </c>
      <c r="C944">
        <f t="shared" si="161"/>
        <v>946</v>
      </c>
      <c r="D944">
        <f t="shared" si="155"/>
        <v>79</v>
      </c>
      <c r="E944">
        <f>[1]model_point!$C$2+D944-1</f>
        <v>83</v>
      </c>
      <c r="F944">
        <f>VLOOKUP(E944,'[1]202512 BE mortality'!$A:$C,3,0)</f>
        <v>1.1966143625539083E-3</v>
      </c>
      <c r="G944">
        <f>VLOOKUP(D944,'[1]202512 BE lapse'!$C:$D,2,0)</f>
        <v>1.035371043970874E-3</v>
      </c>
      <c r="H944">
        <f>VLOOKUP($B944,'[1]202512 RFR'!$A:$B,2,0)</f>
        <v>1.2E-2</v>
      </c>
      <c r="I944">
        <f t="shared" si="162"/>
        <v>0.8758426329182093</v>
      </c>
      <c r="J944">
        <f t="shared" si="163"/>
        <v>8.7393812226730896E-5</v>
      </c>
      <c r="K944">
        <f t="shared" si="164"/>
        <v>0</v>
      </c>
      <c r="L944">
        <f t="shared" si="156"/>
        <v>0.33992447088590222</v>
      </c>
      <c r="M944">
        <f>IF(AND(MOD(C944,12)=1,D944&lt;='[1]Product parameters'!$C$2),I943*[1]model_point!$G$2,0)</f>
        <v>0</v>
      </c>
      <c r="N944">
        <f t="shared" si="157"/>
        <v>0</v>
      </c>
      <c r="O944">
        <f>[2]results_sample_product_cf!G943</f>
        <v>0</v>
      </c>
      <c r="P944">
        <f>[2]results_sample_product_cf!H943</f>
        <v>0</v>
      </c>
      <c r="Q944">
        <f t="shared" si="158"/>
        <v>0</v>
      </c>
      <c r="R944">
        <f t="shared" si="154"/>
        <v>0</v>
      </c>
    </row>
    <row r="945" spans="1:18" x14ac:dyDescent="0.3">
      <c r="A945">
        <f t="shared" si="159"/>
        <v>942</v>
      </c>
      <c r="B945">
        <f t="shared" si="160"/>
        <v>79</v>
      </c>
      <c r="C945">
        <f t="shared" si="161"/>
        <v>947</v>
      </c>
      <c r="D945">
        <f t="shared" si="155"/>
        <v>79</v>
      </c>
      <c r="E945">
        <f>[1]model_point!$C$2+D945-1</f>
        <v>83</v>
      </c>
      <c r="F945">
        <f>VLOOKUP(E945,'[1]202512 BE mortality'!$A:$C,3,0)</f>
        <v>1.1966143625539083E-3</v>
      </c>
      <c r="G945">
        <f>VLOOKUP(D945,'[1]202512 BE lapse'!$C:$D,2,0)</f>
        <v>1.035371043970874E-3</v>
      </c>
      <c r="H945">
        <f>VLOOKUP($B945,'[1]202512 RFR'!$A:$B,2,0)</f>
        <v>1.2E-2</v>
      </c>
      <c r="I945">
        <f t="shared" si="162"/>
        <v>0.87575524782549008</v>
      </c>
      <c r="J945">
        <f t="shared" si="163"/>
        <v>8.7385092719256051E-5</v>
      </c>
      <c r="K945">
        <f t="shared" si="164"/>
        <v>0</v>
      </c>
      <c r="L945">
        <f t="shared" si="156"/>
        <v>0.33958673768016556</v>
      </c>
      <c r="M945">
        <f>IF(AND(MOD(C945,12)=1,D945&lt;='[1]Product parameters'!$C$2),I944*[1]model_point!$G$2,0)</f>
        <v>0</v>
      </c>
      <c r="N945">
        <f t="shared" si="157"/>
        <v>0</v>
      </c>
      <c r="O945">
        <f>[2]results_sample_product_cf!G944</f>
        <v>0</v>
      </c>
      <c r="P945">
        <f>[2]results_sample_product_cf!H944</f>
        <v>0</v>
      </c>
      <c r="Q945">
        <f t="shared" si="158"/>
        <v>0</v>
      </c>
      <c r="R945">
        <f t="shared" si="154"/>
        <v>0</v>
      </c>
    </row>
    <row r="946" spans="1:18" x14ac:dyDescent="0.3">
      <c r="A946">
        <f t="shared" si="159"/>
        <v>943</v>
      </c>
      <c r="B946">
        <f t="shared" si="160"/>
        <v>79</v>
      </c>
      <c r="C946">
        <f t="shared" si="161"/>
        <v>948</v>
      </c>
      <c r="D946">
        <f t="shared" si="155"/>
        <v>79</v>
      </c>
      <c r="E946">
        <f>[1]model_point!$C$2+D946-1</f>
        <v>83</v>
      </c>
      <c r="F946">
        <f>VLOOKUP(E946,'[1]202512 BE mortality'!$A:$C,3,0)</f>
        <v>1.1966143625539083E-3</v>
      </c>
      <c r="G946">
        <f>VLOOKUP(D946,'[1]202512 BE lapse'!$C:$D,2,0)</f>
        <v>1.035371043970874E-3</v>
      </c>
      <c r="H946">
        <f>VLOOKUP($B946,'[1]202512 RFR'!$A:$B,2,0)</f>
        <v>1.2E-2</v>
      </c>
      <c r="I946">
        <f t="shared" si="162"/>
        <v>0.87476123029317199</v>
      </c>
      <c r="J946">
        <f t="shared" si="163"/>
        <v>8.7376374081749096E-5</v>
      </c>
      <c r="K946">
        <f t="shared" si="164"/>
        <v>9.0664115823639775E-4</v>
      </c>
      <c r="L946">
        <f t="shared" si="156"/>
        <v>0.33924934003049512</v>
      </c>
      <c r="M946">
        <f>IF(AND(MOD(C946,12)=1,D946&lt;='[1]Product parameters'!$C$2),I945*[1]model_point!$G$2,0)</f>
        <v>0</v>
      </c>
      <c r="N946">
        <f t="shared" si="157"/>
        <v>0</v>
      </c>
      <c r="O946">
        <f>[2]results_sample_product_cf!G945</f>
        <v>0</v>
      </c>
      <c r="P946">
        <f>[2]results_sample_product_cf!H945</f>
        <v>0</v>
      </c>
      <c r="Q946">
        <f t="shared" si="158"/>
        <v>0</v>
      </c>
      <c r="R946">
        <f t="shared" si="154"/>
        <v>0</v>
      </c>
    </row>
    <row r="947" spans="1:18" x14ac:dyDescent="0.3">
      <c r="A947">
        <f t="shared" si="159"/>
        <v>944</v>
      </c>
      <c r="B947">
        <f t="shared" si="160"/>
        <v>79</v>
      </c>
      <c r="C947">
        <f t="shared" si="161"/>
        <v>949</v>
      </c>
      <c r="D947">
        <f t="shared" si="155"/>
        <v>80</v>
      </c>
      <c r="E947">
        <f>[1]model_point!$C$2+D947-1</f>
        <v>84</v>
      </c>
      <c r="F947">
        <f>VLOOKUP(E947,'[1]202512 BE mortality'!$A:$C,3,0)</f>
        <v>2.2662488712247298E-4</v>
      </c>
      <c r="G947">
        <f>VLOOKUP(D947,'[1]202512 BE lapse'!$C:$D,2,0)</f>
        <v>8.5714663949948682E-3</v>
      </c>
      <c r="H947">
        <f>VLOOKUP($B947,'[1]202512 RFR'!$A:$B,2,0)</f>
        <v>1.2E-2</v>
      </c>
      <c r="I947">
        <f t="shared" si="162"/>
        <v>0.87474470835488272</v>
      </c>
      <c r="J947">
        <f t="shared" si="163"/>
        <v>1.6521938289232907E-5</v>
      </c>
      <c r="K947">
        <f t="shared" si="164"/>
        <v>0</v>
      </c>
      <c r="L947">
        <f t="shared" si="156"/>
        <v>0.33891227760349796</v>
      </c>
      <c r="M947">
        <f>IF(AND(MOD(C947,12)=1,D947&lt;='[1]Product parameters'!$C$2),I946*[1]model_point!$G$2,0)</f>
        <v>0</v>
      </c>
      <c r="N947">
        <f t="shared" si="157"/>
        <v>0</v>
      </c>
      <c r="O947">
        <f>[2]results_sample_product_cf!G946</f>
        <v>0</v>
      </c>
      <c r="P947">
        <f>[2]results_sample_product_cf!H946</f>
        <v>0</v>
      </c>
      <c r="Q947">
        <f t="shared" si="158"/>
        <v>0</v>
      </c>
      <c r="R947">
        <f t="shared" si="154"/>
        <v>0</v>
      </c>
    </row>
    <row r="948" spans="1:18" x14ac:dyDescent="0.3">
      <c r="A948">
        <f t="shared" si="159"/>
        <v>945</v>
      </c>
      <c r="B948">
        <f t="shared" si="160"/>
        <v>79</v>
      </c>
      <c r="C948">
        <f t="shared" si="161"/>
        <v>950</v>
      </c>
      <c r="D948">
        <f t="shared" si="155"/>
        <v>80</v>
      </c>
      <c r="E948">
        <f>[1]model_point!$C$2+D948-1</f>
        <v>84</v>
      </c>
      <c r="F948">
        <f>VLOOKUP(E948,'[1]202512 BE mortality'!$A:$C,3,0)</f>
        <v>2.2662488712247298E-4</v>
      </c>
      <c r="G948">
        <f>VLOOKUP(D948,'[1]202512 BE lapse'!$C:$D,2,0)</f>
        <v>8.5714663949948682E-3</v>
      </c>
      <c r="H948">
        <f>VLOOKUP($B948,'[1]202512 RFR'!$A:$B,2,0)</f>
        <v>1.2E-2</v>
      </c>
      <c r="I948">
        <f t="shared" si="162"/>
        <v>0.87472818672864938</v>
      </c>
      <c r="J948">
        <f t="shared" si="163"/>
        <v>1.652162623328509E-5</v>
      </c>
      <c r="K948">
        <f t="shared" si="164"/>
        <v>0</v>
      </c>
      <c r="L948">
        <f t="shared" si="156"/>
        <v>0.33857555006611229</v>
      </c>
      <c r="M948">
        <f>IF(AND(MOD(C948,12)=1,D948&lt;='[1]Product parameters'!$C$2),I947*[1]model_point!$G$2,0)</f>
        <v>0</v>
      </c>
      <c r="N948">
        <f t="shared" si="157"/>
        <v>0</v>
      </c>
      <c r="O948">
        <f>[2]results_sample_product_cf!G947</f>
        <v>0</v>
      </c>
      <c r="P948">
        <f>[2]results_sample_product_cf!H947</f>
        <v>0</v>
      </c>
      <c r="Q948">
        <f t="shared" si="158"/>
        <v>0</v>
      </c>
      <c r="R948">
        <f t="shared" si="154"/>
        <v>0</v>
      </c>
    </row>
    <row r="949" spans="1:18" x14ac:dyDescent="0.3">
      <c r="A949">
        <f t="shared" si="159"/>
        <v>946</v>
      </c>
      <c r="B949">
        <f t="shared" si="160"/>
        <v>79</v>
      </c>
      <c r="C949">
        <f t="shared" si="161"/>
        <v>951</v>
      </c>
      <c r="D949">
        <f t="shared" si="155"/>
        <v>80</v>
      </c>
      <c r="E949">
        <f>[1]model_point!$C$2+D949-1</f>
        <v>84</v>
      </c>
      <c r="F949">
        <f>VLOOKUP(E949,'[1]202512 BE mortality'!$A:$C,3,0)</f>
        <v>2.2662488712247298E-4</v>
      </c>
      <c r="G949">
        <f>VLOOKUP(D949,'[1]202512 BE lapse'!$C:$D,2,0)</f>
        <v>8.5714663949948682E-3</v>
      </c>
      <c r="H949">
        <f>VLOOKUP($B949,'[1]202512 RFR'!$A:$B,2,0)</f>
        <v>1.2E-2</v>
      </c>
      <c r="I949">
        <f t="shared" si="162"/>
        <v>0.8747116654144661</v>
      </c>
      <c r="J949">
        <f t="shared" si="163"/>
        <v>1.6521314183231189E-5</v>
      </c>
      <c r="K949">
        <f t="shared" si="164"/>
        <v>0</v>
      </c>
      <c r="L949">
        <f t="shared" si="156"/>
        <v>0.33823915708560737</v>
      </c>
      <c r="M949">
        <f>IF(AND(MOD(C949,12)=1,D949&lt;='[1]Product parameters'!$C$2),I948*[1]model_point!$G$2,0)</f>
        <v>0</v>
      </c>
      <c r="N949">
        <f t="shared" si="157"/>
        <v>0</v>
      </c>
      <c r="O949">
        <f>[2]results_sample_product_cf!G948</f>
        <v>0</v>
      </c>
      <c r="P949">
        <f>[2]results_sample_product_cf!H948</f>
        <v>0</v>
      </c>
      <c r="Q949">
        <f t="shared" si="158"/>
        <v>0</v>
      </c>
      <c r="R949">
        <f t="shared" si="154"/>
        <v>0</v>
      </c>
    </row>
    <row r="950" spans="1:18" x14ac:dyDescent="0.3">
      <c r="A950">
        <f t="shared" si="159"/>
        <v>947</v>
      </c>
      <c r="B950">
        <f t="shared" si="160"/>
        <v>79</v>
      </c>
      <c r="C950">
        <f t="shared" si="161"/>
        <v>952</v>
      </c>
      <c r="D950">
        <f t="shared" si="155"/>
        <v>80</v>
      </c>
      <c r="E950">
        <f>[1]model_point!$C$2+D950-1</f>
        <v>84</v>
      </c>
      <c r="F950">
        <f>VLOOKUP(E950,'[1]202512 BE mortality'!$A:$C,3,0)</f>
        <v>2.2662488712247298E-4</v>
      </c>
      <c r="G950">
        <f>VLOOKUP(D950,'[1]202512 BE lapse'!$C:$D,2,0)</f>
        <v>8.5714663949948682E-3</v>
      </c>
      <c r="H950">
        <f>VLOOKUP($B950,'[1]202512 RFR'!$A:$B,2,0)</f>
        <v>1.2E-2</v>
      </c>
      <c r="I950">
        <f t="shared" si="162"/>
        <v>0.87469514441232699</v>
      </c>
      <c r="J950">
        <f t="shared" si="163"/>
        <v>1.6521002139071089E-5</v>
      </c>
      <c r="K950">
        <f t="shared" si="164"/>
        <v>0</v>
      </c>
      <c r="L950">
        <f t="shared" si="156"/>
        <v>0.33790309832958293</v>
      </c>
      <c r="M950">
        <f>IF(AND(MOD(C950,12)=1,D950&lt;='[1]Product parameters'!$C$2),I949*[1]model_point!$G$2,0)</f>
        <v>0</v>
      </c>
      <c r="N950">
        <f t="shared" si="157"/>
        <v>0</v>
      </c>
      <c r="O950">
        <f>[2]results_sample_product_cf!G949</f>
        <v>0</v>
      </c>
      <c r="P950">
        <f>[2]results_sample_product_cf!H949</f>
        <v>0</v>
      </c>
      <c r="Q950">
        <f t="shared" si="158"/>
        <v>0</v>
      </c>
      <c r="R950">
        <f t="shared" si="154"/>
        <v>0</v>
      </c>
    </row>
    <row r="951" spans="1:18" x14ac:dyDescent="0.3">
      <c r="A951">
        <f t="shared" si="159"/>
        <v>948</v>
      </c>
      <c r="B951">
        <f t="shared" si="160"/>
        <v>79</v>
      </c>
      <c r="C951">
        <f t="shared" si="161"/>
        <v>953</v>
      </c>
      <c r="D951">
        <f t="shared" si="155"/>
        <v>80</v>
      </c>
      <c r="E951">
        <f>[1]model_point!$C$2+D951-1</f>
        <v>84</v>
      </c>
      <c r="F951">
        <f>VLOOKUP(E951,'[1]202512 BE mortality'!$A:$C,3,0)</f>
        <v>2.2662488712247298E-4</v>
      </c>
      <c r="G951">
        <f>VLOOKUP(D951,'[1]202512 BE lapse'!$C:$D,2,0)</f>
        <v>8.5714663949948682E-3</v>
      </c>
      <c r="H951">
        <f>VLOOKUP($B951,'[1]202512 RFR'!$A:$B,2,0)</f>
        <v>1.2E-2</v>
      </c>
      <c r="I951">
        <f t="shared" si="162"/>
        <v>0.87467862372222616</v>
      </c>
      <c r="J951">
        <f t="shared" si="163"/>
        <v>1.6520690100804685E-5</v>
      </c>
      <c r="K951">
        <f t="shared" si="164"/>
        <v>0</v>
      </c>
      <c r="L951">
        <f t="shared" si="156"/>
        <v>0.33756737346596905</v>
      </c>
      <c r="M951">
        <f>IF(AND(MOD(C951,12)=1,D951&lt;='[1]Product parameters'!$C$2),I950*[1]model_point!$G$2,0)</f>
        <v>0</v>
      </c>
      <c r="N951">
        <f t="shared" si="157"/>
        <v>0</v>
      </c>
      <c r="O951">
        <f>[2]results_sample_product_cf!G950</f>
        <v>0</v>
      </c>
      <c r="P951">
        <f>[2]results_sample_product_cf!H950</f>
        <v>0</v>
      </c>
      <c r="Q951">
        <f t="shared" si="158"/>
        <v>0</v>
      </c>
      <c r="R951">
        <f t="shared" si="154"/>
        <v>0</v>
      </c>
    </row>
    <row r="952" spans="1:18" x14ac:dyDescent="0.3">
      <c r="A952">
        <f t="shared" si="159"/>
        <v>949</v>
      </c>
      <c r="B952">
        <f t="shared" si="160"/>
        <v>80</v>
      </c>
      <c r="C952">
        <f t="shared" si="161"/>
        <v>954</v>
      </c>
      <c r="D952">
        <f t="shared" si="155"/>
        <v>80</v>
      </c>
      <c r="E952">
        <f>[1]model_point!$C$2+D952-1</f>
        <v>84</v>
      </c>
      <c r="F952">
        <f>VLOOKUP(E952,'[1]202512 BE mortality'!$A:$C,3,0)</f>
        <v>2.2662488712247298E-4</v>
      </c>
      <c r="G952">
        <f>VLOOKUP(D952,'[1]202512 BE lapse'!$C:$D,2,0)</f>
        <v>8.5714663949948682E-3</v>
      </c>
      <c r="H952">
        <f>VLOOKUP($B952,'[1]202512 RFR'!$A:$B,2,0)</f>
        <v>1.2E-2</v>
      </c>
      <c r="I952">
        <f t="shared" si="162"/>
        <v>0.87466210334415773</v>
      </c>
      <c r="J952">
        <f t="shared" si="163"/>
        <v>1.6520378068431861E-5</v>
      </c>
      <c r="K952">
        <f t="shared" si="164"/>
        <v>0</v>
      </c>
      <c r="L952">
        <f t="shared" si="156"/>
        <v>0.33723198216302569</v>
      </c>
      <c r="M952">
        <f>IF(AND(MOD(C952,12)=1,D952&lt;='[1]Product parameters'!$C$2),I951*[1]model_point!$G$2,0)</f>
        <v>0</v>
      </c>
      <c r="N952">
        <f t="shared" si="157"/>
        <v>0</v>
      </c>
      <c r="O952">
        <f>[2]results_sample_product_cf!G951</f>
        <v>0</v>
      </c>
      <c r="P952">
        <f>[2]results_sample_product_cf!H951</f>
        <v>0</v>
      </c>
      <c r="Q952">
        <f t="shared" si="158"/>
        <v>0</v>
      </c>
      <c r="R952">
        <f t="shared" si="154"/>
        <v>0</v>
      </c>
    </row>
    <row r="953" spans="1:18" x14ac:dyDescent="0.3">
      <c r="A953">
        <f t="shared" si="159"/>
        <v>950</v>
      </c>
      <c r="B953">
        <f t="shared" si="160"/>
        <v>80</v>
      </c>
      <c r="C953">
        <f t="shared" si="161"/>
        <v>955</v>
      </c>
      <c r="D953">
        <f t="shared" si="155"/>
        <v>80</v>
      </c>
      <c r="E953">
        <f>[1]model_point!$C$2+D953-1</f>
        <v>84</v>
      </c>
      <c r="F953">
        <f>VLOOKUP(E953,'[1]202512 BE mortality'!$A:$C,3,0)</f>
        <v>2.2662488712247298E-4</v>
      </c>
      <c r="G953">
        <f>VLOOKUP(D953,'[1]202512 BE lapse'!$C:$D,2,0)</f>
        <v>8.5714663949948682E-3</v>
      </c>
      <c r="H953">
        <f>VLOOKUP($B953,'[1]202512 RFR'!$A:$B,2,0)</f>
        <v>1.2E-2</v>
      </c>
      <c r="I953">
        <f t="shared" si="162"/>
        <v>0.87464558327811581</v>
      </c>
      <c r="J953">
        <f t="shared" si="163"/>
        <v>1.652006604195251E-5</v>
      </c>
      <c r="K953">
        <f t="shared" si="164"/>
        <v>0</v>
      </c>
      <c r="L953">
        <f t="shared" si="156"/>
        <v>0.33689692408934241</v>
      </c>
      <c r="M953">
        <f>IF(AND(MOD(C953,12)=1,D953&lt;='[1]Product parameters'!$C$2),I952*[1]model_point!$G$2,0)</f>
        <v>0</v>
      </c>
      <c r="N953">
        <f t="shared" si="157"/>
        <v>0</v>
      </c>
      <c r="O953">
        <f>[2]results_sample_product_cf!G952</f>
        <v>0</v>
      </c>
      <c r="P953">
        <f>[2]results_sample_product_cf!H952</f>
        <v>0</v>
      </c>
      <c r="Q953">
        <f t="shared" si="158"/>
        <v>0</v>
      </c>
      <c r="R953">
        <f t="shared" si="154"/>
        <v>0</v>
      </c>
    </row>
    <row r="954" spans="1:18" x14ac:dyDescent="0.3">
      <c r="A954">
        <f t="shared" si="159"/>
        <v>951</v>
      </c>
      <c r="B954">
        <f t="shared" si="160"/>
        <v>80</v>
      </c>
      <c r="C954">
        <f t="shared" si="161"/>
        <v>956</v>
      </c>
      <c r="D954">
        <f t="shared" si="155"/>
        <v>80</v>
      </c>
      <c r="E954">
        <f>[1]model_point!$C$2+D954-1</f>
        <v>84</v>
      </c>
      <c r="F954">
        <f>VLOOKUP(E954,'[1]202512 BE mortality'!$A:$C,3,0)</f>
        <v>2.2662488712247298E-4</v>
      </c>
      <c r="G954">
        <f>VLOOKUP(D954,'[1]202512 BE lapse'!$C:$D,2,0)</f>
        <v>8.5714663949948682E-3</v>
      </c>
      <c r="H954">
        <f>VLOOKUP($B954,'[1]202512 RFR'!$A:$B,2,0)</f>
        <v>1.2E-2</v>
      </c>
      <c r="I954">
        <f t="shared" si="162"/>
        <v>0.87462906352409442</v>
      </c>
      <c r="J954">
        <f t="shared" si="163"/>
        <v>1.6519754021366519E-5</v>
      </c>
      <c r="K954">
        <f t="shared" si="164"/>
        <v>0</v>
      </c>
      <c r="L954">
        <f t="shared" si="156"/>
        <v>0.33656219891383804</v>
      </c>
      <c r="M954">
        <f>IF(AND(MOD(C954,12)=1,D954&lt;='[1]Product parameters'!$C$2),I953*[1]model_point!$G$2,0)</f>
        <v>0</v>
      </c>
      <c r="N954">
        <f t="shared" si="157"/>
        <v>0</v>
      </c>
      <c r="O954">
        <f>[2]results_sample_product_cf!G953</f>
        <v>0</v>
      </c>
      <c r="P954">
        <f>[2]results_sample_product_cf!H953</f>
        <v>0</v>
      </c>
      <c r="Q954">
        <f t="shared" si="158"/>
        <v>0</v>
      </c>
      <c r="R954">
        <f t="shared" si="154"/>
        <v>0</v>
      </c>
    </row>
    <row r="955" spans="1:18" x14ac:dyDescent="0.3">
      <c r="A955">
        <f t="shared" si="159"/>
        <v>952</v>
      </c>
      <c r="B955">
        <f t="shared" si="160"/>
        <v>80</v>
      </c>
      <c r="C955">
        <f t="shared" si="161"/>
        <v>957</v>
      </c>
      <c r="D955">
        <f t="shared" si="155"/>
        <v>80</v>
      </c>
      <c r="E955">
        <f>[1]model_point!$C$2+D955-1</f>
        <v>84</v>
      </c>
      <c r="F955">
        <f>VLOOKUP(E955,'[1]202512 BE mortality'!$A:$C,3,0)</f>
        <v>2.2662488712247298E-4</v>
      </c>
      <c r="G955">
        <f>VLOOKUP(D955,'[1]202512 BE lapse'!$C:$D,2,0)</f>
        <v>8.5714663949948682E-3</v>
      </c>
      <c r="H955">
        <f>VLOOKUP($B955,'[1]202512 RFR'!$A:$B,2,0)</f>
        <v>1.2E-2</v>
      </c>
      <c r="I955">
        <f t="shared" si="162"/>
        <v>0.87461254408208777</v>
      </c>
      <c r="J955">
        <f t="shared" si="163"/>
        <v>1.6519442006673774E-5</v>
      </c>
      <c r="K955">
        <f t="shared" si="164"/>
        <v>0</v>
      </c>
      <c r="L955">
        <f t="shared" si="156"/>
        <v>0.33622780630576043</v>
      </c>
      <c r="M955">
        <f>IF(AND(MOD(C955,12)=1,D955&lt;='[1]Product parameters'!$C$2),I954*[1]model_point!$G$2,0)</f>
        <v>0</v>
      </c>
      <c r="N955">
        <f t="shared" si="157"/>
        <v>0</v>
      </c>
      <c r="O955">
        <f>[2]results_sample_product_cf!G954</f>
        <v>0</v>
      </c>
      <c r="P955">
        <f>[2]results_sample_product_cf!H954</f>
        <v>0</v>
      </c>
      <c r="Q955">
        <f t="shared" si="158"/>
        <v>0</v>
      </c>
      <c r="R955">
        <f t="shared" si="154"/>
        <v>0</v>
      </c>
    </row>
    <row r="956" spans="1:18" x14ac:dyDescent="0.3">
      <c r="A956">
        <f t="shared" si="159"/>
        <v>953</v>
      </c>
      <c r="B956">
        <f t="shared" si="160"/>
        <v>80</v>
      </c>
      <c r="C956">
        <f t="shared" si="161"/>
        <v>958</v>
      </c>
      <c r="D956">
        <f t="shared" si="155"/>
        <v>80</v>
      </c>
      <c r="E956">
        <f>[1]model_point!$C$2+D956-1</f>
        <v>84</v>
      </c>
      <c r="F956">
        <f>VLOOKUP(E956,'[1]202512 BE mortality'!$A:$C,3,0)</f>
        <v>2.2662488712247298E-4</v>
      </c>
      <c r="G956">
        <f>VLOOKUP(D956,'[1]202512 BE lapse'!$C:$D,2,0)</f>
        <v>8.5714663949948682E-3</v>
      </c>
      <c r="H956">
        <f>VLOOKUP($B956,'[1]202512 RFR'!$A:$B,2,0)</f>
        <v>1.2E-2</v>
      </c>
      <c r="I956">
        <f t="shared" si="162"/>
        <v>0.87459602495208988</v>
      </c>
      <c r="J956">
        <f t="shared" si="163"/>
        <v>1.6519129997874169E-5</v>
      </c>
      <c r="K956">
        <f t="shared" si="164"/>
        <v>0</v>
      </c>
      <c r="L956">
        <f t="shared" si="156"/>
        <v>0.33589374593468596</v>
      </c>
      <c r="M956">
        <f>IF(AND(MOD(C956,12)=1,D956&lt;='[1]Product parameters'!$C$2),I955*[1]model_point!$G$2,0)</f>
        <v>0</v>
      </c>
      <c r="N956">
        <f t="shared" si="157"/>
        <v>0</v>
      </c>
      <c r="O956">
        <f>[2]results_sample_product_cf!G955</f>
        <v>0</v>
      </c>
      <c r="P956">
        <f>[2]results_sample_product_cf!H955</f>
        <v>0</v>
      </c>
      <c r="Q956">
        <f t="shared" si="158"/>
        <v>0</v>
      </c>
      <c r="R956">
        <f t="shared" si="154"/>
        <v>0</v>
      </c>
    </row>
    <row r="957" spans="1:18" x14ac:dyDescent="0.3">
      <c r="A957">
        <f t="shared" si="159"/>
        <v>954</v>
      </c>
      <c r="B957">
        <f t="shared" si="160"/>
        <v>80</v>
      </c>
      <c r="C957">
        <f t="shared" si="161"/>
        <v>959</v>
      </c>
      <c r="D957">
        <f t="shared" si="155"/>
        <v>80</v>
      </c>
      <c r="E957">
        <f>[1]model_point!$C$2+D957-1</f>
        <v>84</v>
      </c>
      <c r="F957">
        <f>VLOOKUP(E957,'[1]202512 BE mortality'!$A:$C,3,0)</f>
        <v>2.2662488712247298E-4</v>
      </c>
      <c r="G957">
        <f>VLOOKUP(D957,'[1]202512 BE lapse'!$C:$D,2,0)</f>
        <v>8.5714663949948682E-3</v>
      </c>
      <c r="H957">
        <f>VLOOKUP($B957,'[1]202512 RFR'!$A:$B,2,0)</f>
        <v>1.2E-2</v>
      </c>
      <c r="I957">
        <f t="shared" si="162"/>
        <v>0.87457950613409496</v>
      </c>
      <c r="J957">
        <f t="shared" si="163"/>
        <v>1.6518817994967585E-5</v>
      </c>
      <c r="K957">
        <f t="shared" si="164"/>
        <v>0</v>
      </c>
      <c r="L957">
        <f t="shared" si="156"/>
        <v>0.33556001747051933</v>
      </c>
      <c r="M957">
        <f>IF(AND(MOD(C957,12)=1,D957&lt;='[1]Product parameters'!$C$2),I956*[1]model_point!$G$2,0)</f>
        <v>0</v>
      </c>
      <c r="N957">
        <f t="shared" si="157"/>
        <v>0</v>
      </c>
      <c r="O957">
        <f>[2]results_sample_product_cf!G956</f>
        <v>0</v>
      </c>
      <c r="P957">
        <f>[2]results_sample_product_cf!H956</f>
        <v>0</v>
      </c>
      <c r="Q957">
        <f t="shared" si="158"/>
        <v>0</v>
      </c>
      <c r="R957">
        <f t="shared" si="154"/>
        <v>0</v>
      </c>
    </row>
    <row r="958" spans="1:18" x14ac:dyDescent="0.3">
      <c r="A958">
        <f t="shared" si="159"/>
        <v>955</v>
      </c>
      <c r="B958">
        <f t="shared" si="160"/>
        <v>80</v>
      </c>
      <c r="C958">
        <f t="shared" si="161"/>
        <v>960</v>
      </c>
      <c r="D958">
        <f t="shared" si="155"/>
        <v>80</v>
      </c>
      <c r="E958">
        <f>[1]model_point!$C$2+D958-1</f>
        <v>84</v>
      </c>
      <c r="F958">
        <f>VLOOKUP(E958,'[1]202512 BE mortality'!$A:$C,3,0)</f>
        <v>2.2662488712247298E-4</v>
      </c>
      <c r="G958">
        <f>VLOOKUP(D958,'[1]202512 BE lapse'!$C:$D,2,0)</f>
        <v>8.5714663949948682E-3</v>
      </c>
      <c r="H958">
        <f>VLOOKUP($B958,'[1]202512 RFR'!$A:$B,2,0)</f>
        <v>1.2E-2</v>
      </c>
      <c r="I958">
        <f t="shared" si="162"/>
        <v>0.86706670036933653</v>
      </c>
      <c r="J958">
        <f t="shared" si="163"/>
        <v>1.6518505997953918E-5</v>
      </c>
      <c r="K958">
        <f t="shared" si="164"/>
        <v>7.4962872587605468E-3</v>
      </c>
      <c r="L958">
        <f t="shared" si="156"/>
        <v>0.33522662058349323</v>
      </c>
      <c r="M958">
        <f>IF(AND(MOD(C958,12)=1,D958&lt;='[1]Product parameters'!$C$2),I957*[1]model_point!$G$2,0)</f>
        <v>0</v>
      </c>
      <c r="N958">
        <f t="shared" si="157"/>
        <v>0</v>
      </c>
      <c r="O958">
        <f>[2]results_sample_product_cf!G957</f>
        <v>0</v>
      </c>
      <c r="P958">
        <f>[2]results_sample_product_cf!H957</f>
        <v>0</v>
      </c>
      <c r="Q958">
        <f t="shared" si="158"/>
        <v>0</v>
      </c>
      <c r="R958">
        <f t="shared" si="154"/>
        <v>0</v>
      </c>
    </row>
    <row r="959" spans="1:18" x14ac:dyDescent="0.3">
      <c r="A959">
        <f t="shared" si="159"/>
        <v>956</v>
      </c>
      <c r="B959">
        <f t="shared" si="160"/>
        <v>80</v>
      </c>
      <c r="C959">
        <f t="shared" si="161"/>
        <v>961</v>
      </c>
      <c r="D959">
        <f t="shared" si="155"/>
        <v>81</v>
      </c>
      <c r="E959">
        <f>[1]model_point!$C$2+D959-1</f>
        <v>85</v>
      </c>
      <c r="F959">
        <f>VLOOKUP(E959,'[1]202512 BE mortality'!$A:$C,3,0)</f>
        <v>5.4360656704300616E-3</v>
      </c>
      <c r="G959">
        <f>VLOOKUP(D959,'[1]202512 BE lapse'!$C:$D,2,0)</f>
        <v>4.6833422391928756E-3</v>
      </c>
      <c r="H959">
        <f>VLOOKUP($B959,'[1]202512 RFR'!$A:$B,2,0)</f>
        <v>1.2E-2</v>
      </c>
      <c r="I959">
        <f t="shared" si="162"/>
        <v>0.86667293235859211</v>
      </c>
      <c r="J959">
        <f t="shared" si="163"/>
        <v>3.9376801074443894E-4</v>
      </c>
      <c r="K959">
        <f t="shared" si="164"/>
        <v>0</v>
      </c>
      <c r="L959">
        <f t="shared" si="156"/>
        <v>0.33489355494416795</v>
      </c>
      <c r="M959">
        <f>IF(AND(MOD(C959,12)=1,D959&lt;='[1]Product parameters'!$C$2),I958*[1]model_point!$G$2,0)</f>
        <v>0</v>
      </c>
      <c r="N959">
        <f t="shared" si="157"/>
        <v>0</v>
      </c>
      <c r="O959">
        <f>[2]results_sample_product_cf!G958</f>
        <v>0</v>
      </c>
      <c r="P959">
        <f>[2]results_sample_product_cf!H958</f>
        <v>0</v>
      </c>
      <c r="Q959">
        <f t="shared" si="158"/>
        <v>0</v>
      </c>
      <c r="R959">
        <f t="shared" si="154"/>
        <v>0</v>
      </c>
    </row>
    <row r="960" spans="1:18" x14ac:dyDescent="0.3">
      <c r="A960">
        <f t="shared" si="159"/>
        <v>957</v>
      </c>
      <c r="B960">
        <f t="shared" si="160"/>
        <v>80</v>
      </c>
      <c r="C960">
        <f t="shared" si="161"/>
        <v>962</v>
      </c>
      <c r="D960">
        <f t="shared" si="155"/>
        <v>81</v>
      </c>
      <c r="E960">
        <f>[1]model_point!$C$2+D960-1</f>
        <v>85</v>
      </c>
      <c r="F960">
        <f>VLOOKUP(E960,'[1]202512 BE mortality'!$A:$C,3,0)</f>
        <v>5.4360656704300616E-3</v>
      </c>
      <c r="G960">
        <f>VLOOKUP(D960,'[1]202512 BE lapse'!$C:$D,2,0)</f>
        <v>4.6833422391928756E-3</v>
      </c>
      <c r="H960">
        <f>VLOOKUP($B960,'[1]202512 RFR'!$A:$B,2,0)</f>
        <v>1.2E-2</v>
      </c>
      <c r="I960">
        <f t="shared" si="162"/>
        <v>0.8662793431728979</v>
      </c>
      <c r="J960">
        <f t="shared" si="163"/>
        <v>3.9358918569416357E-4</v>
      </c>
      <c r="K960">
        <f t="shared" si="164"/>
        <v>0</v>
      </c>
      <c r="L960">
        <f t="shared" si="156"/>
        <v>0.33456082022343114</v>
      </c>
      <c r="M960">
        <f>IF(AND(MOD(C960,12)=1,D960&lt;='[1]Product parameters'!$C$2),I959*[1]model_point!$G$2,0)</f>
        <v>0</v>
      </c>
      <c r="N960">
        <f t="shared" si="157"/>
        <v>0</v>
      </c>
      <c r="O960">
        <f>[2]results_sample_product_cf!G959</f>
        <v>0</v>
      </c>
      <c r="P960">
        <f>[2]results_sample_product_cf!H959</f>
        <v>0</v>
      </c>
      <c r="Q960">
        <f t="shared" si="158"/>
        <v>0</v>
      </c>
      <c r="R960">
        <f t="shared" si="154"/>
        <v>0</v>
      </c>
    </row>
    <row r="961" spans="1:18" x14ac:dyDescent="0.3">
      <c r="A961">
        <f t="shared" si="159"/>
        <v>958</v>
      </c>
      <c r="B961">
        <f t="shared" si="160"/>
        <v>80</v>
      </c>
      <c r="C961">
        <f t="shared" si="161"/>
        <v>963</v>
      </c>
      <c r="D961">
        <f t="shared" si="155"/>
        <v>81</v>
      </c>
      <c r="E961">
        <f>[1]model_point!$C$2+D961-1</f>
        <v>85</v>
      </c>
      <c r="F961">
        <f>VLOOKUP(E961,'[1]202512 BE mortality'!$A:$C,3,0)</f>
        <v>5.4360656704300616E-3</v>
      </c>
      <c r="G961">
        <f>VLOOKUP(D961,'[1]202512 BE lapse'!$C:$D,2,0)</f>
        <v>4.6833422391928756E-3</v>
      </c>
      <c r="H961">
        <f>VLOOKUP($B961,'[1]202512 RFR'!$A:$B,2,0)</f>
        <v>1.2E-2</v>
      </c>
      <c r="I961">
        <f t="shared" si="162"/>
        <v>0.86588593273104275</v>
      </c>
      <c r="J961">
        <f t="shared" si="163"/>
        <v>3.9341044185515404E-4</v>
      </c>
      <c r="K961">
        <f t="shared" si="164"/>
        <v>0</v>
      </c>
      <c r="L961">
        <f t="shared" si="156"/>
        <v>0.33422841609249743</v>
      </c>
      <c r="M961">
        <f>IF(AND(MOD(C961,12)=1,D961&lt;='[1]Product parameters'!$C$2),I960*[1]model_point!$G$2,0)</f>
        <v>0</v>
      </c>
      <c r="N961">
        <f t="shared" si="157"/>
        <v>0</v>
      </c>
      <c r="O961">
        <f>[2]results_sample_product_cf!G960</f>
        <v>0</v>
      </c>
      <c r="P961">
        <f>[2]results_sample_product_cf!H960</f>
        <v>0</v>
      </c>
      <c r="Q961">
        <f t="shared" si="158"/>
        <v>0</v>
      </c>
      <c r="R961">
        <f t="shared" si="154"/>
        <v>0</v>
      </c>
    </row>
    <row r="962" spans="1:18" x14ac:dyDescent="0.3">
      <c r="A962">
        <f t="shared" si="159"/>
        <v>959</v>
      </c>
      <c r="B962">
        <f t="shared" si="160"/>
        <v>80</v>
      </c>
      <c r="C962">
        <f t="shared" si="161"/>
        <v>964</v>
      </c>
      <c r="D962">
        <f t="shared" si="155"/>
        <v>81</v>
      </c>
      <c r="E962">
        <f>[1]model_point!$C$2+D962-1</f>
        <v>85</v>
      </c>
      <c r="F962">
        <f>VLOOKUP(E962,'[1]202512 BE mortality'!$A:$C,3,0)</f>
        <v>5.4360656704300616E-3</v>
      </c>
      <c r="G962">
        <f>VLOOKUP(D962,'[1]202512 BE lapse'!$C:$D,2,0)</f>
        <v>4.6833422391928756E-3</v>
      </c>
      <c r="H962">
        <f>VLOOKUP($B962,'[1]202512 RFR'!$A:$B,2,0)</f>
        <v>1.2E-2</v>
      </c>
      <c r="I962">
        <f t="shared" si="162"/>
        <v>0.86549270095185227</v>
      </c>
      <c r="J962">
        <f t="shared" si="163"/>
        <v>3.9323177919052928E-4</v>
      </c>
      <c r="K962">
        <f t="shared" si="164"/>
        <v>0</v>
      </c>
      <c r="L962">
        <f t="shared" si="156"/>
        <v>0.33389634222290809</v>
      </c>
      <c r="M962">
        <f>IF(AND(MOD(C962,12)=1,D962&lt;='[1]Product parameters'!$C$2),I961*[1]model_point!$G$2,0)</f>
        <v>0</v>
      </c>
      <c r="N962">
        <f t="shared" si="157"/>
        <v>0</v>
      </c>
      <c r="O962">
        <f>[2]results_sample_product_cf!G961</f>
        <v>0</v>
      </c>
      <c r="P962">
        <f>[2]results_sample_product_cf!H961</f>
        <v>0</v>
      </c>
      <c r="Q962">
        <f t="shared" si="158"/>
        <v>0</v>
      </c>
      <c r="R962">
        <f t="shared" si="154"/>
        <v>0</v>
      </c>
    </row>
    <row r="963" spans="1:18" x14ac:dyDescent="0.3">
      <c r="A963">
        <f t="shared" si="159"/>
        <v>960</v>
      </c>
      <c r="B963">
        <f t="shared" si="160"/>
        <v>80</v>
      </c>
      <c r="C963">
        <f t="shared" si="161"/>
        <v>965</v>
      </c>
      <c r="D963">
        <f t="shared" si="155"/>
        <v>81</v>
      </c>
      <c r="E963">
        <f>[1]model_point!$C$2+D963-1</f>
        <v>85</v>
      </c>
      <c r="F963">
        <f>VLOOKUP(E963,'[1]202512 BE mortality'!$A:$C,3,0)</f>
        <v>5.4360656704300616E-3</v>
      </c>
      <c r="G963">
        <f>VLOOKUP(D963,'[1]202512 BE lapse'!$C:$D,2,0)</f>
        <v>4.6833422391928756E-3</v>
      </c>
      <c r="H963">
        <f>VLOOKUP($B963,'[1]202512 RFR'!$A:$B,2,0)</f>
        <v>1.2E-2</v>
      </c>
      <c r="I963">
        <f t="shared" si="162"/>
        <v>0.86509964775418879</v>
      </c>
      <c r="J963">
        <f t="shared" si="163"/>
        <v>3.9305319766342489E-4</v>
      </c>
      <c r="K963">
        <f t="shared" si="164"/>
        <v>0</v>
      </c>
      <c r="L963">
        <f t="shared" si="156"/>
        <v>0.33356459828653073</v>
      </c>
      <c r="M963">
        <f>IF(AND(MOD(C963,12)=1,D963&lt;='[1]Product parameters'!$C$2),I962*[1]model_point!$G$2,0)</f>
        <v>0</v>
      </c>
      <c r="N963">
        <f t="shared" si="157"/>
        <v>0</v>
      </c>
      <c r="O963">
        <f>[2]results_sample_product_cf!G962</f>
        <v>0</v>
      </c>
      <c r="P963">
        <f>[2]results_sample_product_cf!H962</f>
        <v>0</v>
      </c>
      <c r="Q963">
        <f t="shared" si="158"/>
        <v>0</v>
      </c>
      <c r="R963">
        <f t="shared" ref="R963:R1026" si="165">ROUND(N963-P963,6)</f>
        <v>0</v>
      </c>
    </row>
    <row r="964" spans="1:18" x14ac:dyDescent="0.3">
      <c r="A964">
        <f t="shared" si="159"/>
        <v>961</v>
      </c>
      <c r="B964">
        <f t="shared" si="160"/>
        <v>81</v>
      </c>
      <c r="C964">
        <f t="shared" si="161"/>
        <v>966</v>
      </c>
      <c r="D964">
        <f t="shared" ref="D964:D1027" si="166">TRUNC((C964-1)/12,0)+1</f>
        <v>81</v>
      </c>
      <c r="E964">
        <f>[1]model_point!$C$2+D964-1</f>
        <v>85</v>
      </c>
      <c r="F964">
        <f>VLOOKUP(E964,'[1]202512 BE mortality'!$A:$C,3,0)</f>
        <v>5.4360656704300616E-3</v>
      </c>
      <c r="G964">
        <f>VLOOKUP(D964,'[1]202512 BE lapse'!$C:$D,2,0)</f>
        <v>4.6833422391928756E-3</v>
      </c>
      <c r="H964">
        <f>VLOOKUP($B964,'[1]202512 RFR'!$A:$B,2,0)</f>
        <v>1.2E-2</v>
      </c>
      <c r="I964">
        <f t="shared" si="162"/>
        <v>0.86470677305695176</v>
      </c>
      <c r="J964">
        <f t="shared" si="163"/>
        <v>3.9287469723699316E-4</v>
      </c>
      <c r="K964">
        <f t="shared" si="164"/>
        <v>0</v>
      </c>
      <c r="L964">
        <f t="shared" ref="L964:L1027" si="167">L963/(1+H964)^(1/12)</f>
        <v>0.33323318395555901</v>
      </c>
      <c r="M964">
        <f>IF(AND(MOD(C964,12)=1,D964&lt;='[1]Product parameters'!$C$2),I963*[1]model_point!$G$2,0)</f>
        <v>0</v>
      </c>
      <c r="N964">
        <f t="shared" ref="N964:N1027" si="168">SUMPRODUCT(L964:L2163,M965:M2164)/L964</f>
        <v>0</v>
      </c>
      <c r="O964">
        <f>[2]results_sample_product_cf!G963</f>
        <v>0</v>
      </c>
      <c r="P964">
        <f>[2]results_sample_product_cf!H963</f>
        <v>0</v>
      </c>
      <c r="Q964">
        <f t="shared" ref="Q964:Q1027" si="169">ROUND(M964-O964,6)</f>
        <v>0</v>
      </c>
      <c r="R964">
        <f t="shared" si="165"/>
        <v>0</v>
      </c>
    </row>
    <row r="965" spans="1:18" x14ac:dyDescent="0.3">
      <c r="A965">
        <f t="shared" ref="A965:A1028" si="170">A964+1</f>
        <v>962</v>
      </c>
      <c r="B965">
        <f t="shared" ref="B965:B1028" si="171">INT((A965-1)/12)+1</f>
        <v>81</v>
      </c>
      <c r="C965">
        <f t="shared" ref="C965:C1028" si="172">C964+1</f>
        <v>967</v>
      </c>
      <c r="D965">
        <f t="shared" si="166"/>
        <v>81</v>
      </c>
      <c r="E965">
        <f>[1]model_point!$C$2+D965-1</f>
        <v>85</v>
      </c>
      <c r="F965">
        <f>VLOOKUP(E965,'[1]202512 BE mortality'!$A:$C,3,0)</f>
        <v>5.4360656704300616E-3</v>
      </c>
      <c r="G965">
        <f>VLOOKUP(D965,'[1]202512 BE lapse'!$C:$D,2,0)</f>
        <v>4.6833422391928756E-3</v>
      </c>
      <c r="H965">
        <f>VLOOKUP($B965,'[1]202512 RFR'!$A:$B,2,0)</f>
        <v>1.2E-2</v>
      </c>
      <c r="I965">
        <f t="shared" ref="I965:I1028" si="173">I964-J965-K965</f>
        <v>0.86431407677907734</v>
      </c>
      <c r="J965">
        <f t="shared" ref="J965:J1028" si="174">I964*(1-(1-F965)^(1/12))</f>
        <v>3.9269627787440322E-4</v>
      </c>
      <c r="K965">
        <f t="shared" ref="K965:K1028" si="175">(I964-J965)*IF(MOD(C965,12)=0,G965,0)</f>
        <v>0</v>
      </c>
      <c r="L965">
        <f t="shared" si="167"/>
        <v>0.33290209890251227</v>
      </c>
      <c r="M965">
        <f>IF(AND(MOD(C965,12)=1,D965&lt;='[1]Product parameters'!$C$2),I964*[1]model_point!$G$2,0)</f>
        <v>0</v>
      </c>
      <c r="N965">
        <f t="shared" si="168"/>
        <v>0</v>
      </c>
      <c r="O965">
        <f>[2]results_sample_product_cf!G964</f>
        <v>0</v>
      </c>
      <c r="P965">
        <f>[2]results_sample_product_cf!H964</f>
        <v>0</v>
      </c>
      <c r="Q965">
        <f t="shared" si="169"/>
        <v>0</v>
      </c>
      <c r="R965">
        <f t="shared" si="165"/>
        <v>0</v>
      </c>
    </row>
    <row r="966" spans="1:18" x14ac:dyDescent="0.3">
      <c r="A966">
        <f t="shared" si="170"/>
        <v>963</v>
      </c>
      <c r="B966">
        <f t="shared" si="171"/>
        <v>81</v>
      </c>
      <c r="C966">
        <f t="shared" si="172"/>
        <v>968</v>
      </c>
      <c r="D966">
        <f t="shared" si="166"/>
        <v>81</v>
      </c>
      <c r="E966">
        <f>[1]model_point!$C$2+D966-1</f>
        <v>85</v>
      </c>
      <c r="F966">
        <f>VLOOKUP(E966,'[1]202512 BE mortality'!$A:$C,3,0)</f>
        <v>5.4360656704300616E-3</v>
      </c>
      <c r="G966">
        <f>VLOOKUP(D966,'[1]202512 BE lapse'!$C:$D,2,0)</f>
        <v>4.6833422391928756E-3</v>
      </c>
      <c r="H966">
        <f>VLOOKUP($B966,'[1]202512 RFR'!$A:$B,2,0)</f>
        <v>1.2E-2</v>
      </c>
      <c r="I966">
        <f t="shared" si="173"/>
        <v>0.86392155883953847</v>
      </c>
      <c r="J966">
        <f t="shared" si="174"/>
        <v>3.9251793953884093E-4</v>
      </c>
      <c r="K966">
        <f t="shared" si="175"/>
        <v>0</v>
      </c>
      <c r="L966">
        <f t="shared" si="167"/>
        <v>0.33257134280023526</v>
      </c>
      <c r="M966">
        <f>IF(AND(MOD(C966,12)=1,D966&lt;='[1]Product parameters'!$C$2),I965*[1]model_point!$G$2,0)</f>
        <v>0</v>
      </c>
      <c r="N966">
        <f t="shared" si="168"/>
        <v>0</v>
      </c>
      <c r="O966">
        <f>[2]results_sample_product_cf!G965</f>
        <v>0</v>
      </c>
      <c r="P966">
        <f>[2]results_sample_product_cf!H965</f>
        <v>0</v>
      </c>
      <c r="Q966">
        <f t="shared" si="169"/>
        <v>0</v>
      </c>
      <c r="R966">
        <f t="shared" si="165"/>
        <v>0</v>
      </c>
    </row>
    <row r="967" spans="1:18" x14ac:dyDescent="0.3">
      <c r="A967">
        <f t="shared" si="170"/>
        <v>964</v>
      </c>
      <c r="B967">
        <f t="shared" si="171"/>
        <v>81</v>
      </c>
      <c r="C967">
        <f t="shared" si="172"/>
        <v>969</v>
      </c>
      <c r="D967">
        <f t="shared" si="166"/>
        <v>81</v>
      </c>
      <c r="E967">
        <f>[1]model_point!$C$2+D967-1</f>
        <v>85</v>
      </c>
      <c r="F967">
        <f>VLOOKUP(E967,'[1]202512 BE mortality'!$A:$C,3,0)</f>
        <v>5.4360656704300616E-3</v>
      </c>
      <c r="G967">
        <f>VLOOKUP(D967,'[1]202512 BE lapse'!$C:$D,2,0)</f>
        <v>4.6833422391928756E-3</v>
      </c>
      <c r="H967">
        <f>VLOOKUP($B967,'[1]202512 RFR'!$A:$B,2,0)</f>
        <v>1.2E-2</v>
      </c>
      <c r="I967">
        <f t="shared" si="173"/>
        <v>0.86352921915734493</v>
      </c>
      <c r="J967">
        <f t="shared" si="174"/>
        <v>3.9233968219350878E-4</v>
      </c>
      <c r="K967">
        <f t="shared" si="175"/>
        <v>0</v>
      </c>
      <c r="L967">
        <f t="shared" si="167"/>
        <v>0.3322409153218977</v>
      </c>
      <c r="M967">
        <f>IF(AND(MOD(C967,12)=1,D967&lt;='[1]Product parameters'!$C$2),I966*[1]model_point!$G$2,0)</f>
        <v>0</v>
      </c>
      <c r="N967">
        <f t="shared" si="168"/>
        <v>0</v>
      </c>
      <c r="O967">
        <f>[2]results_sample_product_cf!G966</f>
        <v>0</v>
      </c>
      <c r="P967">
        <f>[2]results_sample_product_cf!H966</f>
        <v>0</v>
      </c>
      <c r="Q967">
        <f t="shared" si="169"/>
        <v>0</v>
      </c>
      <c r="R967">
        <f t="shared" si="165"/>
        <v>0</v>
      </c>
    </row>
    <row r="968" spans="1:18" x14ac:dyDescent="0.3">
      <c r="A968">
        <f t="shared" si="170"/>
        <v>965</v>
      </c>
      <c r="B968">
        <f t="shared" si="171"/>
        <v>81</v>
      </c>
      <c r="C968">
        <f t="shared" si="172"/>
        <v>970</v>
      </c>
      <c r="D968">
        <f t="shared" si="166"/>
        <v>81</v>
      </c>
      <c r="E968">
        <f>[1]model_point!$C$2+D968-1</f>
        <v>85</v>
      </c>
      <c r="F968">
        <f>VLOOKUP(E968,'[1]202512 BE mortality'!$A:$C,3,0)</f>
        <v>5.4360656704300616E-3</v>
      </c>
      <c r="G968">
        <f>VLOOKUP(D968,'[1]202512 BE lapse'!$C:$D,2,0)</f>
        <v>4.6833422391928756E-3</v>
      </c>
      <c r="H968">
        <f>VLOOKUP($B968,'[1]202512 RFR'!$A:$B,2,0)</f>
        <v>1.2E-2</v>
      </c>
      <c r="I968">
        <f t="shared" si="173"/>
        <v>0.86313705765154325</v>
      </c>
      <c r="J968">
        <f t="shared" si="174"/>
        <v>3.9216150580162609E-4</v>
      </c>
      <c r="K968">
        <f t="shared" si="175"/>
        <v>0</v>
      </c>
      <c r="L968">
        <f t="shared" si="167"/>
        <v>0.33191081614099405</v>
      </c>
      <c r="M968">
        <f>IF(AND(MOD(C968,12)=1,D968&lt;='[1]Product parameters'!$C$2),I967*[1]model_point!$G$2,0)</f>
        <v>0</v>
      </c>
      <c r="N968">
        <f t="shared" si="168"/>
        <v>0</v>
      </c>
      <c r="O968">
        <f>[2]results_sample_product_cf!G967</f>
        <v>0</v>
      </c>
      <c r="P968">
        <f>[2]results_sample_product_cf!H967</f>
        <v>0</v>
      </c>
      <c r="Q968">
        <f t="shared" si="169"/>
        <v>0</v>
      </c>
      <c r="R968">
        <f t="shared" si="165"/>
        <v>0</v>
      </c>
    </row>
    <row r="969" spans="1:18" x14ac:dyDescent="0.3">
      <c r="A969">
        <f t="shared" si="170"/>
        <v>966</v>
      </c>
      <c r="B969">
        <f t="shared" si="171"/>
        <v>81</v>
      </c>
      <c r="C969">
        <f t="shared" si="172"/>
        <v>971</v>
      </c>
      <c r="D969">
        <f t="shared" si="166"/>
        <v>81</v>
      </c>
      <c r="E969">
        <f>[1]model_point!$C$2+D969-1</f>
        <v>85</v>
      </c>
      <c r="F969">
        <f>VLOOKUP(E969,'[1]202512 BE mortality'!$A:$C,3,0)</f>
        <v>5.4360656704300616E-3</v>
      </c>
      <c r="G969">
        <f>VLOOKUP(D969,'[1]202512 BE lapse'!$C:$D,2,0)</f>
        <v>4.6833422391928756E-3</v>
      </c>
      <c r="H969">
        <f>VLOOKUP($B969,'[1]202512 RFR'!$A:$B,2,0)</f>
        <v>1.2E-2</v>
      </c>
      <c r="I969">
        <f t="shared" si="173"/>
        <v>0.86274507424121682</v>
      </c>
      <c r="J969">
        <f t="shared" si="174"/>
        <v>3.9198341032642875E-4</v>
      </c>
      <c r="K969">
        <f t="shared" si="175"/>
        <v>0</v>
      </c>
      <c r="L969">
        <f t="shared" si="167"/>
        <v>0.33158104493134322</v>
      </c>
      <c r="M969">
        <f>IF(AND(MOD(C969,12)=1,D969&lt;='[1]Product parameters'!$C$2),I968*[1]model_point!$G$2,0)</f>
        <v>0</v>
      </c>
      <c r="N969">
        <f t="shared" si="168"/>
        <v>0</v>
      </c>
      <c r="O969">
        <f>[2]results_sample_product_cf!G968</f>
        <v>0</v>
      </c>
      <c r="P969">
        <f>[2]results_sample_product_cf!H968</f>
        <v>0</v>
      </c>
      <c r="Q969">
        <f t="shared" si="169"/>
        <v>0</v>
      </c>
      <c r="R969">
        <f t="shared" si="165"/>
        <v>0</v>
      </c>
    </row>
    <row r="970" spans="1:18" x14ac:dyDescent="0.3">
      <c r="A970">
        <f t="shared" si="170"/>
        <v>967</v>
      </c>
      <c r="B970">
        <f t="shared" si="171"/>
        <v>81</v>
      </c>
      <c r="C970">
        <f t="shared" si="172"/>
        <v>972</v>
      </c>
      <c r="D970">
        <f t="shared" si="166"/>
        <v>81</v>
      </c>
      <c r="E970">
        <f>[1]model_point!$C$2+D970-1</f>
        <v>85</v>
      </c>
      <c r="F970">
        <f>VLOOKUP(E970,'[1]202512 BE mortality'!$A:$C,3,0)</f>
        <v>5.4360656704300616E-3</v>
      </c>
      <c r="G970">
        <f>VLOOKUP(D970,'[1]202512 BE lapse'!$C:$D,2,0)</f>
        <v>4.6833422391928756E-3</v>
      </c>
      <c r="H970">
        <f>VLOOKUP($B970,'[1]202512 RFR'!$A:$B,2,0)</f>
        <v>1.2E-2</v>
      </c>
      <c r="I970">
        <f t="shared" si="173"/>
        <v>0.8583145733563956</v>
      </c>
      <c r="J970">
        <f t="shared" si="174"/>
        <v>3.9180539573116947E-4</v>
      </c>
      <c r="K970">
        <f t="shared" si="175"/>
        <v>4.0386954890901132E-3</v>
      </c>
      <c r="L970">
        <f t="shared" si="167"/>
        <v>0.33125160136708814</v>
      </c>
      <c r="M970">
        <f>IF(AND(MOD(C970,12)=1,D970&lt;='[1]Product parameters'!$C$2),I969*[1]model_point!$G$2,0)</f>
        <v>0</v>
      </c>
      <c r="N970">
        <f t="shared" si="168"/>
        <v>0</v>
      </c>
      <c r="O970">
        <f>[2]results_sample_product_cf!G969</f>
        <v>0</v>
      </c>
      <c r="P970">
        <f>[2]results_sample_product_cf!H969</f>
        <v>0</v>
      </c>
      <c r="Q970">
        <f t="shared" si="169"/>
        <v>0</v>
      </c>
      <c r="R970">
        <f t="shared" si="165"/>
        <v>0</v>
      </c>
    </row>
    <row r="971" spans="1:18" x14ac:dyDescent="0.3">
      <c r="A971">
        <f t="shared" si="170"/>
        <v>968</v>
      </c>
      <c r="B971">
        <f t="shared" si="171"/>
        <v>81</v>
      </c>
      <c r="C971">
        <f t="shared" si="172"/>
        <v>973</v>
      </c>
      <c r="D971">
        <f t="shared" si="166"/>
        <v>82</v>
      </c>
      <c r="E971">
        <f>[1]model_point!$C$2+D971-1</f>
        <v>86</v>
      </c>
      <c r="F971">
        <f>VLOOKUP(E971,'[1]202512 BE mortality'!$A:$C,3,0)</f>
        <v>1.4952405743506869E-4</v>
      </c>
      <c r="G971">
        <f>VLOOKUP(D971,'[1]202512 BE lapse'!$C:$D,2,0)</f>
        <v>1.363619470845061E-3</v>
      </c>
      <c r="H971">
        <f>VLOOKUP($B971,'[1]202512 RFR'!$A:$B,2,0)</f>
        <v>1.2E-2</v>
      </c>
      <c r="I971">
        <f t="shared" si="173"/>
        <v>0.85830387773358796</v>
      </c>
      <c r="J971">
        <f t="shared" si="174"/>
        <v>1.0695622807666947E-5</v>
      </c>
      <c r="K971">
        <f t="shared" si="175"/>
        <v>0</v>
      </c>
      <c r="L971">
        <f t="shared" si="167"/>
        <v>0.33092248512269556</v>
      </c>
      <c r="M971">
        <f>IF(AND(MOD(C971,12)=1,D971&lt;='[1]Product parameters'!$C$2),I970*[1]model_point!$G$2,0)</f>
        <v>0</v>
      </c>
      <c r="N971">
        <f t="shared" si="168"/>
        <v>0</v>
      </c>
      <c r="O971">
        <f>[2]results_sample_product_cf!G970</f>
        <v>0</v>
      </c>
      <c r="P971">
        <f>[2]results_sample_product_cf!H970</f>
        <v>0</v>
      </c>
      <c r="Q971">
        <f t="shared" si="169"/>
        <v>0</v>
      </c>
      <c r="R971">
        <f t="shared" si="165"/>
        <v>0</v>
      </c>
    </row>
    <row r="972" spans="1:18" x14ac:dyDescent="0.3">
      <c r="A972">
        <f t="shared" si="170"/>
        <v>969</v>
      </c>
      <c r="B972">
        <f t="shared" si="171"/>
        <v>81</v>
      </c>
      <c r="C972">
        <f t="shared" si="172"/>
        <v>974</v>
      </c>
      <c r="D972">
        <f t="shared" si="166"/>
        <v>82</v>
      </c>
      <c r="E972">
        <f>[1]model_point!$C$2+D972-1</f>
        <v>86</v>
      </c>
      <c r="F972">
        <f>VLOOKUP(E972,'[1]202512 BE mortality'!$A:$C,3,0)</f>
        <v>1.4952405743506869E-4</v>
      </c>
      <c r="G972">
        <f>VLOOKUP(D972,'[1]202512 BE lapse'!$C:$D,2,0)</f>
        <v>1.363619470845061E-3</v>
      </c>
      <c r="H972">
        <f>VLOOKUP($B972,'[1]202512 RFR'!$A:$B,2,0)</f>
        <v>1.2E-2</v>
      </c>
      <c r="I972">
        <f t="shared" si="173"/>
        <v>0.85829318224406048</v>
      </c>
      <c r="J972">
        <f t="shared" si="174"/>
        <v>1.0695489527456177E-5</v>
      </c>
      <c r="K972">
        <f t="shared" si="175"/>
        <v>0</v>
      </c>
      <c r="L972">
        <f t="shared" si="167"/>
        <v>0.33059369587295562</v>
      </c>
      <c r="M972">
        <f>IF(AND(MOD(C972,12)=1,D972&lt;='[1]Product parameters'!$C$2),I971*[1]model_point!$G$2,0)</f>
        <v>0</v>
      </c>
      <c r="N972">
        <f t="shared" si="168"/>
        <v>0</v>
      </c>
      <c r="O972">
        <f>[2]results_sample_product_cf!G971</f>
        <v>0</v>
      </c>
      <c r="P972">
        <f>[2]results_sample_product_cf!H971</f>
        <v>0</v>
      </c>
      <c r="Q972">
        <f t="shared" si="169"/>
        <v>0</v>
      </c>
      <c r="R972">
        <f t="shared" si="165"/>
        <v>0</v>
      </c>
    </row>
    <row r="973" spans="1:18" x14ac:dyDescent="0.3">
      <c r="A973">
        <f t="shared" si="170"/>
        <v>970</v>
      </c>
      <c r="B973">
        <f t="shared" si="171"/>
        <v>81</v>
      </c>
      <c r="C973">
        <f t="shared" si="172"/>
        <v>975</v>
      </c>
      <c r="D973">
        <f t="shared" si="166"/>
        <v>82</v>
      </c>
      <c r="E973">
        <f>[1]model_point!$C$2+D973-1</f>
        <v>86</v>
      </c>
      <c r="F973">
        <f>VLOOKUP(E973,'[1]202512 BE mortality'!$A:$C,3,0)</f>
        <v>1.4952405743506869E-4</v>
      </c>
      <c r="G973">
        <f>VLOOKUP(D973,'[1]202512 BE lapse'!$C:$D,2,0)</f>
        <v>1.363619470845061E-3</v>
      </c>
      <c r="H973">
        <f>VLOOKUP($B973,'[1]202512 RFR'!$A:$B,2,0)</f>
        <v>1.2E-2</v>
      </c>
      <c r="I973">
        <f t="shared" si="173"/>
        <v>0.85828248688781161</v>
      </c>
      <c r="J973">
        <f t="shared" si="174"/>
        <v>1.0695356248906238E-5</v>
      </c>
      <c r="K973">
        <f t="shared" si="175"/>
        <v>0</v>
      </c>
      <c r="L973">
        <f t="shared" si="167"/>
        <v>0.33026523329298157</v>
      </c>
      <c r="M973">
        <f>IF(AND(MOD(C973,12)=1,D973&lt;='[1]Product parameters'!$C$2),I972*[1]model_point!$G$2,0)</f>
        <v>0</v>
      </c>
      <c r="N973">
        <f t="shared" si="168"/>
        <v>0</v>
      </c>
      <c r="O973">
        <f>[2]results_sample_product_cf!G972</f>
        <v>0</v>
      </c>
      <c r="P973">
        <f>[2]results_sample_product_cf!H972</f>
        <v>0</v>
      </c>
      <c r="Q973">
        <f t="shared" si="169"/>
        <v>0</v>
      </c>
      <c r="R973">
        <f t="shared" si="165"/>
        <v>0</v>
      </c>
    </row>
    <row r="974" spans="1:18" x14ac:dyDescent="0.3">
      <c r="A974">
        <f t="shared" si="170"/>
        <v>971</v>
      </c>
      <c r="B974">
        <f t="shared" si="171"/>
        <v>81</v>
      </c>
      <c r="C974">
        <f t="shared" si="172"/>
        <v>976</v>
      </c>
      <c r="D974">
        <f t="shared" si="166"/>
        <v>82</v>
      </c>
      <c r="E974">
        <f>[1]model_point!$C$2+D974-1</f>
        <v>86</v>
      </c>
      <c r="F974">
        <f>VLOOKUP(E974,'[1]202512 BE mortality'!$A:$C,3,0)</f>
        <v>1.4952405743506869E-4</v>
      </c>
      <c r="G974">
        <f>VLOOKUP(D974,'[1]202512 BE lapse'!$C:$D,2,0)</f>
        <v>1.363619470845061E-3</v>
      </c>
      <c r="H974">
        <f>VLOOKUP($B974,'[1]202512 RFR'!$A:$B,2,0)</f>
        <v>1.2E-2</v>
      </c>
      <c r="I974">
        <f t="shared" si="173"/>
        <v>0.85827179166483958</v>
      </c>
      <c r="J974">
        <f t="shared" si="174"/>
        <v>1.0695222972017108E-5</v>
      </c>
      <c r="K974">
        <f t="shared" si="175"/>
        <v>0</v>
      </c>
      <c r="L974">
        <f t="shared" si="167"/>
        <v>0.32993709705820951</v>
      </c>
      <c r="M974">
        <f>IF(AND(MOD(C974,12)=1,D974&lt;='[1]Product parameters'!$C$2),I973*[1]model_point!$G$2,0)</f>
        <v>0</v>
      </c>
      <c r="N974">
        <f t="shared" si="168"/>
        <v>0</v>
      </c>
      <c r="O974">
        <f>[2]results_sample_product_cf!G973</f>
        <v>0</v>
      </c>
      <c r="P974">
        <f>[2]results_sample_product_cf!H973</f>
        <v>0</v>
      </c>
      <c r="Q974">
        <f t="shared" si="169"/>
        <v>0</v>
      </c>
      <c r="R974">
        <f t="shared" si="165"/>
        <v>0</v>
      </c>
    </row>
    <row r="975" spans="1:18" x14ac:dyDescent="0.3">
      <c r="A975">
        <f t="shared" si="170"/>
        <v>972</v>
      </c>
      <c r="B975">
        <f t="shared" si="171"/>
        <v>81</v>
      </c>
      <c r="C975">
        <f t="shared" si="172"/>
        <v>977</v>
      </c>
      <c r="D975">
        <f t="shared" si="166"/>
        <v>82</v>
      </c>
      <c r="E975">
        <f>[1]model_point!$C$2+D975-1</f>
        <v>86</v>
      </c>
      <c r="F975">
        <f>VLOOKUP(E975,'[1]202512 BE mortality'!$A:$C,3,0)</f>
        <v>1.4952405743506869E-4</v>
      </c>
      <c r="G975">
        <f>VLOOKUP(D975,'[1]202512 BE lapse'!$C:$D,2,0)</f>
        <v>1.363619470845061E-3</v>
      </c>
      <c r="H975">
        <f>VLOOKUP($B975,'[1]202512 RFR'!$A:$B,2,0)</f>
        <v>1.2E-2</v>
      </c>
      <c r="I975">
        <f t="shared" si="173"/>
        <v>0.85826109657514282</v>
      </c>
      <c r="J975">
        <f t="shared" si="174"/>
        <v>1.0695089696788767E-5</v>
      </c>
      <c r="K975">
        <f t="shared" si="175"/>
        <v>0</v>
      </c>
      <c r="L975">
        <f t="shared" si="167"/>
        <v>0.32960928684439789</v>
      </c>
      <c r="M975">
        <f>IF(AND(MOD(C975,12)=1,D975&lt;='[1]Product parameters'!$C$2),I974*[1]model_point!$G$2,0)</f>
        <v>0</v>
      </c>
      <c r="N975">
        <f t="shared" si="168"/>
        <v>0</v>
      </c>
      <c r="O975">
        <f>[2]results_sample_product_cf!G974</f>
        <v>0</v>
      </c>
      <c r="P975">
        <f>[2]results_sample_product_cf!H974</f>
        <v>0</v>
      </c>
      <c r="Q975">
        <f t="shared" si="169"/>
        <v>0</v>
      </c>
      <c r="R975">
        <f t="shared" si="165"/>
        <v>0</v>
      </c>
    </row>
    <row r="976" spans="1:18" x14ac:dyDescent="0.3">
      <c r="A976">
        <f t="shared" si="170"/>
        <v>973</v>
      </c>
      <c r="B976">
        <f t="shared" si="171"/>
        <v>82</v>
      </c>
      <c r="C976">
        <f t="shared" si="172"/>
        <v>978</v>
      </c>
      <c r="D976">
        <f t="shared" si="166"/>
        <v>82</v>
      </c>
      <c r="E976">
        <f>[1]model_point!$C$2+D976-1</f>
        <v>86</v>
      </c>
      <c r="F976">
        <f>VLOOKUP(E976,'[1]202512 BE mortality'!$A:$C,3,0)</f>
        <v>1.4952405743506869E-4</v>
      </c>
      <c r="G976">
        <f>VLOOKUP(D976,'[1]202512 BE lapse'!$C:$D,2,0)</f>
        <v>1.363619470845061E-3</v>
      </c>
      <c r="H976">
        <f>VLOOKUP($B976,'[1]202512 RFR'!$A:$B,2,0)</f>
        <v>1.2E-2</v>
      </c>
      <c r="I976">
        <f t="shared" si="173"/>
        <v>0.85825040161871957</v>
      </c>
      <c r="J976">
        <f t="shared" si="174"/>
        <v>1.0694956423221194E-5</v>
      </c>
      <c r="K976">
        <f t="shared" si="175"/>
        <v>0</v>
      </c>
      <c r="L976">
        <f t="shared" si="167"/>
        <v>0.32928180232762744</v>
      </c>
      <c r="M976">
        <f>IF(AND(MOD(C976,12)=1,D976&lt;='[1]Product parameters'!$C$2),I975*[1]model_point!$G$2,0)</f>
        <v>0</v>
      </c>
      <c r="N976">
        <f t="shared" si="168"/>
        <v>0</v>
      </c>
      <c r="O976">
        <f>[2]results_sample_product_cf!G975</f>
        <v>0</v>
      </c>
      <c r="P976">
        <f>[2]results_sample_product_cf!H975</f>
        <v>0</v>
      </c>
      <c r="Q976">
        <f t="shared" si="169"/>
        <v>0</v>
      </c>
      <c r="R976">
        <f t="shared" si="165"/>
        <v>0</v>
      </c>
    </row>
    <row r="977" spans="1:18" x14ac:dyDescent="0.3">
      <c r="A977">
        <f t="shared" si="170"/>
        <v>974</v>
      </c>
      <c r="B977">
        <f t="shared" si="171"/>
        <v>82</v>
      </c>
      <c r="C977">
        <f t="shared" si="172"/>
        <v>979</v>
      </c>
      <c r="D977">
        <f t="shared" si="166"/>
        <v>82</v>
      </c>
      <c r="E977">
        <f>[1]model_point!$C$2+D977-1</f>
        <v>86</v>
      </c>
      <c r="F977">
        <f>VLOOKUP(E977,'[1]202512 BE mortality'!$A:$C,3,0)</f>
        <v>1.4952405743506869E-4</v>
      </c>
      <c r="G977">
        <f>VLOOKUP(D977,'[1]202512 BE lapse'!$C:$D,2,0)</f>
        <v>1.363619470845061E-3</v>
      </c>
      <c r="H977">
        <f>VLOOKUP($B977,'[1]202512 RFR'!$A:$B,2,0)</f>
        <v>1.2E-2</v>
      </c>
      <c r="I977">
        <f t="shared" si="173"/>
        <v>0.85823970679556827</v>
      </c>
      <c r="J977">
        <f t="shared" si="174"/>
        <v>1.0694823151314368E-5</v>
      </c>
      <c r="K977">
        <f t="shared" si="175"/>
        <v>0</v>
      </c>
      <c r="L977">
        <f t="shared" si="167"/>
        <v>0.32895464318430062</v>
      </c>
      <c r="M977">
        <f>IF(AND(MOD(C977,12)=1,D977&lt;='[1]Product parameters'!$C$2),I976*[1]model_point!$G$2,0)</f>
        <v>0</v>
      </c>
      <c r="N977">
        <f t="shared" si="168"/>
        <v>0</v>
      </c>
      <c r="O977">
        <f>[2]results_sample_product_cf!G976</f>
        <v>0</v>
      </c>
      <c r="P977">
        <f>[2]results_sample_product_cf!H976</f>
        <v>0</v>
      </c>
      <c r="Q977">
        <f t="shared" si="169"/>
        <v>0</v>
      </c>
      <c r="R977">
        <f t="shared" si="165"/>
        <v>0</v>
      </c>
    </row>
    <row r="978" spans="1:18" x14ac:dyDescent="0.3">
      <c r="A978">
        <f t="shared" si="170"/>
        <v>975</v>
      </c>
      <c r="B978">
        <f t="shared" si="171"/>
        <v>82</v>
      </c>
      <c r="C978">
        <f t="shared" si="172"/>
        <v>980</v>
      </c>
      <c r="D978">
        <f t="shared" si="166"/>
        <v>82</v>
      </c>
      <c r="E978">
        <f>[1]model_point!$C$2+D978-1</f>
        <v>86</v>
      </c>
      <c r="F978">
        <f>VLOOKUP(E978,'[1]202512 BE mortality'!$A:$C,3,0)</f>
        <v>1.4952405743506869E-4</v>
      </c>
      <c r="G978">
        <f>VLOOKUP(D978,'[1]202512 BE lapse'!$C:$D,2,0)</f>
        <v>1.363619470845061E-3</v>
      </c>
      <c r="H978">
        <f>VLOOKUP($B978,'[1]202512 RFR'!$A:$B,2,0)</f>
        <v>1.2E-2</v>
      </c>
      <c r="I978">
        <f t="shared" si="173"/>
        <v>0.85822901210568725</v>
      </c>
      <c r="J978">
        <f t="shared" si="174"/>
        <v>1.069468988106827E-5</v>
      </c>
      <c r="K978">
        <f t="shared" si="175"/>
        <v>0</v>
      </c>
      <c r="L978">
        <f t="shared" si="167"/>
        <v>0.32862780909114153</v>
      </c>
      <c r="M978">
        <f>IF(AND(MOD(C978,12)=1,D978&lt;='[1]Product parameters'!$C$2),I977*[1]model_point!$G$2,0)</f>
        <v>0</v>
      </c>
      <c r="N978">
        <f t="shared" si="168"/>
        <v>0</v>
      </c>
      <c r="O978">
        <f>[2]results_sample_product_cf!G977</f>
        <v>0</v>
      </c>
      <c r="P978">
        <f>[2]results_sample_product_cf!H977</f>
        <v>0</v>
      </c>
      <c r="Q978">
        <f t="shared" si="169"/>
        <v>0</v>
      </c>
      <c r="R978">
        <f t="shared" si="165"/>
        <v>0</v>
      </c>
    </row>
    <row r="979" spans="1:18" x14ac:dyDescent="0.3">
      <c r="A979">
        <f t="shared" si="170"/>
        <v>976</v>
      </c>
      <c r="B979">
        <f t="shared" si="171"/>
        <v>82</v>
      </c>
      <c r="C979">
        <f t="shared" si="172"/>
        <v>981</v>
      </c>
      <c r="D979">
        <f t="shared" si="166"/>
        <v>82</v>
      </c>
      <c r="E979">
        <f>[1]model_point!$C$2+D979-1</f>
        <v>86</v>
      </c>
      <c r="F979">
        <f>VLOOKUP(E979,'[1]202512 BE mortality'!$A:$C,3,0)</f>
        <v>1.4952405743506869E-4</v>
      </c>
      <c r="G979">
        <f>VLOOKUP(D979,'[1]202512 BE lapse'!$C:$D,2,0)</f>
        <v>1.363619470845061E-3</v>
      </c>
      <c r="H979">
        <f>VLOOKUP($B979,'[1]202512 RFR'!$A:$B,2,0)</f>
        <v>1.2E-2</v>
      </c>
      <c r="I979">
        <f t="shared" si="173"/>
        <v>0.85821831754907474</v>
      </c>
      <c r="J979">
        <f t="shared" si="174"/>
        <v>1.0694556612482879E-5</v>
      </c>
      <c r="K979">
        <f t="shared" si="175"/>
        <v>0</v>
      </c>
      <c r="L979">
        <f t="shared" si="167"/>
        <v>0.32830129972519534</v>
      </c>
      <c r="M979">
        <f>IF(AND(MOD(C979,12)=1,D979&lt;='[1]Product parameters'!$C$2),I978*[1]model_point!$G$2,0)</f>
        <v>0</v>
      </c>
      <c r="N979">
        <f t="shared" si="168"/>
        <v>0</v>
      </c>
      <c r="O979">
        <f>[2]results_sample_product_cf!G978</f>
        <v>0</v>
      </c>
      <c r="P979">
        <f>[2]results_sample_product_cf!H978</f>
        <v>0</v>
      </c>
      <c r="Q979">
        <f t="shared" si="169"/>
        <v>0</v>
      </c>
      <c r="R979">
        <f t="shared" si="165"/>
        <v>0</v>
      </c>
    </row>
    <row r="980" spans="1:18" x14ac:dyDescent="0.3">
      <c r="A980">
        <f t="shared" si="170"/>
        <v>977</v>
      </c>
      <c r="B980">
        <f t="shared" si="171"/>
        <v>82</v>
      </c>
      <c r="C980">
        <f t="shared" si="172"/>
        <v>982</v>
      </c>
      <c r="D980">
        <f t="shared" si="166"/>
        <v>82</v>
      </c>
      <c r="E980">
        <f>[1]model_point!$C$2+D980-1</f>
        <v>86</v>
      </c>
      <c r="F980">
        <f>VLOOKUP(E980,'[1]202512 BE mortality'!$A:$C,3,0)</f>
        <v>1.4952405743506869E-4</v>
      </c>
      <c r="G980">
        <f>VLOOKUP(D980,'[1]202512 BE lapse'!$C:$D,2,0)</f>
        <v>1.363619470845061E-3</v>
      </c>
      <c r="H980">
        <f>VLOOKUP($B980,'[1]202512 RFR'!$A:$B,2,0)</f>
        <v>1.2E-2</v>
      </c>
      <c r="I980">
        <f t="shared" si="173"/>
        <v>0.85820762312572918</v>
      </c>
      <c r="J980">
        <f t="shared" si="174"/>
        <v>1.0694423345558172E-5</v>
      </c>
      <c r="K980">
        <f t="shared" si="175"/>
        <v>0</v>
      </c>
      <c r="L980">
        <f t="shared" si="167"/>
        <v>0.32797511476382812</v>
      </c>
      <c r="M980">
        <f>IF(AND(MOD(C980,12)=1,D980&lt;='[1]Product parameters'!$C$2),I979*[1]model_point!$G$2,0)</f>
        <v>0</v>
      </c>
      <c r="N980">
        <f t="shared" si="168"/>
        <v>0</v>
      </c>
      <c r="O980">
        <f>[2]results_sample_product_cf!G979</f>
        <v>0</v>
      </c>
      <c r="P980">
        <f>[2]results_sample_product_cf!H979</f>
        <v>0</v>
      </c>
      <c r="Q980">
        <f t="shared" si="169"/>
        <v>0</v>
      </c>
      <c r="R980">
        <f t="shared" si="165"/>
        <v>0</v>
      </c>
    </row>
    <row r="981" spans="1:18" x14ac:dyDescent="0.3">
      <c r="A981">
        <f t="shared" si="170"/>
        <v>978</v>
      </c>
      <c r="B981">
        <f t="shared" si="171"/>
        <v>82</v>
      </c>
      <c r="C981">
        <f t="shared" si="172"/>
        <v>983</v>
      </c>
      <c r="D981">
        <f t="shared" si="166"/>
        <v>82</v>
      </c>
      <c r="E981">
        <f>[1]model_point!$C$2+D981-1</f>
        <v>86</v>
      </c>
      <c r="F981">
        <f>VLOOKUP(E981,'[1]202512 BE mortality'!$A:$C,3,0)</f>
        <v>1.4952405743506869E-4</v>
      </c>
      <c r="G981">
        <f>VLOOKUP(D981,'[1]202512 BE lapse'!$C:$D,2,0)</f>
        <v>1.363619470845061E-3</v>
      </c>
      <c r="H981">
        <f>VLOOKUP($B981,'[1]202512 RFR'!$A:$B,2,0)</f>
        <v>1.2E-2</v>
      </c>
      <c r="I981">
        <f t="shared" si="173"/>
        <v>0.85819692883564891</v>
      </c>
      <c r="J981">
        <f t="shared" si="174"/>
        <v>1.0694290080294129E-5</v>
      </c>
      <c r="K981">
        <f t="shared" si="175"/>
        <v>0</v>
      </c>
      <c r="L981">
        <f t="shared" si="167"/>
        <v>0.32764925388472654</v>
      </c>
      <c r="M981">
        <f>IF(AND(MOD(C981,12)=1,D981&lt;='[1]Product parameters'!$C$2),I980*[1]model_point!$G$2,0)</f>
        <v>0</v>
      </c>
      <c r="N981">
        <f t="shared" si="168"/>
        <v>0</v>
      </c>
      <c r="O981">
        <f>[2]results_sample_product_cf!G980</f>
        <v>0</v>
      </c>
      <c r="P981">
        <f>[2]results_sample_product_cf!H980</f>
        <v>0</v>
      </c>
      <c r="Q981">
        <f t="shared" si="169"/>
        <v>0</v>
      </c>
      <c r="R981">
        <f t="shared" si="165"/>
        <v>0</v>
      </c>
    </row>
    <row r="982" spans="1:18" x14ac:dyDescent="0.3">
      <c r="A982">
        <f t="shared" si="170"/>
        <v>979</v>
      </c>
      <c r="B982">
        <f t="shared" si="171"/>
        <v>82</v>
      </c>
      <c r="C982">
        <f t="shared" si="172"/>
        <v>984</v>
      </c>
      <c r="D982">
        <f t="shared" si="166"/>
        <v>82</v>
      </c>
      <c r="E982">
        <f>[1]model_point!$C$2+D982-1</f>
        <v>86</v>
      </c>
      <c r="F982">
        <f>VLOOKUP(E982,'[1]202512 BE mortality'!$A:$C,3,0)</f>
        <v>1.4952405743506869E-4</v>
      </c>
      <c r="G982">
        <f>VLOOKUP(D982,'[1]202512 BE lapse'!$C:$D,2,0)</f>
        <v>1.363619470845061E-3</v>
      </c>
      <c r="H982">
        <f>VLOOKUP($B982,'[1]202512 RFR'!$A:$B,2,0)</f>
        <v>1.2E-2</v>
      </c>
      <c r="I982">
        <f t="shared" si="173"/>
        <v>0.85701599521961302</v>
      </c>
      <c r="J982">
        <f t="shared" si="174"/>
        <v>1.0694156816690731E-5</v>
      </c>
      <c r="K982">
        <f t="shared" si="175"/>
        <v>1.1702394592192646E-3</v>
      </c>
      <c r="L982">
        <f t="shared" si="167"/>
        <v>0.32732371676589744</v>
      </c>
      <c r="M982">
        <f>IF(AND(MOD(C982,12)=1,D982&lt;='[1]Product parameters'!$C$2),I981*[1]model_point!$G$2,0)</f>
        <v>0</v>
      </c>
      <c r="N982">
        <f t="shared" si="168"/>
        <v>0</v>
      </c>
      <c r="O982">
        <f>[2]results_sample_product_cf!G981</f>
        <v>0</v>
      </c>
      <c r="P982">
        <f>[2]results_sample_product_cf!H981</f>
        <v>0</v>
      </c>
      <c r="Q982">
        <f t="shared" si="169"/>
        <v>0</v>
      </c>
      <c r="R982">
        <f t="shared" si="165"/>
        <v>0</v>
      </c>
    </row>
    <row r="983" spans="1:18" x14ac:dyDescent="0.3">
      <c r="A983">
        <f t="shared" si="170"/>
        <v>980</v>
      </c>
      <c r="B983">
        <f t="shared" si="171"/>
        <v>82</v>
      </c>
      <c r="C983">
        <f t="shared" si="172"/>
        <v>985</v>
      </c>
      <c r="D983">
        <f t="shared" si="166"/>
        <v>83</v>
      </c>
      <c r="E983">
        <f>[1]model_point!$C$2+D983-1</f>
        <v>87</v>
      </c>
      <c r="F983">
        <f>VLOOKUP(E983,'[1]202512 BE mortality'!$A:$C,3,0)</f>
        <v>8.3847028895424405E-3</v>
      </c>
      <c r="G983">
        <f>VLOOKUP(D983,'[1]202512 BE lapse'!$C:$D,2,0)</f>
        <v>8.6390231820658511E-3</v>
      </c>
      <c r="H983">
        <f>VLOOKUP($B983,'[1]202512 RFR'!$A:$B,2,0)</f>
        <v>1.2E-2</v>
      </c>
      <c r="I983">
        <f t="shared" si="173"/>
        <v>0.85641486285494883</v>
      </c>
      <c r="J983">
        <f t="shared" si="174"/>
        <v>6.0113236466420366E-4</v>
      </c>
      <c r="K983">
        <f t="shared" si="175"/>
        <v>0</v>
      </c>
      <c r="L983">
        <f t="shared" si="167"/>
        <v>0.32699850308566764</v>
      </c>
      <c r="M983">
        <f>IF(AND(MOD(C983,12)=1,D983&lt;='[1]Product parameters'!$C$2),I982*[1]model_point!$G$2,0)</f>
        <v>0</v>
      </c>
      <c r="N983">
        <f t="shared" si="168"/>
        <v>0</v>
      </c>
      <c r="O983">
        <f>[2]results_sample_product_cf!G982</f>
        <v>0</v>
      </c>
      <c r="P983">
        <f>[2]results_sample_product_cf!H982</f>
        <v>0</v>
      </c>
      <c r="Q983">
        <f t="shared" si="169"/>
        <v>0</v>
      </c>
      <c r="R983">
        <f t="shared" si="165"/>
        <v>0</v>
      </c>
    </row>
    <row r="984" spans="1:18" x14ac:dyDescent="0.3">
      <c r="A984">
        <f t="shared" si="170"/>
        <v>981</v>
      </c>
      <c r="B984">
        <f t="shared" si="171"/>
        <v>82</v>
      </c>
      <c r="C984">
        <f t="shared" si="172"/>
        <v>986</v>
      </c>
      <c r="D984">
        <f t="shared" si="166"/>
        <v>83</v>
      </c>
      <c r="E984">
        <f>[1]model_point!$C$2+D984-1</f>
        <v>87</v>
      </c>
      <c r="F984">
        <f>VLOOKUP(E984,'[1]202512 BE mortality'!$A:$C,3,0)</f>
        <v>8.3847028895424405E-3</v>
      </c>
      <c r="G984">
        <f>VLOOKUP(D984,'[1]202512 BE lapse'!$C:$D,2,0)</f>
        <v>8.6390231820658511E-3</v>
      </c>
      <c r="H984">
        <f>VLOOKUP($B984,'[1]202512 RFR'!$A:$B,2,0)</f>
        <v>1.2E-2</v>
      </c>
      <c r="I984">
        <f t="shared" si="173"/>
        <v>0.85581415213949752</v>
      </c>
      <c r="J984">
        <f t="shared" si="174"/>
        <v>6.0071071545128075E-4</v>
      </c>
      <c r="K984">
        <f t="shared" si="175"/>
        <v>0</v>
      </c>
      <c r="L984">
        <f t="shared" si="167"/>
        <v>0.32667361252268351</v>
      </c>
      <c r="M984">
        <f>IF(AND(MOD(C984,12)=1,D984&lt;='[1]Product parameters'!$C$2),I983*[1]model_point!$G$2,0)</f>
        <v>0</v>
      </c>
      <c r="N984">
        <f t="shared" si="168"/>
        <v>0</v>
      </c>
      <c r="O984">
        <f>[2]results_sample_product_cf!G983</f>
        <v>0</v>
      </c>
      <c r="P984">
        <f>[2]results_sample_product_cf!H983</f>
        <v>0</v>
      </c>
      <c r="Q984">
        <f t="shared" si="169"/>
        <v>0</v>
      </c>
      <c r="R984">
        <f t="shared" si="165"/>
        <v>0</v>
      </c>
    </row>
    <row r="985" spans="1:18" x14ac:dyDescent="0.3">
      <c r="A985">
        <f t="shared" si="170"/>
        <v>982</v>
      </c>
      <c r="B985">
        <f t="shared" si="171"/>
        <v>82</v>
      </c>
      <c r="C985">
        <f t="shared" si="172"/>
        <v>987</v>
      </c>
      <c r="D985">
        <f t="shared" si="166"/>
        <v>83</v>
      </c>
      <c r="E985">
        <f>[1]model_point!$C$2+D985-1</f>
        <v>87</v>
      </c>
      <c r="F985">
        <f>VLOOKUP(E985,'[1]202512 BE mortality'!$A:$C,3,0)</f>
        <v>8.3847028895424405E-3</v>
      </c>
      <c r="G985">
        <f>VLOOKUP(D985,'[1]202512 BE lapse'!$C:$D,2,0)</f>
        <v>8.6390231820658511E-3</v>
      </c>
      <c r="H985">
        <f>VLOOKUP($B985,'[1]202512 RFR'!$A:$B,2,0)</f>
        <v>1.2E-2</v>
      </c>
      <c r="I985">
        <f t="shared" si="173"/>
        <v>0.85521386277750389</v>
      </c>
      <c r="J985">
        <f t="shared" si="174"/>
        <v>6.0028936199361764E-4</v>
      </c>
      <c r="K985">
        <f t="shared" si="175"/>
        <v>0</v>
      </c>
      <c r="L985">
        <f t="shared" si="167"/>
        <v>0.32634904475591076</v>
      </c>
      <c r="M985">
        <f>IF(AND(MOD(C985,12)=1,D985&lt;='[1]Product parameters'!$C$2),I984*[1]model_point!$G$2,0)</f>
        <v>0</v>
      </c>
      <c r="N985">
        <f t="shared" si="168"/>
        <v>0</v>
      </c>
      <c r="O985">
        <f>[2]results_sample_product_cf!G984</f>
        <v>0</v>
      </c>
      <c r="P985">
        <f>[2]results_sample_product_cf!H984</f>
        <v>0</v>
      </c>
      <c r="Q985">
        <f t="shared" si="169"/>
        <v>0</v>
      </c>
      <c r="R985">
        <f t="shared" si="165"/>
        <v>0</v>
      </c>
    </row>
    <row r="986" spans="1:18" x14ac:dyDescent="0.3">
      <c r="A986">
        <f t="shared" si="170"/>
        <v>983</v>
      </c>
      <c r="B986">
        <f t="shared" si="171"/>
        <v>82</v>
      </c>
      <c r="C986">
        <f t="shared" si="172"/>
        <v>988</v>
      </c>
      <c r="D986">
        <f t="shared" si="166"/>
        <v>83</v>
      </c>
      <c r="E986">
        <f>[1]model_point!$C$2+D986-1</f>
        <v>87</v>
      </c>
      <c r="F986">
        <f>VLOOKUP(E986,'[1]202512 BE mortality'!$A:$C,3,0)</f>
        <v>8.3847028895424405E-3</v>
      </c>
      <c r="G986">
        <f>VLOOKUP(D986,'[1]202512 BE lapse'!$C:$D,2,0)</f>
        <v>8.6390231820658511E-3</v>
      </c>
      <c r="H986">
        <f>VLOOKUP($B986,'[1]202512 RFR'!$A:$B,2,0)</f>
        <v>1.2E-2</v>
      </c>
      <c r="I986">
        <f t="shared" si="173"/>
        <v>0.85461399447342012</v>
      </c>
      <c r="J986">
        <f t="shared" si="174"/>
        <v>5.9986830408376428E-4</v>
      </c>
      <c r="K986">
        <f t="shared" si="175"/>
        <v>0</v>
      </c>
      <c r="L986">
        <f t="shared" si="167"/>
        <v>0.32602479946463397</v>
      </c>
      <c r="M986">
        <f>IF(AND(MOD(C986,12)=1,D986&lt;='[1]Product parameters'!$C$2),I985*[1]model_point!$G$2,0)</f>
        <v>0</v>
      </c>
      <c r="N986">
        <f t="shared" si="168"/>
        <v>0</v>
      </c>
      <c r="O986">
        <f>[2]results_sample_product_cf!G985</f>
        <v>0</v>
      </c>
      <c r="P986">
        <f>[2]results_sample_product_cf!H985</f>
        <v>0</v>
      </c>
      <c r="Q986">
        <f t="shared" si="169"/>
        <v>0</v>
      </c>
      <c r="R986">
        <f t="shared" si="165"/>
        <v>0</v>
      </c>
    </row>
    <row r="987" spans="1:18" x14ac:dyDescent="0.3">
      <c r="A987">
        <f t="shared" si="170"/>
        <v>984</v>
      </c>
      <c r="B987">
        <f t="shared" si="171"/>
        <v>82</v>
      </c>
      <c r="C987">
        <f t="shared" si="172"/>
        <v>989</v>
      </c>
      <c r="D987">
        <f t="shared" si="166"/>
        <v>83</v>
      </c>
      <c r="E987">
        <f>[1]model_point!$C$2+D987-1</f>
        <v>87</v>
      </c>
      <c r="F987">
        <f>VLOOKUP(E987,'[1]202512 BE mortality'!$A:$C,3,0)</f>
        <v>8.3847028895424405E-3</v>
      </c>
      <c r="G987">
        <f>VLOOKUP(D987,'[1]202512 BE lapse'!$C:$D,2,0)</f>
        <v>8.6390231820658511E-3</v>
      </c>
      <c r="H987">
        <f>VLOOKUP($B987,'[1]202512 RFR'!$A:$B,2,0)</f>
        <v>1.2E-2</v>
      </c>
      <c r="I987">
        <f t="shared" si="173"/>
        <v>0.8540145469319057</v>
      </c>
      <c r="J987">
        <f t="shared" si="174"/>
        <v>5.9944754151441623E-4</v>
      </c>
      <c r="K987">
        <f t="shared" si="175"/>
        <v>0</v>
      </c>
      <c r="L987">
        <f t="shared" si="167"/>
        <v>0.32570087632845651</v>
      </c>
      <c r="M987">
        <f>IF(AND(MOD(C987,12)=1,D987&lt;='[1]Product parameters'!$C$2),I986*[1]model_point!$G$2,0)</f>
        <v>0</v>
      </c>
      <c r="N987">
        <f t="shared" si="168"/>
        <v>0</v>
      </c>
      <c r="O987">
        <f>[2]results_sample_product_cf!G986</f>
        <v>0</v>
      </c>
      <c r="P987">
        <f>[2]results_sample_product_cf!H986</f>
        <v>0</v>
      </c>
      <c r="Q987">
        <f t="shared" si="169"/>
        <v>0</v>
      </c>
      <c r="R987">
        <f t="shared" si="165"/>
        <v>0</v>
      </c>
    </row>
    <row r="988" spans="1:18" x14ac:dyDescent="0.3">
      <c r="A988">
        <f t="shared" si="170"/>
        <v>985</v>
      </c>
      <c r="B988">
        <f t="shared" si="171"/>
        <v>83</v>
      </c>
      <c r="C988">
        <f t="shared" si="172"/>
        <v>990</v>
      </c>
      <c r="D988">
        <f t="shared" si="166"/>
        <v>83</v>
      </c>
      <c r="E988">
        <f>[1]model_point!$C$2+D988-1</f>
        <v>87</v>
      </c>
      <c r="F988">
        <f>VLOOKUP(E988,'[1]202512 BE mortality'!$A:$C,3,0)</f>
        <v>8.3847028895424405E-3</v>
      </c>
      <c r="G988">
        <f>VLOOKUP(D988,'[1]202512 BE lapse'!$C:$D,2,0)</f>
        <v>8.6390231820658511E-3</v>
      </c>
      <c r="H988">
        <f>VLOOKUP($B988,'[1]202512 RFR'!$A:$B,2,0)</f>
        <v>1.2E-2</v>
      </c>
      <c r="I988">
        <f t="shared" si="173"/>
        <v>0.85341551985782726</v>
      </c>
      <c r="J988">
        <f t="shared" si="174"/>
        <v>5.9902707407841422E-4</v>
      </c>
      <c r="K988">
        <f t="shared" si="175"/>
        <v>0</v>
      </c>
      <c r="L988">
        <f t="shared" si="167"/>
        <v>0.32537727502729991</v>
      </c>
      <c r="M988">
        <f>IF(AND(MOD(C988,12)=1,D988&lt;='[1]Product parameters'!$C$2),I987*[1]model_point!$G$2,0)</f>
        <v>0</v>
      </c>
      <c r="N988">
        <f t="shared" si="168"/>
        <v>0</v>
      </c>
      <c r="O988">
        <f>[2]results_sample_product_cf!G987</f>
        <v>0</v>
      </c>
      <c r="P988">
        <f>[2]results_sample_product_cf!H987</f>
        <v>0</v>
      </c>
      <c r="Q988">
        <f t="shared" si="169"/>
        <v>0</v>
      </c>
      <c r="R988">
        <f t="shared" si="165"/>
        <v>0</v>
      </c>
    </row>
    <row r="989" spans="1:18" x14ac:dyDescent="0.3">
      <c r="A989">
        <f t="shared" si="170"/>
        <v>986</v>
      </c>
      <c r="B989">
        <f t="shared" si="171"/>
        <v>83</v>
      </c>
      <c r="C989">
        <f t="shared" si="172"/>
        <v>991</v>
      </c>
      <c r="D989">
        <f t="shared" si="166"/>
        <v>83</v>
      </c>
      <c r="E989">
        <f>[1]model_point!$C$2+D989-1</f>
        <v>87</v>
      </c>
      <c r="F989">
        <f>VLOOKUP(E989,'[1]202512 BE mortality'!$A:$C,3,0)</f>
        <v>8.3847028895424405E-3</v>
      </c>
      <c r="G989">
        <f>VLOOKUP(D989,'[1]202512 BE lapse'!$C:$D,2,0)</f>
        <v>8.6390231820658511E-3</v>
      </c>
      <c r="H989">
        <f>VLOOKUP($B989,'[1]202512 RFR'!$A:$B,2,0)</f>
        <v>1.2E-2</v>
      </c>
      <c r="I989">
        <f t="shared" si="173"/>
        <v>0.8528169129562585</v>
      </c>
      <c r="J989">
        <f t="shared" si="174"/>
        <v>5.9860690156874436E-4</v>
      </c>
      <c r="K989">
        <f t="shared" si="175"/>
        <v>0</v>
      </c>
      <c r="L989">
        <f t="shared" si="167"/>
        <v>0.32505399524140388</v>
      </c>
      <c r="M989">
        <f>IF(AND(MOD(C989,12)=1,D989&lt;='[1]Product parameters'!$C$2),I988*[1]model_point!$G$2,0)</f>
        <v>0</v>
      </c>
      <c r="N989">
        <f t="shared" si="168"/>
        <v>0</v>
      </c>
      <c r="O989">
        <f>[2]results_sample_product_cf!G988</f>
        <v>0</v>
      </c>
      <c r="P989">
        <f>[2]results_sample_product_cf!H988</f>
        <v>0</v>
      </c>
      <c r="Q989">
        <f t="shared" si="169"/>
        <v>0</v>
      </c>
      <c r="R989">
        <f t="shared" si="165"/>
        <v>0</v>
      </c>
    </row>
    <row r="990" spans="1:18" x14ac:dyDescent="0.3">
      <c r="A990">
        <f t="shared" si="170"/>
        <v>987</v>
      </c>
      <c r="B990">
        <f t="shared" si="171"/>
        <v>83</v>
      </c>
      <c r="C990">
        <f t="shared" si="172"/>
        <v>992</v>
      </c>
      <c r="D990">
        <f t="shared" si="166"/>
        <v>83</v>
      </c>
      <c r="E990">
        <f>[1]model_point!$C$2+D990-1</f>
        <v>87</v>
      </c>
      <c r="F990">
        <f>VLOOKUP(E990,'[1]202512 BE mortality'!$A:$C,3,0)</f>
        <v>8.3847028895424405E-3</v>
      </c>
      <c r="G990">
        <f>VLOOKUP(D990,'[1]202512 BE lapse'!$C:$D,2,0)</f>
        <v>8.6390231820658511E-3</v>
      </c>
      <c r="H990">
        <f>VLOOKUP($B990,'[1]202512 RFR'!$A:$B,2,0)</f>
        <v>1.2E-2</v>
      </c>
      <c r="I990">
        <f t="shared" si="173"/>
        <v>0.85221872593247994</v>
      </c>
      <c r="J990">
        <f t="shared" si="174"/>
        <v>5.9818702377853797E-4</v>
      </c>
      <c r="K990">
        <f t="shared" si="175"/>
        <v>0</v>
      </c>
      <c r="L990">
        <f t="shared" si="167"/>
        <v>0.32473103665132569</v>
      </c>
      <c r="M990">
        <f>IF(AND(MOD(C990,12)=1,D990&lt;='[1]Product parameters'!$C$2),I989*[1]model_point!$G$2,0)</f>
        <v>0</v>
      </c>
      <c r="N990">
        <f t="shared" si="168"/>
        <v>0</v>
      </c>
      <c r="O990">
        <f>[2]results_sample_product_cf!G989</f>
        <v>0</v>
      </c>
      <c r="P990">
        <f>[2]results_sample_product_cf!H989</f>
        <v>0</v>
      </c>
      <c r="Q990">
        <f t="shared" si="169"/>
        <v>0</v>
      </c>
      <c r="R990">
        <f t="shared" si="165"/>
        <v>0</v>
      </c>
    </row>
    <row r="991" spans="1:18" x14ac:dyDescent="0.3">
      <c r="A991">
        <f t="shared" si="170"/>
        <v>988</v>
      </c>
      <c r="B991">
        <f t="shared" si="171"/>
        <v>83</v>
      </c>
      <c r="C991">
        <f t="shared" si="172"/>
        <v>993</v>
      </c>
      <c r="D991">
        <f t="shared" si="166"/>
        <v>83</v>
      </c>
      <c r="E991">
        <f>[1]model_point!$C$2+D991-1</f>
        <v>87</v>
      </c>
      <c r="F991">
        <f>VLOOKUP(E991,'[1]202512 BE mortality'!$A:$C,3,0)</f>
        <v>8.3847028895424405E-3</v>
      </c>
      <c r="G991">
        <f>VLOOKUP(D991,'[1]202512 BE lapse'!$C:$D,2,0)</f>
        <v>8.6390231820658511E-3</v>
      </c>
      <c r="H991">
        <f>VLOOKUP($B991,'[1]202512 RFR'!$A:$B,2,0)</f>
        <v>1.2E-2</v>
      </c>
      <c r="I991">
        <f t="shared" si="173"/>
        <v>0.85162095849197883</v>
      </c>
      <c r="J991">
        <f t="shared" si="174"/>
        <v>5.9776744050107152E-4</v>
      </c>
      <c r="K991">
        <f t="shared" si="175"/>
        <v>0</v>
      </c>
      <c r="L991">
        <f t="shared" si="167"/>
        <v>0.3244083989379401</v>
      </c>
      <c r="M991">
        <f>IF(AND(MOD(C991,12)=1,D991&lt;='[1]Product parameters'!$C$2),I990*[1]model_point!$G$2,0)</f>
        <v>0</v>
      </c>
      <c r="N991">
        <f t="shared" si="168"/>
        <v>0</v>
      </c>
      <c r="O991">
        <f>[2]results_sample_product_cf!G990</f>
        <v>0</v>
      </c>
      <c r="P991">
        <f>[2]results_sample_product_cf!H990</f>
        <v>0</v>
      </c>
      <c r="Q991">
        <f t="shared" si="169"/>
        <v>0</v>
      </c>
      <c r="R991">
        <f t="shared" si="165"/>
        <v>0</v>
      </c>
    </row>
    <row r="992" spans="1:18" x14ac:dyDescent="0.3">
      <c r="A992">
        <f t="shared" si="170"/>
        <v>989</v>
      </c>
      <c r="B992">
        <f t="shared" si="171"/>
        <v>83</v>
      </c>
      <c r="C992">
        <f t="shared" si="172"/>
        <v>994</v>
      </c>
      <c r="D992">
        <f t="shared" si="166"/>
        <v>83</v>
      </c>
      <c r="E992">
        <f>[1]model_point!$C$2+D992-1</f>
        <v>87</v>
      </c>
      <c r="F992">
        <f>VLOOKUP(E992,'[1]202512 BE mortality'!$A:$C,3,0)</f>
        <v>8.3847028895424405E-3</v>
      </c>
      <c r="G992">
        <f>VLOOKUP(D992,'[1]202512 BE lapse'!$C:$D,2,0)</f>
        <v>8.6390231820658511E-3</v>
      </c>
      <c r="H992">
        <f>VLOOKUP($B992,'[1]202512 RFR'!$A:$B,2,0)</f>
        <v>1.2E-2</v>
      </c>
      <c r="I992">
        <f t="shared" si="173"/>
        <v>0.85102361034044904</v>
      </c>
      <c r="J992">
        <f t="shared" si="174"/>
        <v>5.9734815152976631E-4</v>
      </c>
      <c r="K992">
        <f t="shared" si="175"/>
        <v>0</v>
      </c>
      <c r="L992">
        <f t="shared" si="167"/>
        <v>0.32408608178243886</v>
      </c>
      <c r="M992">
        <f>IF(AND(MOD(C992,12)=1,D992&lt;='[1]Product parameters'!$C$2),I991*[1]model_point!$G$2,0)</f>
        <v>0</v>
      </c>
      <c r="N992">
        <f t="shared" si="168"/>
        <v>0</v>
      </c>
      <c r="O992">
        <f>[2]results_sample_product_cf!G991</f>
        <v>0</v>
      </c>
      <c r="P992">
        <f>[2]results_sample_product_cf!H991</f>
        <v>0</v>
      </c>
      <c r="Q992">
        <f t="shared" si="169"/>
        <v>0</v>
      </c>
      <c r="R992">
        <f t="shared" si="165"/>
        <v>0</v>
      </c>
    </row>
    <row r="993" spans="1:18" x14ac:dyDescent="0.3">
      <c r="A993">
        <f t="shared" si="170"/>
        <v>990</v>
      </c>
      <c r="B993">
        <f t="shared" si="171"/>
        <v>83</v>
      </c>
      <c r="C993">
        <f t="shared" si="172"/>
        <v>995</v>
      </c>
      <c r="D993">
        <f t="shared" si="166"/>
        <v>83</v>
      </c>
      <c r="E993">
        <f>[1]model_point!$C$2+D993-1</f>
        <v>87</v>
      </c>
      <c r="F993">
        <f>VLOOKUP(E993,'[1]202512 BE mortality'!$A:$C,3,0)</f>
        <v>8.3847028895424405E-3</v>
      </c>
      <c r="G993">
        <f>VLOOKUP(D993,'[1]202512 BE lapse'!$C:$D,2,0)</f>
        <v>8.6390231820658511E-3</v>
      </c>
      <c r="H993">
        <f>VLOOKUP($B993,'[1]202512 RFR'!$A:$B,2,0)</f>
        <v>1.2E-2</v>
      </c>
      <c r="I993">
        <f t="shared" si="173"/>
        <v>0.85042668118379083</v>
      </c>
      <c r="J993">
        <f t="shared" si="174"/>
        <v>5.9692915665818887E-4</v>
      </c>
      <c r="K993">
        <f t="shared" si="175"/>
        <v>0</v>
      </c>
      <c r="L993">
        <f t="shared" si="167"/>
        <v>0.32376408486633057</v>
      </c>
      <c r="M993">
        <f>IF(AND(MOD(C993,12)=1,D993&lt;='[1]Product parameters'!$C$2),I992*[1]model_point!$G$2,0)</f>
        <v>0</v>
      </c>
      <c r="N993">
        <f t="shared" si="168"/>
        <v>0</v>
      </c>
      <c r="O993">
        <f>[2]results_sample_product_cf!G992</f>
        <v>0</v>
      </c>
      <c r="P993">
        <f>[2]results_sample_product_cf!H992</f>
        <v>0</v>
      </c>
      <c r="Q993">
        <f t="shared" si="169"/>
        <v>0</v>
      </c>
      <c r="R993">
        <f t="shared" si="165"/>
        <v>0</v>
      </c>
    </row>
    <row r="994" spans="1:18" x14ac:dyDescent="0.3">
      <c r="A994">
        <f t="shared" si="170"/>
        <v>991</v>
      </c>
      <c r="B994">
        <f t="shared" si="171"/>
        <v>83</v>
      </c>
      <c r="C994">
        <f t="shared" si="172"/>
        <v>996</v>
      </c>
      <c r="D994">
        <f t="shared" si="166"/>
        <v>83</v>
      </c>
      <c r="E994">
        <f>[1]model_point!$C$2+D994-1</f>
        <v>87</v>
      </c>
      <c r="F994">
        <f>VLOOKUP(E994,'[1]202512 BE mortality'!$A:$C,3,0)</f>
        <v>8.3847028895424405E-3</v>
      </c>
      <c r="G994">
        <f>VLOOKUP(D994,'[1]202512 BE lapse'!$C:$D,2,0)</f>
        <v>8.6390231820658511E-3</v>
      </c>
      <c r="H994">
        <f>VLOOKUP($B994,'[1]202512 RFR'!$A:$B,2,0)</f>
        <v>1.2E-2</v>
      </c>
      <c r="I994">
        <f t="shared" si="173"/>
        <v>0.84248846818237155</v>
      </c>
      <c r="J994">
        <f t="shared" si="174"/>
        <v>5.9651045568005019E-4</v>
      </c>
      <c r="K994">
        <f t="shared" si="175"/>
        <v>7.3417025457391287E-3</v>
      </c>
      <c r="L994">
        <f t="shared" si="167"/>
        <v>0.32344240787144013</v>
      </c>
      <c r="M994">
        <f>IF(AND(MOD(C994,12)=1,D994&lt;='[1]Product parameters'!$C$2),I993*[1]model_point!$G$2,0)</f>
        <v>0</v>
      </c>
      <c r="N994">
        <f t="shared" si="168"/>
        <v>0</v>
      </c>
      <c r="O994">
        <f>[2]results_sample_product_cf!G993</f>
        <v>0</v>
      </c>
      <c r="P994">
        <f>[2]results_sample_product_cf!H993</f>
        <v>0</v>
      </c>
      <c r="Q994">
        <f t="shared" si="169"/>
        <v>0</v>
      </c>
      <c r="R994">
        <f t="shared" si="165"/>
        <v>0</v>
      </c>
    </row>
    <row r="995" spans="1:18" x14ac:dyDescent="0.3">
      <c r="A995">
        <f t="shared" si="170"/>
        <v>992</v>
      </c>
      <c r="B995">
        <f t="shared" si="171"/>
        <v>83</v>
      </c>
      <c r="C995">
        <f t="shared" si="172"/>
        <v>997</v>
      </c>
      <c r="D995">
        <f t="shared" si="166"/>
        <v>84</v>
      </c>
      <c r="E995">
        <f>[1]model_point!$C$2+D995-1</f>
        <v>88</v>
      </c>
      <c r="F995">
        <f>VLOOKUP(E995,'[1]202512 BE mortality'!$A:$C,3,0)</f>
        <v>8.1221312764276996E-3</v>
      </c>
      <c r="G995">
        <f>VLOOKUP(D995,'[1]202512 BE lapse'!$C:$D,2,0)</f>
        <v>1.5885505740406314E-3</v>
      </c>
      <c r="H995">
        <f>VLOOKUP($B995,'[1]202512 RFR'!$A:$B,2,0)</f>
        <v>1.2E-2</v>
      </c>
      <c r="I995">
        <f t="shared" si="173"/>
        <v>0.84191610083053403</v>
      </c>
      <c r="J995">
        <f t="shared" si="174"/>
        <v>5.7236735183751187E-4</v>
      </c>
      <c r="K995">
        <f t="shared" si="175"/>
        <v>0</v>
      </c>
      <c r="L995">
        <f t="shared" si="167"/>
        <v>0.32312105047990869</v>
      </c>
      <c r="M995">
        <f>IF(AND(MOD(C995,12)=1,D995&lt;='[1]Product parameters'!$C$2),I994*[1]model_point!$G$2,0)</f>
        <v>0</v>
      </c>
      <c r="N995">
        <f t="shared" si="168"/>
        <v>0</v>
      </c>
      <c r="O995">
        <f>[2]results_sample_product_cf!G994</f>
        <v>0</v>
      </c>
      <c r="P995">
        <f>[2]results_sample_product_cf!H994</f>
        <v>0</v>
      </c>
      <c r="Q995">
        <f t="shared" si="169"/>
        <v>0</v>
      </c>
      <c r="R995">
        <f t="shared" si="165"/>
        <v>0</v>
      </c>
    </row>
    <row r="996" spans="1:18" x14ac:dyDescent="0.3">
      <c r="A996">
        <f t="shared" si="170"/>
        <v>993</v>
      </c>
      <c r="B996">
        <f t="shared" si="171"/>
        <v>83</v>
      </c>
      <c r="C996">
        <f t="shared" si="172"/>
        <v>998</v>
      </c>
      <c r="D996">
        <f t="shared" si="166"/>
        <v>84</v>
      </c>
      <c r="E996">
        <f>[1]model_point!$C$2+D996-1</f>
        <v>88</v>
      </c>
      <c r="F996">
        <f>VLOOKUP(E996,'[1]202512 BE mortality'!$A:$C,3,0)</f>
        <v>8.1221312764276996E-3</v>
      </c>
      <c r="G996">
        <f>VLOOKUP(D996,'[1]202512 BE lapse'!$C:$D,2,0)</f>
        <v>1.5885505740406314E-3</v>
      </c>
      <c r="H996">
        <f>VLOOKUP($B996,'[1]202512 RFR'!$A:$B,2,0)</f>
        <v>1.2E-2</v>
      </c>
      <c r="I996">
        <f t="shared" si="173"/>
        <v>0.84134412233195421</v>
      </c>
      <c r="J996">
        <f t="shared" si="174"/>
        <v>5.7197849857978575E-4</v>
      </c>
      <c r="K996">
        <f t="shared" si="175"/>
        <v>0</v>
      </c>
      <c r="L996">
        <f t="shared" si="167"/>
        <v>0.32280001237419315</v>
      </c>
      <c r="M996">
        <f>IF(AND(MOD(C996,12)=1,D996&lt;='[1]Product parameters'!$C$2),I995*[1]model_point!$G$2,0)</f>
        <v>0</v>
      </c>
      <c r="N996">
        <f t="shared" si="168"/>
        <v>0</v>
      </c>
      <c r="O996">
        <f>[2]results_sample_product_cf!G995</f>
        <v>0</v>
      </c>
      <c r="P996">
        <f>[2]results_sample_product_cf!H995</f>
        <v>0</v>
      </c>
      <c r="Q996">
        <f t="shared" si="169"/>
        <v>0</v>
      </c>
      <c r="R996">
        <f t="shared" si="165"/>
        <v>0</v>
      </c>
    </row>
    <row r="997" spans="1:18" x14ac:dyDescent="0.3">
      <c r="A997">
        <f t="shared" si="170"/>
        <v>994</v>
      </c>
      <c r="B997">
        <f t="shared" si="171"/>
        <v>83</v>
      </c>
      <c r="C997">
        <f t="shared" si="172"/>
        <v>999</v>
      </c>
      <c r="D997">
        <f t="shared" si="166"/>
        <v>84</v>
      </c>
      <c r="E997">
        <f>[1]model_point!$C$2+D997-1</f>
        <v>88</v>
      </c>
      <c r="F997">
        <f>VLOOKUP(E997,'[1]202512 BE mortality'!$A:$C,3,0)</f>
        <v>8.1221312764276996E-3</v>
      </c>
      <c r="G997">
        <f>VLOOKUP(D997,'[1]202512 BE lapse'!$C:$D,2,0)</f>
        <v>1.5885505740406314E-3</v>
      </c>
      <c r="H997">
        <f>VLOOKUP($B997,'[1]202512 RFR'!$A:$B,2,0)</f>
        <v>1.2E-2</v>
      </c>
      <c r="I997">
        <f t="shared" si="173"/>
        <v>0.8407725324224542</v>
      </c>
      <c r="J997">
        <f t="shared" si="174"/>
        <v>5.7158990950004858E-4</v>
      </c>
      <c r="K997">
        <f t="shared" si="175"/>
        <v>0</v>
      </c>
      <c r="L997">
        <f t="shared" si="167"/>
        <v>0.32247929323706592</v>
      </c>
      <c r="M997">
        <f>IF(AND(MOD(C997,12)=1,D997&lt;='[1]Product parameters'!$C$2),I996*[1]model_point!$G$2,0)</f>
        <v>0</v>
      </c>
      <c r="N997">
        <f t="shared" si="168"/>
        <v>0</v>
      </c>
      <c r="O997">
        <f>[2]results_sample_product_cf!G996</f>
        <v>0</v>
      </c>
      <c r="P997">
        <f>[2]results_sample_product_cf!H996</f>
        <v>0</v>
      </c>
      <c r="Q997">
        <f t="shared" si="169"/>
        <v>0</v>
      </c>
      <c r="R997">
        <f t="shared" si="165"/>
        <v>0</v>
      </c>
    </row>
    <row r="998" spans="1:18" x14ac:dyDescent="0.3">
      <c r="A998">
        <f t="shared" si="170"/>
        <v>995</v>
      </c>
      <c r="B998">
        <f t="shared" si="171"/>
        <v>83</v>
      </c>
      <c r="C998">
        <f t="shared" si="172"/>
        <v>1000</v>
      </c>
      <c r="D998">
        <f t="shared" si="166"/>
        <v>84</v>
      </c>
      <c r="E998">
        <f>[1]model_point!$C$2+D998-1</f>
        <v>88</v>
      </c>
      <c r="F998">
        <f>VLOOKUP(E998,'[1]202512 BE mortality'!$A:$C,3,0)</f>
        <v>8.1221312764276996E-3</v>
      </c>
      <c r="G998">
        <f>VLOOKUP(D998,'[1]202512 BE lapse'!$C:$D,2,0)</f>
        <v>1.5885505740406314E-3</v>
      </c>
      <c r="H998">
        <f>VLOOKUP($B998,'[1]202512 RFR'!$A:$B,2,0)</f>
        <v>1.2E-2</v>
      </c>
      <c r="I998">
        <f t="shared" si="173"/>
        <v>0.84020133083803539</v>
      </c>
      <c r="J998">
        <f t="shared" si="174"/>
        <v>5.7120158441882412E-4</v>
      </c>
      <c r="K998">
        <f t="shared" si="175"/>
        <v>0</v>
      </c>
      <c r="L998">
        <f t="shared" si="167"/>
        <v>0.32215889275161458</v>
      </c>
      <c r="M998">
        <f>IF(AND(MOD(C998,12)=1,D998&lt;='[1]Product parameters'!$C$2),I997*[1]model_point!$G$2,0)</f>
        <v>0</v>
      </c>
      <c r="N998">
        <f t="shared" si="168"/>
        <v>0</v>
      </c>
      <c r="O998">
        <f>[2]results_sample_product_cf!G997</f>
        <v>0</v>
      </c>
      <c r="P998">
        <f>[2]results_sample_product_cf!H997</f>
        <v>0</v>
      </c>
      <c r="Q998">
        <f t="shared" si="169"/>
        <v>0</v>
      </c>
      <c r="R998">
        <f t="shared" si="165"/>
        <v>0</v>
      </c>
    </row>
    <row r="999" spans="1:18" x14ac:dyDescent="0.3">
      <c r="A999">
        <f t="shared" si="170"/>
        <v>996</v>
      </c>
      <c r="B999">
        <f t="shared" si="171"/>
        <v>83</v>
      </c>
      <c r="C999">
        <f t="shared" si="172"/>
        <v>1001</v>
      </c>
      <c r="D999">
        <f t="shared" si="166"/>
        <v>84</v>
      </c>
      <c r="E999">
        <f>[1]model_point!$C$2+D999-1</f>
        <v>88</v>
      </c>
      <c r="F999">
        <f>VLOOKUP(E999,'[1]202512 BE mortality'!$A:$C,3,0)</f>
        <v>8.1221312764276996E-3</v>
      </c>
      <c r="G999">
        <f>VLOOKUP(D999,'[1]202512 BE lapse'!$C:$D,2,0)</f>
        <v>1.5885505740406314E-3</v>
      </c>
      <c r="H999">
        <f>VLOOKUP($B999,'[1]202512 RFR'!$A:$B,2,0)</f>
        <v>1.2E-2</v>
      </c>
      <c r="I999">
        <f t="shared" si="173"/>
        <v>0.83963051731487859</v>
      </c>
      <c r="J999">
        <f t="shared" si="174"/>
        <v>5.7081352315675781E-4</v>
      </c>
      <c r="K999">
        <f t="shared" si="175"/>
        <v>0</v>
      </c>
      <c r="L999">
        <f t="shared" si="167"/>
        <v>0.32183881060124159</v>
      </c>
      <c r="M999">
        <f>IF(AND(MOD(C999,12)=1,D999&lt;='[1]Product parameters'!$C$2),I998*[1]model_point!$G$2,0)</f>
        <v>0</v>
      </c>
      <c r="N999">
        <f t="shared" si="168"/>
        <v>0</v>
      </c>
      <c r="O999">
        <f>[2]results_sample_product_cf!G998</f>
        <v>0</v>
      </c>
      <c r="P999">
        <f>[2]results_sample_product_cf!H998</f>
        <v>0</v>
      </c>
      <c r="Q999">
        <f t="shared" si="169"/>
        <v>0</v>
      </c>
      <c r="R999">
        <f t="shared" si="165"/>
        <v>0</v>
      </c>
    </row>
    <row r="1000" spans="1:18" x14ac:dyDescent="0.3">
      <c r="A1000">
        <f t="shared" si="170"/>
        <v>997</v>
      </c>
      <c r="B1000">
        <f t="shared" si="171"/>
        <v>84</v>
      </c>
      <c r="C1000">
        <f t="shared" si="172"/>
        <v>1002</v>
      </c>
      <c r="D1000">
        <f t="shared" si="166"/>
        <v>84</v>
      </c>
      <c r="E1000">
        <f>[1]model_point!$C$2+D1000-1</f>
        <v>88</v>
      </c>
      <c r="F1000">
        <f>VLOOKUP(E1000,'[1]202512 BE mortality'!$A:$C,3,0)</f>
        <v>8.1221312764276996E-3</v>
      </c>
      <c r="G1000">
        <f>VLOOKUP(D1000,'[1]202512 BE lapse'!$C:$D,2,0)</f>
        <v>1.5885505740406314E-3</v>
      </c>
      <c r="H1000">
        <f>VLOOKUP($B1000,'[1]202512 RFR'!$A:$B,2,0)</f>
        <v>1.2E-2</v>
      </c>
      <c r="I1000">
        <f t="shared" si="173"/>
        <v>0.83906009158934403</v>
      </c>
      <c r="J1000">
        <f t="shared" si="174"/>
        <v>5.7042572553461682E-4</v>
      </c>
      <c r="K1000">
        <f t="shared" si="175"/>
        <v>0</v>
      </c>
      <c r="L1000">
        <f t="shared" si="167"/>
        <v>0.32151904646966395</v>
      </c>
      <c r="M1000">
        <f>IF(AND(MOD(C1000,12)=1,D1000&lt;='[1]Product parameters'!$C$2),I999*[1]model_point!$G$2,0)</f>
        <v>0</v>
      </c>
      <c r="N1000">
        <f t="shared" si="168"/>
        <v>0</v>
      </c>
      <c r="O1000">
        <f>[2]results_sample_product_cf!G999</f>
        <v>0</v>
      </c>
      <c r="P1000">
        <f>[2]results_sample_product_cf!H999</f>
        <v>0</v>
      </c>
      <c r="Q1000">
        <f t="shared" si="169"/>
        <v>0</v>
      </c>
      <c r="R1000">
        <f t="shared" si="165"/>
        <v>0</v>
      </c>
    </row>
    <row r="1001" spans="1:18" x14ac:dyDescent="0.3">
      <c r="A1001">
        <f t="shared" si="170"/>
        <v>998</v>
      </c>
      <c r="B1001">
        <f t="shared" si="171"/>
        <v>84</v>
      </c>
      <c r="C1001">
        <f t="shared" si="172"/>
        <v>1003</v>
      </c>
      <c r="D1001">
        <f t="shared" si="166"/>
        <v>84</v>
      </c>
      <c r="E1001">
        <f>[1]model_point!$C$2+D1001-1</f>
        <v>88</v>
      </c>
      <c r="F1001">
        <f>VLOOKUP(E1001,'[1]202512 BE mortality'!$A:$C,3,0)</f>
        <v>8.1221312764276996E-3</v>
      </c>
      <c r="G1001">
        <f>VLOOKUP(D1001,'[1]202512 BE lapse'!$C:$D,2,0)</f>
        <v>1.5885505740406314E-3</v>
      </c>
      <c r="H1001">
        <f>VLOOKUP($B1001,'[1]202512 RFR'!$A:$B,2,0)</f>
        <v>1.2E-2</v>
      </c>
      <c r="I1001">
        <f t="shared" si="173"/>
        <v>0.83849005339797078</v>
      </c>
      <c r="J1001">
        <f t="shared" si="174"/>
        <v>5.7003819137329051E-4</v>
      </c>
      <c r="K1001">
        <f t="shared" si="175"/>
        <v>0</v>
      </c>
      <c r="L1001">
        <f t="shared" si="167"/>
        <v>0.32119960004091291</v>
      </c>
      <c r="M1001">
        <f>IF(AND(MOD(C1001,12)=1,D1001&lt;='[1]Product parameters'!$C$2),I1000*[1]model_point!$G$2,0)</f>
        <v>0</v>
      </c>
      <c r="N1001">
        <f t="shared" si="168"/>
        <v>0</v>
      </c>
      <c r="O1001">
        <f>[2]results_sample_product_cf!G1000</f>
        <v>0</v>
      </c>
      <c r="P1001">
        <f>[2]results_sample_product_cf!H1000</f>
        <v>0</v>
      </c>
      <c r="Q1001">
        <f t="shared" si="169"/>
        <v>0</v>
      </c>
      <c r="R1001">
        <f t="shared" si="165"/>
        <v>0</v>
      </c>
    </row>
    <row r="1002" spans="1:18" x14ac:dyDescent="0.3">
      <c r="A1002">
        <f t="shared" si="170"/>
        <v>999</v>
      </c>
      <c r="B1002">
        <f t="shared" si="171"/>
        <v>84</v>
      </c>
      <c r="C1002">
        <f t="shared" si="172"/>
        <v>1004</v>
      </c>
      <c r="D1002">
        <f t="shared" si="166"/>
        <v>84</v>
      </c>
      <c r="E1002">
        <f>[1]model_point!$C$2+D1002-1</f>
        <v>88</v>
      </c>
      <c r="F1002">
        <f>VLOOKUP(E1002,'[1]202512 BE mortality'!$A:$C,3,0)</f>
        <v>8.1221312764276996E-3</v>
      </c>
      <c r="G1002">
        <f>VLOOKUP(D1002,'[1]202512 BE lapse'!$C:$D,2,0)</f>
        <v>1.5885505740406314E-3</v>
      </c>
      <c r="H1002">
        <f>VLOOKUP($B1002,'[1]202512 RFR'!$A:$B,2,0)</f>
        <v>1.2E-2</v>
      </c>
      <c r="I1002">
        <f t="shared" si="173"/>
        <v>0.83792040247747701</v>
      </c>
      <c r="J1002">
        <f t="shared" si="174"/>
        <v>5.6965092049378937E-4</v>
      </c>
      <c r="K1002">
        <f t="shared" si="175"/>
        <v>0</v>
      </c>
      <c r="L1002">
        <f t="shared" si="167"/>
        <v>0.3208804709993337</v>
      </c>
      <c r="M1002">
        <f>IF(AND(MOD(C1002,12)=1,D1002&lt;='[1]Product parameters'!$C$2),I1001*[1]model_point!$G$2,0)</f>
        <v>0</v>
      </c>
      <c r="N1002">
        <f t="shared" si="168"/>
        <v>0</v>
      </c>
      <c r="O1002">
        <f>[2]results_sample_product_cf!G1001</f>
        <v>0</v>
      </c>
      <c r="P1002">
        <f>[2]results_sample_product_cf!H1001</f>
        <v>0</v>
      </c>
      <c r="Q1002">
        <f t="shared" si="169"/>
        <v>0</v>
      </c>
      <c r="R1002">
        <f t="shared" si="165"/>
        <v>0</v>
      </c>
    </row>
    <row r="1003" spans="1:18" x14ac:dyDescent="0.3">
      <c r="A1003">
        <f t="shared" si="170"/>
        <v>1000</v>
      </c>
      <c r="B1003">
        <f t="shared" si="171"/>
        <v>84</v>
      </c>
      <c r="C1003">
        <f t="shared" si="172"/>
        <v>1005</v>
      </c>
      <c r="D1003">
        <f t="shared" si="166"/>
        <v>84</v>
      </c>
      <c r="E1003">
        <f>[1]model_point!$C$2+D1003-1</f>
        <v>88</v>
      </c>
      <c r="F1003">
        <f>VLOOKUP(E1003,'[1]202512 BE mortality'!$A:$C,3,0)</f>
        <v>8.1221312764276996E-3</v>
      </c>
      <c r="G1003">
        <f>VLOOKUP(D1003,'[1]202512 BE lapse'!$C:$D,2,0)</f>
        <v>1.5885505740406314E-3</v>
      </c>
      <c r="H1003">
        <f>VLOOKUP($B1003,'[1]202512 RFR'!$A:$B,2,0)</f>
        <v>1.2E-2</v>
      </c>
      <c r="I1003">
        <f t="shared" si="173"/>
        <v>0.83735113856475973</v>
      </c>
      <c r="J1003">
        <f t="shared" si="174"/>
        <v>5.6926391271724583E-4</v>
      </c>
      <c r="K1003">
        <f t="shared" si="175"/>
        <v>0</v>
      </c>
      <c r="L1003">
        <f t="shared" si="167"/>
        <v>0.32056165902958511</v>
      </c>
      <c r="M1003">
        <f>IF(AND(MOD(C1003,12)=1,D1003&lt;='[1]Product parameters'!$C$2),I1002*[1]model_point!$G$2,0)</f>
        <v>0</v>
      </c>
      <c r="N1003">
        <f t="shared" si="168"/>
        <v>0</v>
      </c>
      <c r="O1003">
        <f>[2]results_sample_product_cf!G1002</f>
        <v>0</v>
      </c>
      <c r="P1003">
        <f>[2]results_sample_product_cf!H1002</f>
        <v>0</v>
      </c>
      <c r="Q1003">
        <f t="shared" si="169"/>
        <v>0</v>
      </c>
      <c r="R1003">
        <f t="shared" si="165"/>
        <v>0</v>
      </c>
    </row>
    <row r="1004" spans="1:18" x14ac:dyDescent="0.3">
      <c r="A1004">
        <f t="shared" si="170"/>
        <v>1001</v>
      </c>
      <c r="B1004">
        <f t="shared" si="171"/>
        <v>84</v>
      </c>
      <c r="C1004">
        <f t="shared" si="172"/>
        <v>1006</v>
      </c>
      <c r="D1004">
        <f t="shared" si="166"/>
        <v>84</v>
      </c>
      <c r="E1004">
        <f>[1]model_point!$C$2+D1004-1</f>
        <v>88</v>
      </c>
      <c r="F1004">
        <f>VLOOKUP(E1004,'[1]202512 BE mortality'!$A:$C,3,0)</f>
        <v>8.1221312764276996E-3</v>
      </c>
      <c r="G1004">
        <f>VLOOKUP(D1004,'[1]202512 BE lapse'!$C:$D,2,0)</f>
        <v>1.5885505740406314E-3</v>
      </c>
      <c r="H1004">
        <f>VLOOKUP($B1004,'[1]202512 RFR'!$A:$B,2,0)</f>
        <v>1.2E-2</v>
      </c>
      <c r="I1004">
        <f t="shared" si="173"/>
        <v>0.83678226139689482</v>
      </c>
      <c r="J1004">
        <f t="shared" si="174"/>
        <v>5.6887716786491378E-4</v>
      </c>
      <c r="K1004">
        <f t="shared" si="175"/>
        <v>0</v>
      </c>
      <c r="L1004">
        <f t="shared" si="167"/>
        <v>0.32024316381663925</v>
      </c>
      <c r="M1004">
        <f>IF(AND(MOD(C1004,12)=1,D1004&lt;='[1]Product parameters'!$C$2),I1003*[1]model_point!$G$2,0)</f>
        <v>0</v>
      </c>
      <c r="N1004">
        <f t="shared" si="168"/>
        <v>0</v>
      </c>
      <c r="O1004">
        <f>[2]results_sample_product_cf!G1003</f>
        <v>0</v>
      </c>
      <c r="P1004">
        <f>[2]results_sample_product_cf!H1003</f>
        <v>0</v>
      </c>
      <c r="Q1004">
        <f t="shared" si="169"/>
        <v>0</v>
      </c>
      <c r="R1004">
        <f t="shared" si="165"/>
        <v>0</v>
      </c>
    </row>
    <row r="1005" spans="1:18" x14ac:dyDescent="0.3">
      <c r="A1005">
        <f t="shared" si="170"/>
        <v>1002</v>
      </c>
      <c r="B1005">
        <f t="shared" si="171"/>
        <v>84</v>
      </c>
      <c r="C1005">
        <f t="shared" si="172"/>
        <v>1007</v>
      </c>
      <c r="D1005">
        <f t="shared" si="166"/>
        <v>84</v>
      </c>
      <c r="E1005">
        <f>[1]model_point!$C$2+D1005-1</f>
        <v>88</v>
      </c>
      <c r="F1005">
        <f>VLOOKUP(E1005,'[1]202512 BE mortality'!$A:$C,3,0)</f>
        <v>8.1221312764276996E-3</v>
      </c>
      <c r="G1005">
        <f>VLOOKUP(D1005,'[1]202512 BE lapse'!$C:$D,2,0)</f>
        <v>1.5885505740406314E-3</v>
      </c>
      <c r="H1005">
        <f>VLOOKUP($B1005,'[1]202512 RFR'!$A:$B,2,0)</f>
        <v>1.2E-2</v>
      </c>
      <c r="I1005">
        <f t="shared" si="173"/>
        <v>0.83621377071113667</v>
      </c>
      <c r="J1005">
        <f t="shared" si="174"/>
        <v>5.6849068575816851E-4</v>
      </c>
      <c r="K1005">
        <f t="shared" si="175"/>
        <v>0</v>
      </c>
      <c r="L1005">
        <f t="shared" si="167"/>
        <v>0.31992498504578126</v>
      </c>
      <c r="M1005">
        <f>IF(AND(MOD(C1005,12)=1,D1005&lt;='[1]Product parameters'!$C$2),I1004*[1]model_point!$G$2,0)</f>
        <v>0</v>
      </c>
      <c r="N1005">
        <f t="shared" si="168"/>
        <v>0</v>
      </c>
      <c r="O1005">
        <f>[2]results_sample_product_cf!G1004</f>
        <v>0</v>
      </c>
      <c r="P1005">
        <f>[2]results_sample_product_cf!H1004</f>
        <v>0</v>
      </c>
      <c r="Q1005">
        <f t="shared" si="169"/>
        <v>0</v>
      </c>
      <c r="R1005">
        <f t="shared" si="165"/>
        <v>0</v>
      </c>
    </row>
    <row r="1006" spans="1:18" x14ac:dyDescent="0.3">
      <c r="A1006">
        <f t="shared" si="170"/>
        <v>1003</v>
      </c>
      <c r="B1006">
        <f t="shared" si="171"/>
        <v>84</v>
      </c>
      <c r="C1006">
        <f t="shared" si="172"/>
        <v>1008</v>
      </c>
      <c r="D1006">
        <f t="shared" si="166"/>
        <v>84</v>
      </c>
      <c r="E1006">
        <f>[1]model_point!$C$2+D1006-1</f>
        <v>88</v>
      </c>
      <c r="F1006">
        <f>VLOOKUP(E1006,'[1]202512 BE mortality'!$A:$C,3,0)</f>
        <v>8.1221312764276996E-3</v>
      </c>
      <c r="G1006">
        <f>VLOOKUP(D1006,'[1]202512 BE lapse'!$C:$D,2,0)</f>
        <v>1.5885505740406314E-3</v>
      </c>
      <c r="H1006">
        <f>VLOOKUP($B1006,'[1]202512 RFR'!$A:$B,2,0)</f>
        <v>1.2E-2</v>
      </c>
      <c r="I1006">
        <f t="shared" si="173"/>
        <v>0.83431820084211028</v>
      </c>
      <c r="J1006">
        <f t="shared" si="174"/>
        <v>5.6810446621850688E-4</v>
      </c>
      <c r="K1006">
        <f t="shared" si="175"/>
        <v>1.3274654028079308E-3</v>
      </c>
      <c r="L1006">
        <f t="shared" si="167"/>
        <v>0.31960712240260891</v>
      </c>
      <c r="M1006">
        <f>IF(AND(MOD(C1006,12)=1,D1006&lt;='[1]Product parameters'!$C$2),I1005*[1]model_point!$G$2,0)</f>
        <v>0</v>
      </c>
      <c r="N1006">
        <f t="shared" si="168"/>
        <v>0</v>
      </c>
      <c r="O1006">
        <f>[2]results_sample_product_cf!G1005</f>
        <v>0</v>
      </c>
      <c r="P1006">
        <f>[2]results_sample_product_cf!H1005</f>
        <v>0</v>
      </c>
      <c r="Q1006">
        <f t="shared" si="169"/>
        <v>0</v>
      </c>
      <c r="R1006">
        <f t="shared" si="165"/>
        <v>0</v>
      </c>
    </row>
    <row r="1007" spans="1:18" x14ac:dyDescent="0.3">
      <c r="A1007">
        <f t="shared" si="170"/>
        <v>1004</v>
      </c>
      <c r="B1007">
        <f t="shared" si="171"/>
        <v>84</v>
      </c>
      <c r="C1007">
        <f t="shared" si="172"/>
        <v>1009</v>
      </c>
      <c r="D1007">
        <f t="shared" si="166"/>
        <v>85</v>
      </c>
      <c r="E1007">
        <f>[1]model_point!$C$2+D1007-1</f>
        <v>89</v>
      </c>
      <c r="F1007">
        <f>VLOOKUP(E1007,'[1]202512 BE mortality'!$A:$C,3,0)</f>
        <v>7.9362237730835929E-3</v>
      </c>
      <c r="G1007">
        <f>VLOOKUP(D1007,'[1]202512 BE lapse'!$C:$D,2,0)</f>
        <v>7.0906966588322696E-3</v>
      </c>
      <c r="H1007">
        <f>VLOOKUP($B1007,'[1]202512 RFR'!$A:$B,2,0)</f>
        <v>1.2E-2</v>
      </c>
      <c r="I1007">
        <f t="shared" si="173"/>
        <v>0.83376440555426745</v>
      </c>
      <c r="J1007">
        <f t="shared" si="174"/>
        <v>5.5379528784285095E-4</v>
      </c>
      <c r="K1007">
        <f t="shared" si="175"/>
        <v>0</v>
      </c>
      <c r="L1007">
        <f t="shared" si="167"/>
        <v>0.31928957557303239</v>
      </c>
      <c r="M1007">
        <f>IF(AND(MOD(C1007,12)=1,D1007&lt;='[1]Product parameters'!$C$2),I1006*[1]model_point!$G$2,0)</f>
        <v>0</v>
      </c>
      <c r="N1007">
        <f t="shared" si="168"/>
        <v>0</v>
      </c>
      <c r="O1007">
        <f>[2]results_sample_product_cf!G1006</f>
        <v>0</v>
      </c>
      <c r="P1007">
        <f>[2]results_sample_product_cf!H1006</f>
        <v>0</v>
      </c>
      <c r="Q1007">
        <f t="shared" si="169"/>
        <v>0</v>
      </c>
      <c r="R1007">
        <f t="shared" si="165"/>
        <v>0</v>
      </c>
    </row>
    <row r="1008" spans="1:18" x14ac:dyDescent="0.3">
      <c r="A1008">
        <f t="shared" si="170"/>
        <v>1005</v>
      </c>
      <c r="B1008">
        <f t="shared" si="171"/>
        <v>84</v>
      </c>
      <c r="C1008">
        <f t="shared" si="172"/>
        <v>1010</v>
      </c>
      <c r="D1008">
        <f t="shared" si="166"/>
        <v>85</v>
      </c>
      <c r="E1008">
        <f>[1]model_point!$C$2+D1008-1</f>
        <v>89</v>
      </c>
      <c r="F1008">
        <f>VLOOKUP(E1008,'[1]202512 BE mortality'!$A:$C,3,0)</f>
        <v>7.9362237730835929E-3</v>
      </c>
      <c r="G1008">
        <f>VLOOKUP(D1008,'[1]202512 BE lapse'!$C:$D,2,0)</f>
        <v>7.0906966588322696E-3</v>
      </c>
      <c r="H1008">
        <f>VLOOKUP($B1008,'[1]202512 RFR'!$A:$B,2,0)</f>
        <v>1.2E-2</v>
      </c>
      <c r="I1008">
        <f t="shared" si="173"/>
        <v>0.83321097785905351</v>
      </c>
      <c r="J1008">
        <f t="shared" si="174"/>
        <v>5.5342769521389079E-4</v>
      </c>
      <c r="K1008">
        <f t="shared" si="175"/>
        <v>0</v>
      </c>
      <c r="L1008">
        <f t="shared" si="167"/>
        <v>0.31897234424327398</v>
      </c>
      <c r="M1008">
        <f>IF(AND(MOD(C1008,12)=1,D1008&lt;='[1]Product parameters'!$C$2),I1007*[1]model_point!$G$2,0)</f>
        <v>0</v>
      </c>
      <c r="N1008">
        <f t="shared" si="168"/>
        <v>0</v>
      </c>
      <c r="O1008">
        <f>[2]results_sample_product_cf!G1007</f>
        <v>0</v>
      </c>
      <c r="P1008">
        <f>[2]results_sample_product_cf!H1007</f>
        <v>0</v>
      </c>
      <c r="Q1008">
        <f t="shared" si="169"/>
        <v>0</v>
      </c>
      <c r="R1008">
        <f t="shared" si="165"/>
        <v>0</v>
      </c>
    </row>
    <row r="1009" spans="1:18" x14ac:dyDescent="0.3">
      <c r="A1009">
        <f t="shared" si="170"/>
        <v>1006</v>
      </c>
      <c r="B1009">
        <f t="shared" si="171"/>
        <v>84</v>
      </c>
      <c r="C1009">
        <f t="shared" si="172"/>
        <v>1011</v>
      </c>
      <c r="D1009">
        <f t="shared" si="166"/>
        <v>85</v>
      </c>
      <c r="E1009">
        <f>[1]model_point!$C$2+D1009-1</f>
        <v>89</v>
      </c>
      <c r="F1009">
        <f>VLOOKUP(E1009,'[1]202512 BE mortality'!$A:$C,3,0)</f>
        <v>7.9362237730835929E-3</v>
      </c>
      <c r="G1009">
        <f>VLOOKUP(D1009,'[1]202512 BE lapse'!$C:$D,2,0)</f>
        <v>7.0906966588322696E-3</v>
      </c>
      <c r="H1009">
        <f>VLOOKUP($B1009,'[1]202512 RFR'!$A:$B,2,0)</f>
        <v>1.2E-2</v>
      </c>
      <c r="I1009">
        <f t="shared" si="173"/>
        <v>0.83265791751247165</v>
      </c>
      <c r="J1009">
        <f t="shared" si="174"/>
        <v>5.5306034658184381E-4</v>
      </c>
      <c r="K1009">
        <f t="shared" si="175"/>
        <v>0</v>
      </c>
      <c r="L1009">
        <f t="shared" si="167"/>
        <v>0.31865542809986763</v>
      </c>
      <c r="M1009">
        <f>IF(AND(MOD(C1009,12)=1,D1009&lt;='[1]Product parameters'!$C$2),I1008*[1]model_point!$G$2,0)</f>
        <v>0</v>
      </c>
      <c r="N1009">
        <f t="shared" si="168"/>
        <v>0</v>
      </c>
      <c r="O1009">
        <f>[2]results_sample_product_cf!G1008</f>
        <v>0</v>
      </c>
      <c r="P1009">
        <f>[2]results_sample_product_cf!H1008</f>
        <v>0</v>
      </c>
      <c r="Q1009">
        <f t="shared" si="169"/>
        <v>0</v>
      </c>
      <c r="R1009">
        <f t="shared" si="165"/>
        <v>0</v>
      </c>
    </row>
    <row r="1010" spans="1:18" x14ac:dyDescent="0.3">
      <c r="A1010">
        <f t="shared" si="170"/>
        <v>1007</v>
      </c>
      <c r="B1010">
        <f t="shared" si="171"/>
        <v>84</v>
      </c>
      <c r="C1010">
        <f t="shared" si="172"/>
        <v>1012</v>
      </c>
      <c r="D1010">
        <f t="shared" si="166"/>
        <v>85</v>
      </c>
      <c r="E1010">
        <f>[1]model_point!$C$2+D1010-1</f>
        <v>89</v>
      </c>
      <c r="F1010">
        <f>VLOOKUP(E1010,'[1]202512 BE mortality'!$A:$C,3,0)</f>
        <v>7.9362237730835929E-3</v>
      </c>
      <c r="G1010">
        <f>VLOOKUP(D1010,'[1]202512 BE lapse'!$C:$D,2,0)</f>
        <v>7.0906966588322696E-3</v>
      </c>
      <c r="H1010">
        <f>VLOOKUP($B1010,'[1]202512 RFR'!$A:$B,2,0)</f>
        <v>1.2E-2</v>
      </c>
      <c r="I1010">
        <f t="shared" si="173"/>
        <v>0.83210522427068689</v>
      </c>
      <c r="J1010">
        <f t="shared" si="174"/>
        <v>5.5269324178475242E-4</v>
      </c>
      <c r="K1010">
        <f t="shared" si="175"/>
        <v>0</v>
      </c>
      <c r="L1010">
        <f t="shared" si="167"/>
        <v>0.31833882682965881</v>
      </c>
      <c r="M1010">
        <f>IF(AND(MOD(C1010,12)=1,D1010&lt;='[1]Product parameters'!$C$2),I1009*[1]model_point!$G$2,0)</f>
        <v>0</v>
      </c>
      <c r="N1010">
        <f t="shared" si="168"/>
        <v>0</v>
      </c>
      <c r="O1010">
        <f>[2]results_sample_product_cf!G1009</f>
        <v>0</v>
      </c>
      <c r="P1010">
        <f>[2]results_sample_product_cf!H1009</f>
        <v>0</v>
      </c>
      <c r="Q1010">
        <f t="shared" si="169"/>
        <v>0</v>
      </c>
      <c r="R1010">
        <f t="shared" si="165"/>
        <v>0</v>
      </c>
    </row>
    <row r="1011" spans="1:18" x14ac:dyDescent="0.3">
      <c r="A1011">
        <f t="shared" si="170"/>
        <v>1008</v>
      </c>
      <c r="B1011">
        <f t="shared" si="171"/>
        <v>84</v>
      </c>
      <c r="C1011">
        <f t="shared" si="172"/>
        <v>1013</v>
      </c>
      <c r="D1011">
        <f t="shared" si="166"/>
        <v>85</v>
      </c>
      <c r="E1011">
        <f>[1]model_point!$C$2+D1011-1</f>
        <v>89</v>
      </c>
      <c r="F1011">
        <f>VLOOKUP(E1011,'[1]202512 BE mortality'!$A:$C,3,0)</f>
        <v>7.9362237730835929E-3</v>
      </c>
      <c r="G1011">
        <f>VLOOKUP(D1011,'[1]202512 BE lapse'!$C:$D,2,0)</f>
        <v>7.0906966588322696E-3</v>
      </c>
      <c r="H1011">
        <f>VLOOKUP($B1011,'[1]202512 RFR'!$A:$B,2,0)</f>
        <v>1.2E-2</v>
      </c>
      <c r="I1011">
        <f t="shared" si="173"/>
        <v>0.83155289789002618</v>
      </c>
      <c r="J1011">
        <f t="shared" si="174"/>
        <v>5.5232638066076637E-4</v>
      </c>
      <c r="K1011">
        <f t="shared" si="175"/>
        <v>0</v>
      </c>
      <c r="L1011">
        <f t="shared" si="167"/>
        <v>0.31802254011980408</v>
      </c>
      <c r="M1011">
        <f>IF(AND(MOD(C1011,12)=1,D1011&lt;='[1]Product parameters'!$C$2),I1010*[1]model_point!$G$2,0)</f>
        <v>0</v>
      </c>
      <c r="N1011">
        <f t="shared" si="168"/>
        <v>0</v>
      </c>
      <c r="O1011">
        <f>[2]results_sample_product_cf!G1010</f>
        <v>0</v>
      </c>
      <c r="P1011">
        <f>[2]results_sample_product_cf!H1010</f>
        <v>0</v>
      </c>
      <c r="Q1011">
        <f t="shared" si="169"/>
        <v>0</v>
      </c>
      <c r="R1011">
        <f t="shared" si="165"/>
        <v>0</v>
      </c>
    </row>
    <row r="1012" spans="1:18" x14ac:dyDescent="0.3">
      <c r="A1012">
        <f t="shared" si="170"/>
        <v>1009</v>
      </c>
      <c r="B1012">
        <f t="shared" si="171"/>
        <v>85</v>
      </c>
      <c r="C1012">
        <f t="shared" si="172"/>
        <v>1014</v>
      </c>
      <c r="D1012">
        <f t="shared" si="166"/>
        <v>85</v>
      </c>
      <c r="E1012">
        <f>[1]model_point!$C$2+D1012-1</f>
        <v>89</v>
      </c>
      <c r="F1012">
        <f>VLOOKUP(E1012,'[1]202512 BE mortality'!$A:$C,3,0)</f>
        <v>7.9362237730835929E-3</v>
      </c>
      <c r="G1012">
        <f>VLOOKUP(D1012,'[1]202512 BE lapse'!$C:$D,2,0)</f>
        <v>7.0906966588322696E-3</v>
      </c>
      <c r="H1012">
        <f>VLOOKUP($B1012,'[1]202512 RFR'!$A:$B,2,0)</f>
        <v>1.2E-2</v>
      </c>
      <c r="I1012">
        <f t="shared" si="173"/>
        <v>0.83100093812697806</v>
      </c>
      <c r="J1012">
        <f t="shared" si="174"/>
        <v>5.5195976304814266E-4</v>
      </c>
      <c r="K1012">
        <f t="shared" si="175"/>
        <v>0</v>
      </c>
      <c r="L1012">
        <f t="shared" si="167"/>
        <v>0.31770656765777083</v>
      </c>
      <c r="M1012">
        <f>IF(AND(MOD(C1012,12)=1,D1012&lt;='[1]Product parameters'!$C$2),I1011*[1]model_point!$G$2,0)</f>
        <v>0</v>
      </c>
      <c r="N1012">
        <f t="shared" si="168"/>
        <v>0</v>
      </c>
      <c r="O1012">
        <f>[2]results_sample_product_cf!G1011</f>
        <v>0</v>
      </c>
      <c r="P1012">
        <f>[2]results_sample_product_cf!H1011</f>
        <v>0</v>
      </c>
      <c r="Q1012">
        <f t="shared" si="169"/>
        <v>0</v>
      </c>
      <c r="R1012">
        <f t="shared" si="165"/>
        <v>0</v>
      </c>
    </row>
    <row r="1013" spans="1:18" x14ac:dyDescent="0.3">
      <c r="A1013">
        <f t="shared" si="170"/>
        <v>1010</v>
      </c>
      <c r="B1013">
        <f t="shared" si="171"/>
        <v>85</v>
      </c>
      <c r="C1013">
        <f t="shared" si="172"/>
        <v>1015</v>
      </c>
      <c r="D1013">
        <f t="shared" si="166"/>
        <v>85</v>
      </c>
      <c r="E1013">
        <f>[1]model_point!$C$2+D1013-1</f>
        <v>89</v>
      </c>
      <c r="F1013">
        <f>VLOOKUP(E1013,'[1]202512 BE mortality'!$A:$C,3,0)</f>
        <v>7.9362237730835929E-3</v>
      </c>
      <c r="G1013">
        <f>VLOOKUP(D1013,'[1]202512 BE lapse'!$C:$D,2,0)</f>
        <v>7.0906966588322696E-3</v>
      </c>
      <c r="H1013">
        <f>VLOOKUP($B1013,'[1]202512 RFR'!$A:$B,2,0)</f>
        <v>1.2E-2</v>
      </c>
      <c r="I1013">
        <f t="shared" si="173"/>
        <v>0.83044934473819276</v>
      </c>
      <c r="J1013">
        <f t="shared" si="174"/>
        <v>5.5159338878524593E-4</v>
      </c>
      <c r="K1013">
        <f t="shared" si="175"/>
        <v>0</v>
      </c>
      <c r="L1013">
        <f t="shared" si="167"/>
        <v>0.317390909131337</v>
      </c>
      <c r="M1013">
        <f>IF(AND(MOD(C1013,12)=1,D1013&lt;='[1]Product parameters'!$C$2),I1012*[1]model_point!$G$2,0)</f>
        <v>0</v>
      </c>
      <c r="N1013">
        <f t="shared" si="168"/>
        <v>0</v>
      </c>
      <c r="O1013">
        <f>[2]results_sample_product_cf!G1012</f>
        <v>0</v>
      </c>
      <c r="P1013">
        <f>[2]results_sample_product_cf!H1012</f>
        <v>0</v>
      </c>
      <c r="Q1013">
        <f t="shared" si="169"/>
        <v>0</v>
      </c>
      <c r="R1013">
        <f t="shared" si="165"/>
        <v>0</v>
      </c>
    </row>
    <row r="1014" spans="1:18" x14ac:dyDescent="0.3">
      <c r="A1014">
        <f t="shared" si="170"/>
        <v>1011</v>
      </c>
      <c r="B1014">
        <f t="shared" si="171"/>
        <v>85</v>
      </c>
      <c r="C1014">
        <f t="shared" si="172"/>
        <v>1016</v>
      </c>
      <c r="D1014">
        <f t="shared" si="166"/>
        <v>85</v>
      </c>
      <c r="E1014">
        <f>[1]model_point!$C$2+D1014-1</f>
        <v>89</v>
      </c>
      <c r="F1014">
        <f>VLOOKUP(E1014,'[1]202512 BE mortality'!$A:$C,3,0)</f>
        <v>7.9362237730835929E-3</v>
      </c>
      <c r="G1014">
        <f>VLOOKUP(D1014,'[1]202512 BE lapse'!$C:$D,2,0)</f>
        <v>7.0906966588322696E-3</v>
      </c>
      <c r="H1014">
        <f>VLOOKUP($B1014,'[1]202512 RFR'!$A:$B,2,0)</f>
        <v>1.2E-2</v>
      </c>
      <c r="I1014">
        <f t="shared" si="173"/>
        <v>0.82989811748048226</v>
      </c>
      <c r="J1014">
        <f t="shared" si="174"/>
        <v>5.5122725771054773E-4</v>
      </c>
      <c r="K1014">
        <f t="shared" si="175"/>
        <v>0</v>
      </c>
      <c r="L1014">
        <f t="shared" si="167"/>
        <v>0.31707556422859073</v>
      </c>
      <c r="M1014">
        <f>IF(AND(MOD(C1014,12)=1,D1014&lt;='[1]Product parameters'!$C$2),I1013*[1]model_point!$G$2,0)</f>
        <v>0</v>
      </c>
      <c r="N1014">
        <f t="shared" si="168"/>
        <v>0</v>
      </c>
      <c r="O1014">
        <f>[2]results_sample_product_cf!G1013</f>
        <v>0</v>
      </c>
      <c r="P1014">
        <f>[2]results_sample_product_cf!H1013</f>
        <v>0</v>
      </c>
      <c r="Q1014">
        <f t="shared" si="169"/>
        <v>0</v>
      </c>
      <c r="R1014">
        <f t="shared" si="165"/>
        <v>0</v>
      </c>
    </row>
    <row r="1015" spans="1:18" x14ac:dyDescent="0.3">
      <c r="A1015">
        <f t="shared" si="170"/>
        <v>1012</v>
      </c>
      <c r="B1015">
        <f t="shared" si="171"/>
        <v>85</v>
      </c>
      <c r="C1015">
        <f t="shared" si="172"/>
        <v>1017</v>
      </c>
      <c r="D1015">
        <f t="shared" si="166"/>
        <v>85</v>
      </c>
      <c r="E1015">
        <f>[1]model_point!$C$2+D1015-1</f>
        <v>89</v>
      </c>
      <c r="F1015">
        <f>VLOOKUP(E1015,'[1]202512 BE mortality'!$A:$C,3,0)</f>
        <v>7.9362237730835929E-3</v>
      </c>
      <c r="G1015">
        <f>VLOOKUP(D1015,'[1]202512 BE lapse'!$C:$D,2,0)</f>
        <v>7.0906966588322696E-3</v>
      </c>
      <c r="H1015">
        <f>VLOOKUP($B1015,'[1]202512 RFR'!$A:$B,2,0)</f>
        <v>1.2E-2</v>
      </c>
      <c r="I1015">
        <f t="shared" si="173"/>
        <v>0.82934725611081961</v>
      </c>
      <c r="J1015">
        <f t="shared" si="174"/>
        <v>5.5086136966262726E-4</v>
      </c>
      <c r="K1015">
        <f t="shared" si="175"/>
        <v>0</v>
      </c>
      <c r="L1015">
        <f t="shared" si="167"/>
        <v>0.31676053263793008</v>
      </c>
      <c r="M1015">
        <f>IF(AND(MOD(C1015,12)=1,D1015&lt;='[1]Product parameters'!$C$2),I1014*[1]model_point!$G$2,0)</f>
        <v>0</v>
      </c>
      <c r="N1015">
        <f t="shared" si="168"/>
        <v>0</v>
      </c>
      <c r="O1015">
        <f>[2]results_sample_product_cf!G1014</f>
        <v>0</v>
      </c>
      <c r="P1015">
        <f>[2]results_sample_product_cf!H1014</f>
        <v>0</v>
      </c>
      <c r="Q1015">
        <f t="shared" si="169"/>
        <v>0</v>
      </c>
      <c r="R1015">
        <f t="shared" si="165"/>
        <v>0</v>
      </c>
    </row>
    <row r="1016" spans="1:18" x14ac:dyDescent="0.3">
      <c r="A1016">
        <f t="shared" si="170"/>
        <v>1013</v>
      </c>
      <c r="B1016">
        <f t="shared" si="171"/>
        <v>85</v>
      </c>
      <c r="C1016">
        <f t="shared" si="172"/>
        <v>1018</v>
      </c>
      <c r="D1016">
        <f t="shared" si="166"/>
        <v>85</v>
      </c>
      <c r="E1016">
        <f>[1]model_point!$C$2+D1016-1</f>
        <v>89</v>
      </c>
      <c r="F1016">
        <f>VLOOKUP(E1016,'[1]202512 BE mortality'!$A:$C,3,0)</f>
        <v>7.9362237730835929E-3</v>
      </c>
      <c r="G1016">
        <f>VLOOKUP(D1016,'[1]202512 BE lapse'!$C:$D,2,0)</f>
        <v>7.0906966588322696E-3</v>
      </c>
      <c r="H1016">
        <f>VLOOKUP($B1016,'[1]202512 RFR'!$A:$B,2,0)</f>
        <v>1.2E-2</v>
      </c>
      <c r="I1016">
        <f t="shared" si="173"/>
        <v>0.82879676038633943</v>
      </c>
      <c r="J1016">
        <f t="shared" si="174"/>
        <v>5.5049572448017065E-4</v>
      </c>
      <c r="K1016">
        <f t="shared" si="175"/>
        <v>0</v>
      </c>
      <c r="L1016">
        <f t="shared" si="167"/>
        <v>0.3164458140480626</v>
      </c>
      <c r="M1016">
        <f>IF(AND(MOD(C1016,12)=1,D1016&lt;='[1]Product parameters'!$C$2),I1015*[1]model_point!$G$2,0)</f>
        <v>0</v>
      </c>
      <c r="N1016">
        <f t="shared" si="168"/>
        <v>0</v>
      </c>
      <c r="O1016">
        <f>[2]results_sample_product_cf!G1015</f>
        <v>0</v>
      </c>
      <c r="P1016">
        <f>[2]results_sample_product_cf!H1015</f>
        <v>0</v>
      </c>
      <c r="Q1016">
        <f t="shared" si="169"/>
        <v>0</v>
      </c>
      <c r="R1016">
        <f t="shared" si="165"/>
        <v>0</v>
      </c>
    </row>
    <row r="1017" spans="1:18" x14ac:dyDescent="0.3">
      <c r="A1017">
        <f t="shared" si="170"/>
        <v>1014</v>
      </c>
      <c r="B1017">
        <f t="shared" si="171"/>
        <v>85</v>
      </c>
      <c r="C1017">
        <f t="shared" si="172"/>
        <v>1019</v>
      </c>
      <c r="D1017">
        <f t="shared" si="166"/>
        <v>85</v>
      </c>
      <c r="E1017">
        <f>[1]model_point!$C$2+D1017-1</f>
        <v>89</v>
      </c>
      <c r="F1017">
        <f>VLOOKUP(E1017,'[1]202512 BE mortality'!$A:$C,3,0)</f>
        <v>7.9362237730835929E-3</v>
      </c>
      <c r="G1017">
        <f>VLOOKUP(D1017,'[1]202512 BE lapse'!$C:$D,2,0)</f>
        <v>7.0906966588322696E-3</v>
      </c>
      <c r="H1017">
        <f>VLOOKUP($B1017,'[1]202512 RFR'!$A:$B,2,0)</f>
        <v>1.2E-2</v>
      </c>
      <c r="I1017">
        <f t="shared" si="173"/>
        <v>0.82824663006433741</v>
      </c>
      <c r="J1017">
        <f t="shared" si="174"/>
        <v>5.5013032200197101E-4</v>
      </c>
      <c r="K1017">
        <f t="shared" si="175"/>
        <v>0</v>
      </c>
      <c r="L1017">
        <f t="shared" si="167"/>
        <v>0.31613140814800528</v>
      </c>
      <c r="M1017">
        <f>IF(AND(MOD(C1017,12)=1,D1017&lt;='[1]Product parameters'!$C$2),I1016*[1]model_point!$G$2,0)</f>
        <v>0</v>
      </c>
      <c r="N1017">
        <f t="shared" si="168"/>
        <v>0</v>
      </c>
      <c r="O1017">
        <f>[2]results_sample_product_cf!G1016</f>
        <v>0</v>
      </c>
      <c r="P1017">
        <f>[2]results_sample_product_cf!H1016</f>
        <v>0</v>
      </c>
      <c r="Q1017">
        <f t="shared" si="169"/>
        <v>0</v>
      </c>
      <c r="R1017">
        <f t="shared" si="165"/>
        <v>0</v>
      </c>
    </row>
    <row r="1018" spans="1:18" x14ac:dyDescent="0.3">
      <c r="A1018">
        <f t="shared" si="170"/>
        <v>1015</v>
      </c>
      <c r="B1018">
        <f t="shared" si="171"/>
        <v>85</v>
      </c>
      <c r="C1018">
        <f t="shared" si="172"/>
        <v>1020</v>
      </c>
      <c r="D1018">
        <f t="shared" si="166"/>
        <v>85</v>
      </c>
      <c r="E1018">
        <f>[1]model_point!$C$2+D1018-1</f>
        <v>89</v>
      </c>
      <c r="F1018">
        <f>VLOOKUP(E1018,'[1]202512 BE mortality'!$A:$C,3,0)</f>
        <v>7.9362237730835929E-3</v>
      </c>
      <c r="G1018">
        <f>VLOOKUP(D1018,'[1]202512 BE lapse'!$C:$D,2,0)</f>
        <v>7.0906966588322696E-3</v>
      </c>
      <c r="H1018">
        <f>VLOOKUP($B1018,'[1]202512 RFR'!$A:$B,2,0)</f>
        <v>1.2E-2</v>
      </c>
      <c r="I1018">
        <f t="shared" si="173"/>
        <v>0.82182791750778195</v>
      </c>
      <c r="J1018">
        <f t="shared" si="174"/>
        <v>5.4976516206692858E-4</v>
      </c>
      <c r="K1018">
        <f t="shared" si="175"/>
        <v>5.8689473944884734E-3</v>
      </c>
      <c r="L1018">
        <f t="shared" si="167"/>
        <v>0.31581731462708396</v>
      </c>
      <c r="M1018">
        <f>IF(AND(MOD(C1018,12)=1,D1018&lt;='[1]Product parameters'!$C$2),I1017*[1]model_point!$G$2,0)</f>
        <v>0</v>
      </c>
      <c r="N1018">
        <f t="shared" si="168"/>
        <v>0</v>
      </c>
      <c r="O1018">
        <f>[2]results_sample_product_cf!G1017</f>
        <v>0</v>
      </c>
      <c r="P1018">
        <f>[2]results_sample_product_cf!H1017</f>
        <v>0</v>
      </c>
      <c r="Q1018">
        <f t="shared" si="169"/>
        <v>0</v>
      </c>
      <c r="R1018">
        <f t="shared" si="165"/>
        <v>0</v>
      </c>
    </row>
    <row r="1019" spans="1:18" x14ac:dyDescent="0.3">
      <c r="A1019">
        <f t="shared" si="170"/>
        <v>1016</v>
      </c>
      <c r="B1019">
        <f t="shared" si="171"/>
        <v>85</v>
      </c>
      <c r="C1019">
        <f t="shared" si="172"/>
        <v>1021</v>
      </c>
      <c r="D1019">
        <f t="shared" si="166"/>
        <v>86</v>
      </c>
      <c r="E1019">
        <f>[1]model_point!$C$2+D1019-1</f>
        <v>90</v>
      </c>
      <c r="F1019">
        <f>VLOOKUP(E1019,'[1]202512 BE mortality'!$A:$C,3,0)</f>
        <v>5.6225685761923808E-3</v>
      </c>
      <c r="G1019">
        <f>VLOOKUP(D1019,'[1]202512 BE lapse'!$C:$D,2,0)</f>
        <v>1.3832854860420529E-3</v>
      </c>
      <c r="H1019">
        <f>VLOOKUP($B1019,'[1]202512 RFR'!$A:$B,2,0)</f>
        <v>1.2E-2</v>
      </c>
      <c r="I1019">
        <f t="shared" si="173"/>
        <v>0.82144185629242894</v>
      </c>
      <c r="J1019">
        <f t="shared" si="174"/>
        <v>3.8606121535297063E-4</v>
      </c>
      <c r="K1019">
        <f t="shared" si="175"/>
        <v>0</v>
      </c>
      <c r="L1019">
        <f t="shared" si="167"/>
        <v>0.31550353317493324</v>
      </c>
      <c r="M1019">
        <f>IF(AND(MOD(C1019,12)=1,D1019&lt;='[1]Product parameters'!$C$2),I1018*[1]model_point!$G$2,0)</f>
        <v>0</v>
      </c>
      <c r="N1019">
        <f t="shared" si="168"/>
        <v>0</v>
      </c>
      <c r="O1019">
        <f>[2]results_sample_product_cf!G1018</f>
        <v>0</v>
      </c>
      <c r="P1019">
        <f>[2]results_sample_product_cf!H1018</f>
        <v>0</v>
      </c>
      <c r="Q1019">
        <f t="shared" si="169"/>
        <v>0</v>
      </c>
      <c r="R1019">
        <f t="shared" si="165"/>
        <v>0</v>
      </c>
    </row>
    <row r="1020" spans="1:18" x14ac:dyDescent="0.3">
      <c r="A1020">
        <f t="shared" si="170"/>
        <v>1017</v>
      </c>
      <c r="B1020">
        <f t="shared" si="171"/>
        <v>85</v>
      </c>
      <c r="C1020">
        <f t="shared" si="172"/>
        <v>1022</v>
      </c>
      <c r="D1020">
        <f t="shared" si="166"/>
        <v>86</v>
      </c>
      <c r="E1020">
        <f>[1]model_point!$C$2+D1020-1</f>
        <v>90</v>
      </c>
      <c r="F1020">
        <f>VLOOKUP(E1020,'[1]202512 BE mortality'!$A:$C,3,0)</f>
        <v>5.6225685761923808E-3</v>
      </c>
      <c r="G1020">
        <f>VLOOKUP(D1020,'[1]202512 BE lapse'!$C:$D,2,0)</f>
        <v>1.3832854860420529E-3</v>
      </c>
      <c r="H1020">
        <f>VLOOKUP($B1020,'[1]202512 RFR'!$A:$B,2,0)</f>
        <v>1.2E-2</v>
      </c>
      <c r="I1020">
        <f t="shared" si="173"/>
        <v>0.82105597643287909</v>
      </c>
      <c r="J1020">
        <f t="shared" si="174"/>
        <v>3.8587985954985821E-4</v>
      </c>
      <c r="K1020">
        <f t="shared" si="175"/>
        <v>0</v>
      </c>
      <c r="L1020">
        <f t="shared" si="167"/>
        <v>0.31519006348149603</v>
      </c>
      <c r="M1020">
        <f>IF(AND(MOD(C1020,12)=1,D1020&lt;='[1]Product parameters'!$C$2),I1019*[1]model_point!$G$2,0)</f>
        <v>0</v>
      </c>
      <c r="N1020">
        <f t="shared" si="168"/>
        <v>0</v>
      </c>
      <c r="O1020">
        <f>[2]results_sample_product_cf!G1019</f>
        <v>0</v>
      </c>
      <c r="P1020">
        <f>[2]results_sample_product_cf!H1019</f>
        <v>0</v>
      </c>
      <c r="Q1020">
        <f t="shared" si="169"/>
        <v>0</v>
      </c>
      <c r="R1020">
        <f t="shared" si="165"/>
        <v>0</v>
      </c>
    </row>
    <row r="1021" spans="1:18" x14ac:dyDescent="0.3">
      <c r="A1021">
        <f t="shared" si="170"/>
        <v>1018</v>
      </c>
      <c r="B1021">
        <f t="shared" si="171"/>
        <v>85</v>
      </c>
      <c r="C1021">
        <f t="shared" si="172"/>
        <v>1023</v>
      </c>
      <c r="D1021">
        <f t="shared" si="166"/>
        <v>86</v>
      </c>
      <c r="E1021">
        <f>[1]model_point!$C$2+D1021-1</f>
        <v>90</v>
      </c>
      <c r="F1021">
        <f>VLOOKUP(E1021,'[1]202512 BE mortality'!$A:$C,3,0)</f>
        <v>5.6225685761923808E-3</v>
      </c>
      <c r="G1021">
        <f>VLOOKUP(D1021,'[1]202512 BE lapse'!$C:$D,2,0)</f>
        <v>1.3832854860420529E-3</v>
      </c>
      <c r="H1021">
        <f>VLOOKUP($B1021,'[1]202512 RFR'!$A:$B,2,0)</f>
        <v>1.2E-2</v>
      </c>
      <c r="I1021">
        <f t="shared" si="173"/>
        <v>0.82067027784393876</v>
      </c>
      <c r="J1021">
        <f t="shared" si="174"/>
        <v>3.8569858894030068E-4</v>
      </c>
      <c r="K1021">
        <f t="shared" si="175"/>
        <v>0</v>
      </c>
      <c r="L1021">
        <f t="shared" si="167"/>
        <v>0.31487690523702333</v>
      </c>
      <c r="M1021">
        <f>IF(AND(MOD(C1021,12)=1,D1021&lt;='[1]Product parameters'!$C$2),I1020*[1]model_point!$G$2,0)</f>
        <v>0</v>
      </c>
      <c r="N1021">
        <f t="shared" si="168"/>
        <v>0</v>
      </c>
      <c r="O1021">
        <f>[2]results_sample_product_cf!G1020</f>
        <v>0</v>
      </c>
      <c r="P1021">
        <f>[2]results_sample_product_cf!H1020</f>
        <v>0</v>
      </c>
      <c r="Q1021">
        <f t="shared" si="169"/>
        <v>0</v>
      </c>
      <c r="R1021">
        <f t="shared" si="165"/>
        <v>0</v>
      </c>
    </row>
    <row r="1022" spans="1:18" x14ac:dyDescent="0.3">
      <c r="A1022">
        <f t="shared" si="170"/>
        <v>1019</v>
      </c>
      <c r="B1022">
        <f t="shared" si="171"/>
        <v>85</v>
      </c>
      <c r="C1022">
        <f t="shared" si="172"/>
        <v>1024</v>
      </c>
      <c r="D1022">
        <f t="shared" si="166"/>
        <v>86</v>
      </c>
      <c r="E1022">
        <f>[1]model_point!$C$2+D1022-1</f>
        <v>90</v>
      </c>
      <c r="F1022">
        <f>VLOOKUP(E1022,'[1]202512 BE mortality'!$A:$C,3,0)</f>
        <v>5.6225685761923808E-3</v>
      </c>
      <c r="G1022">
        <f>VLOOKUP(D1022,'[1]202512 BE lapse'!$C:$D,2,0)</f>
        <v>1.3832854860420529E-3</v>
      </c>
      <c r="H1022">
        <f>VLOOKUP($B1022,'[1]202512 RFR'!$A:$B,2,0)</f>
        <v>1.2E-2</v>
      </c>
      <c r="I1022">
        <f t="shared" si="173"/>
        <v>0.82028476044045451</v>
      </c>
      <c r="J1022">
        <f t="shared" si="174"/>
        <v>3.855174034842775E-4</v>
      </c>
      <c r="K1022">
        <f t="shared" si="175"/>
        <v>0</v>
      </c>
      <c r="L1022">
        <f t="shared" si="167"/>
        <v>0.31456405813207389</v>
      </c>
      <c r="M1022">
        <f>IF(AND(MOD(C1022,12)=1,D1022&lt;='[1]Product parameters'!$C$2),I1021*[1]model_point!$G$2,0)</f>
        <v>0</v>
      </c>
      <c r="N1022">
        <f t="shared" si="168"/>
        <v>0</v>
      </c>
      <c r="O1022">
        <f>[2]results_sample_product_cf!G1021</f>
        <v>0</v>
      </c>
      <c r="P1022">
        <f>[2]results_sample_product_cf!H1021</f>
        <v>0</v>
      </c>
      <c r="Q1022">
        <f t="shared" si="169"/>
        <v>0</v>
      </c>
      <c r="R1022">
        <f t="shared" si="165"/>
        <v>0</v>
      </c>
    </row>
    <row r="1023" spans="1:18" x14ac:dyDescent="0.3">
      <c r="A1023">
        <f t="shared" si="170"/>
        <v>1020</v>
      </c>
      <c r="B1023">
        <f t="shared" si="171"/>
        <v>85</v>
      </c>
      <c r="C1023">
        <f t="shared" si="172"/>
        <v>1025</v>
      </c>
      <c r="D1023">
        <f t="shared" si="166"/>
        <v>86</v>
      </c>
      <c r="E1023">
        <f>[1]model_point!$C$2+D1023-1</f>
        <v>90</v>
      </c>
      <c r="F1023">
        <f>VLOOKUP(E1023,'[1]202512 BE mortality'!$A:$C,3,0)</f>
        <v>5.6225685761923808E-3</v>
      </c>
      <c r="G1023">
        <f>VLOOKUP(D1023,'[1]202512 BE lapse'!$C:$D,2,0)</f>
        <v>1.3832854860420529E-3</v>
      </c>
      <c r="H1023">
        <f>VLOOKUP($B1023,'[1]202512 RFR'!$A:$B,2,0)</f>
        <v>1.2E-2</v>
      </c>
      <c r="I1023">
        <f t="shared" si="173"/>
        <v>0.81989942413731276</v>
      </c>
      <c r="J1023">
        <f t="shared" si="174"/>
        <v>3.8533630314178707E-4</v>
      </c>
      <c r="K1023">
        <f t="shared" si="175"/>
        <v>0</v>
      </c>
      <c r="L1023">
        <f t="shared" si="167"/>
        <v>0.31425152185751387</v>
      </c>
      <c r="M1023">
        <f>IF(AND(MOD(C1023,12)=1,D1023&lt;='[1]Product parameters'!$C$2),I1022*[1]model_point!$G$2,0)</f>
        <v>0</v>
      </c>
      <c r="N1023">
        <f t="shared" si="168"/>
        <v>0</v>
      </c>
      <c r="O1023">
        <f>[2]results_sample_product_cf!G1022</f>
        <v>0</v>
      </c>
      <c r="P1023">
        <f>[2]results_sample_product_cf!H1022</f>
        <v>0</v>
      </c>
      <c r="Q1023">
        <f t="shared" si="169"/>
        <v>0</v>
      </c>
      <c r="R1023">
        <f t="shared" si="165"/>
        <v>0</v>
      </c>
    </row>
    <row r="1024" spans="1:18" x14ac:dyDescent="0.3">
      <c r="A1024">
        <f t="shared" si="170"/>
        <v>1021</v>
      </c>
      <c r="B1024">
        <f t="shared" si="171"/>
        <v>86</v>
      </c>
      <c r="C1024">
        <f t="shared" si="172"/>
        <v>1026</v>
      </c>
      <c r="D1024">
        <f t="shared" si="166"/>
        <v>86</v>
      </c>
      <c r="E1024">
        <f>[1]model_point!$C$2+D1024-1</f>
        <v>90</v>
      </c>
      <c r="F1024">
        <f>VLOOKUP(E1024,'[1]202512 BE mortality'!$A:$C,3,0)</f>
        <v>5.6225685761923808E-3</v>
      </c>
      <c r="G1024">
        <f>VLOOKUP(D1024,'[1]202512 BE lapse'!$C:$D,2,0)</f>
        <v>1.3832854860420529E-3</v>
      </c>
      <c r="H1024">
        <f>VLOOKUP($B1024,'[1]202512 RFR'!$A:$B,2,0)</f>
        <v>1.2E-2</v>
      </c>
      <c r="I1024">
        <f t="shared" si="173"/>
        <v>0.8195142688494399</v>
      </c>
      <c r="J1024">
        <f t="shared" si="174"/>
        <v>3.8515528787284653E-4</v>
      </c>
      <c r="K1024">
        <f t="shared" si="175"/>
        <v>0</v>
      </c>
      <c r="L1024">
        <f t="shared" si="167"/>
        <v>0.3139392961045166</v>
      </c>
      <c r="M1024">
        <f>IF(AND(MOD(C1024,12)=1,D1024&lt;='[1]Product parameters'!$C$2),I1023*[1]model_point!$G$2,0)</f>
        <v>0</v>
      </c>
      <c r="N1024">
        <f t="shared" si="168"/>
        <v>0</v>
      </c>
      <c r="O1024">
        <f>[2]results_sample_product_cf!G1023</f>
        <v>0</v>
      </c>
      <c r="P1024">
        <f>[2]results_sample_product_cf!H1023</f>
        <v>0</v>
      </c>
      <c r="Q1024">
        <f t="shared" si="169"/>
        <v>0</v>
      </c>
      <c r="R1024">
        <f t="shared" si="165"/>
        <v>0</v>
      </c>
    </row>
    <row r="1025" spans="1:18" x14ac:dyDescent="0.3">
      <c r="A1025">
        <f t="shared" si="170"/>
        <v>1022</v>
      </c>
      <c r="B1025">
        <f t="shared" si="171"/>
        <v>86</v>
      </c>
      <c r="C1025">
        <f t="shared" si="172"/>
        <v>1027</v>
      </c>
      <c r="D1025">
        <f t="shared" si="166"/>
        <v>86</v>
      </c>
      <c r="E1025">
        <f>[1]model_point!$C$2+D1025-1</f>
        <v>90</v>
      </c>
      <c r="F1025">
        <f>VLOOKUP(E1025,'[1]202512 BE mortality'!$A:$C,3,0)</f>
        <v>5.6225685761923808E-3</v>
      </c>
      <c r="G1025">
        <f>VLOOKUP(D1025,'[1]202512 BE lapse'!$C:$D,2,0)</f>
        <v>1.3832854860420529E-3</v>
      </c>
      <c r="H1025">
        <f>VLOOKUP($B1025,'[1]202512 RFR'!$A:$B,2,0)</f>
        <v>1.2E-2</v>
      </c>
      <c r="I1025">
        <f t="shared" si="173"/>
        <v>0.81912929449180238</v>
      </c>
      <c r="J1025">
        <f t="shared" si="174"/>
        <v>3.8497435763749173E-4</v>
      </c>
      <c r="K1025">
        <f t="shared" si="175"/>
        <v>0</v>
      </c>
      <c r="L1025">
        <f t="shared" si="167"/>
        <v>0.31362738056456224</v>
      </c>
      <c r="M1025">
        <f>IF(AND(MOD(C1025,12)=1,D1025&lt;='[1]Product parameters'!$C$2),I1024*[1]model_point!$G$2,0)</f>
        <v>0</v>
      </c>
      <c r="N1025">
        <f t="shared" si="168"/>
        <v>0</v>
      </c>
      <c r="O1025">
        <f>[2]results_sample_product_cf!G1024</f>
        <v>0</v>
      </c>
      <c r="P1025">
        <f>[2]results_sample_product_cf!H1024</f>
        <v>0</v>
      </c>
      <c r="Q1025">
        <f t="shared" si="169"/>
        <v>0</v>
      </c>
      <c r="R1025">
        <f t="shared" si="165"/>
        <v>0</v>
      </c>
    </row>
    <row r="1026" spans="1:18" x14ac:dyDescent="0.3">
      <c r="A1026">
        <f t="shared" si="170"/>
        <v>1023</v>
      </c>
      <c r="B1026">
        <f t="shared" si="171"/>
        <v>86</v>
      </c>
      <c r="C1026">
        <f t="shared" si="172"/>
        <v>1028</v>
      </c>
      <c r="D1026">
        <f t="shared" si="166"/>
        <v>86</v>
      </c>
      <c r="E1026">
        <f>[1]model_point!$C$2+D1026-1</f>
        <v>90</v>
      </c>
      <c r="F1026">
        <f>VLOOKUP(E1026,'[1]202512 BE mortality'!$A:$C,3,0)</f>
        <v>5.6225685761923808E-3</v>
      </c>
      <c r="G1026">
        <f>VLOOKUP(D1026,'[1]202512 BE lapse'!$C:$D,2,0)</f>
        <v>1.3832854860420529E-3</v>
      </c>
      <c r="H1026">
        <f>VLOOKUP($B1026,'[1]202512 RFR'!$A:$B,2,0)</f>
        <v>1.2E-2</v>
      </c>
      <c r="I1026">
        <f t="shared" si="173"/>
        <v>0.81874450097940665</v>
      </c>
      <c r="J1026">
        <f t="shared" si="174"/>
        <v>3.8479351239577742E-4</v>
      </c>
      <c r="K1026">
        <f t="shared" si="175"/>
        <v>0</v>
      </c>
      <c r="L1026">
        <f t="shared" si="167"/>
        <v>0.31331577492943746</v>
      </c>
      <c r="M1026">
        <f>IF(AND(MOD(C1026,12)=1,D1026&lt;='[1]Product parameters'!$C$2),I1025*[1]model_point!$G$2,0)</f>
        <v>0</v>
      </c>
      <c r="N1026">
        <f t="shared" si="168"/>
        <v>0</v>
      </c>
      <c r="O1026">
        <f>[2]results_sample_product_cf!G1025</f>
        <v>0</v>
      </c>
      <c r="P1026">
        <f>[2]results_sample_product_cf!H1025</f>
        <v>0</v>
      </c>
      <c r="Q1026">
        <f t="shared" si="169"/>
        <v>0</v>
      </c>
      <c r="R1026">
        <f t="shared" si="165"/>
        <v>0</v>
      </c>
    </row>
    <row r="1027" spans="1:18" x14ac:dyDescent="0.3">
      <c r="A1027">
        <f t="shared" si="170"/>
        <v>1024</v>
      </c>
      <c r="B1027">
        <f t="shared" si="171"/>
        <v>86</v>
      </c>
      <c r="C1027">
        <f t="shared" si="172"/>
        <v>1029</v>
      </c>
      <c r="D1027">
        <f t="shared" si="166"/>
        <v>86</v>
      </c>
      <c r="E1027">
        <f>[1]model_point!$C$2+D1027-1</f>
        <v>90</v>
      </c>
      <c r="F1027">
        <f>VLOOKUP(E1027,'[1]202512 BE mortality'!$A:$C,3,0)</f>
        <v>5.6225685761923808E-3</v>
      </c>
      <c r="G1027">
        <f>VLOOKUP(D1027,'[1]202512 BE lapse'!$C:$D,2,0)</f>
        <v>1.3832854860420529E-3</v>
      </c>
      <c r="H1027">
        <f>VLOOKUP($B1027,'[1]202512 RFR'!$A:$B,2,0)</f>
        <v>1.2E-2</v>
      </c>
      <c r="I1027">
        <f t="shared" si="173"/>
        <v>0.81835988822729888</v>
      </c>
      <c r="J1027">
        <f t="shared" si="174"/>
        <v>3.8461275210777704E-4</v>
      </c>
      <c r="K1027">
        <f t="shared" si="175"/>
        <v>0</v>
      </c>
      <c r="L1027">
        <f t="shared" si="167"/>
        <v>0.31300447889123523</v>
      </c>
      <c r="M1027">
        <f>IF(AND(MOD(C1027,12)=1,D1027&lt;='[1]Product parameters'!$C$2),I1026*[1]model_point!$G$2,0)</f>
        <v>0</v>
      </c>
      <c r="N1027">
        <f t="shared" si="168"/>
        <v>0</v>
      </c>
      <c r="O1027">
        <f>[2]results_sample_product_cf!G1026</f>
        <v>0</v>
      </c>
      <c r="P1027">
        <f>[2]results_sample_product_cf!H1026</f>
        <v>0</v>
      </c>
      <c r="Q1027">
        <f t="shared" si="169"/>
        <v>0</v>
      </c>
      <c r="R1027">
        <f t="shared" ref="R1027:R1090" si="176">ROUND(N1027-P1027,6)</f>
        <v>0</v>
      </c>
    </row>
    <row r="1028" spans="1:18" x14ac:dyDescent="0.3">
      <c r="A1028">
        <f t="shared" si="170"/>
        <v>1025</v>
      </c>
      <c r="B1028">
        <f t="shared" si="171"/>
        <v>86</v>
      </c>
      <c r="C1028">
        <f t="shared" si="172"/>
        <v>1030</v>
      </c>
      <c r="D1028">
        <f t="shared" ref="D1028:D1091" si="177">TRUNC((C1028-1)/12,0)+1</f>
        <v>86</v>
      </c>
      <c r="E1028">
        <f>[1]model_point!$C$2+D1028-1</f>
        <v>90</v>
      </c>
      <c r="F1028">
        <f>VLOOKUP(E1028,'[1]202512 BE mortality'!$A:$C,3,0)</f>
        <v>5.6225685761923808E-3</v>
      </c>
      <c r="G1028">
        <f>VLOOKUP(D1028,'[1]202512 BE lapse'!$C:$D,2,0)</f>
        <v>1.3832854860420529E-3</v>
      </c>
      <c r="H1028">
        <f>VLOOKUP($B1028,'[1]202512 RFR'!$A:$B,2,0)</f>
        <v>1.2E-2</v>
      </c>
      <c r="I1028">
        <f t="shared" si="173"/>
        <v>0.81797545615056533</v>
      </c>
      <c r="J1028">
        <f t="shared" si="174"/>
        <v>3.8443207673358285E-4</v>
      </c>
      <c r="K1028">
        <f t="shared" si="175"/>
        <v>0</v>
      </c>
      <c r="L1028">
        <f t="shared" ref="L1028:L1091" si="178">L1027/(1+H1028)^(1/12)</f>
        <v>0.31269349214235437</v>
      </c>
      <c r="M1028">
        <f>IF(AND(MOD(C1028,12)=1,D1028&lt;='[1]Product parameters'!$C$2),I1027*[1]model_point!$G$2,0)</f>
        <v>0</v>
      </c>
      <c r="N1028">
        <f t="shared" ref="N1028:N1091" si="179">SUMPRODUCT(L1028:L2227,M1029:M2228)/L1028</f>
        <v>0</v>
      </c>
      <c r="O1028">
        <f>[2]results_sample_product_cf!G1027</f>
        <v>0</v>
      </c>
      <c r="P1028">
        <f>[2]results_sample_product_cf!H1027</f>
        <v>0</v>
      </c>
      <c r="Q1028">
        <f t="shared" ref="Q1028:Q1091" si="180">ROUND(M1028-O1028,6)</f>
        <v>0</v>
      </c>
      <c r="R1028">
        <f t="shared" si="176"/>
        <v>0</v>
      </c>
    </row>
    <row r="1029" spans="1:18" x14ac:dyDescent="0.3">
      <c r="A1029">
        <f t="shared" ref="A1029:A1092" si="181">A1028+1</f>
        <v>1026</v>
      </c>
      <c r="B1029">
        <f t="shared" ref="B1029:B1092" si="182">INT((A1029-1)/12)+1</f>
        <v>86</v>
      </c>
      <c r="C1029">
        <f t="shared" ref="C1029:C1092" si="183">C1028+1</f>
        <v>1031</v>
      </c>
      <c r="D1029">
        <f t="shared" si="177"/>
        <v>86</v>
      </c>
      <c r="E1029">
        <f>[1]model_point!$C$2+D1029-1</f>
        <v>90</v>
      </c>
      <c r="F1029">
        <f>VLOOKUP(E1029,'[1]202512 BE mortality'!$A:$C,3,0)</f>
        <v>5.6225685761923808E-3</v>
      </c>
      <c r="G1029">
        <f>VLOOKUP(D1029,'[1]202512 BE lapse'!$C:$D,2,0)</f>
        <v>1.3832854860420529E-3</v>
      </c>
      <c r="H1029">
        <f>VLOOKUP($B1029,'[1]202512 RFR'!$A:$B,2,0)</f>
        <v>1.2E-2</v>
      </c>
      <c r="I1029">
        <f t="shared" ref="I1029:I1092" si="184">I1028-J1029-K1029</f>
        <v>0.81759120466433199</v>
      </c>
      <c r="J1029">
        <f t="shared" ref="J1029:J1092" si="185">I1028*(1-(1-F1029)^(1/12))</f>
        <v>3.8425148623330574E-4</v>
      </c>
      <c r="K1029">
        <f t="shared" ref="K1029:K1092" si="186">(I1028-J1029)*IF(MOD(C1029,12)=0,G1029,0)</f>
        <v>0</v>
      </c>
      <c r="L1029">
        <f t="shared" si="178"/>
        <v>0.31238281437549931</v>
      </c>
      <c r="M1029">
        <f>IF(AND(MOD(C1029,12)=1,D1029&lt;='[1]Product parameters'!$C$2),I1028*[1]model_point!$G$2,0)</f>
        <v>0</v>
      </c>
      <c r="N1029">
        <f t="shared" si="179"/>
        <v>0</v>
      </c>
      <c r="O1029">
        <f>[2]results_sample_product_cf!G1028</f>
        <v>0</v>
      </c>
      <c r="P1029">
        <f>[2]results_sample_product_cf!H1028</f>
        <v>0</v>
      </c>
      <c r="Q1029">
        <f t="shared" si="180"/>
        <v>0</v>
      </c>
      <c r="R1029">
        <f t="shared" si="176"/>
        <v>0</v>
      </c>
    </row>
    <row r="1030" spans="1:18" x14ac:dyDescent="0.3">
      <c r="A1030">
        <f t="shared" si="181"/>
        <v>1027</v>
      </c>
      <c r="B1030">
        <f t="shared" si="182"/>
        <v>86</v>
      </c>
      <c r="C1030">
        <f t="shared" si="183"/>
        <v>1032</v>
      </c>
      <c r="D1030">
        <f t="shared" si="177"/>
        <v>86</v>
      </c>
      <c r="E1030">
        <f>[1]model_point!$C$2+D1030-1</f>
        <v>90</v>
      </c>
      <c r="F1030">
        <f>VLOOKUP(E1030,'[1]202512 BE mortality'!$A:$C,3,0)</f>
        <v>5.6225685761923808E-3</v>
      </c>
      <c r="G1030">
        <f>VLOOKUP(D1030,'[1]202512 BE lapse'!$C:$D,2,0)</f>
        <v>1.3832854860420529E-3</v>
      </c>
      <c r="H1030">
        <f>VLOOKUP($B1030,'[1]202512 RFR'!$A:$B,2,0)</f>
        <v>1.2E-2</v>
      </c>
      <c r="I1030">
        <f t="shared" si="184"/>
        <v>0.81607670291665013</v>
      </c>
      <c r="J1030">
        <f t="shared" si="185"/>
        <v>3.8407098056707543E-4</v>
      </c>
      <c r="K1030">
        <f t="shared" si="186"/>
        <v>1.1304307671147797E-3</v>
      </c>
      <c r="L1030">
        <f t="shared" si="178"/>
        <v>0.31207244528367983</v>
      </c>
      <c r="M1030">
        <f>IF(AND(MOD(C1030,12)=1,D1030&lt;='[1]Product parameters'!$C$2),I1029*[1]model_point!$G$2,0)</f>
        <v>0</v>
      </c>
      <c r="N1030">
        <f t="shared" si="179"/>
        <v>0</v>
      </c>
      <c r="O1030">
        <f>[2]results_sample_product_cf!G1029</f>
        <v>0</v>
      </c>
      <c r="P1030">
        <f>[2]results_sample_product_cf!H1029</f>
        <v>0</v>
      </c>
      <c r="Q1030">
        <f t="shared" si="180"/>
        <v>0</v>
      </c>
      <c r="R1030">
        <f t="shared" si="176"/>
        <v>0</v>
      </c>
    </row>
    <row r="1031" spans="1:18" x14ac:dyDescent="0.3">
      <c r="A1031">
        <f t="shared" si="181"/>
        <v>1028</v>
      </c>
      <c r="B1031">
        <f t="shared" si="182"/>
        <v>86</v>
      </c>
      <c r="C1031">
        <f t="shared" si="183"/>
        <v>1033</v>
      </c>
      <c r="D1031">
        <f t="shared" si="177"/>
        <v>87</v>
      </c>
      <c r="E1031">
        <f>[1]model_point!$C$2+D1031-1</f>
        <v>91</v>
      </c>
      <c r="F1031">
        <f>VLOOKUP(E1031,'[1]202512 BE mortality'!$A:$C,3,0)</f>
        <v>7.8671350433967731E-3</v>
      </c>
      <c r="G1031">
        <f>VLOOKUP(D1031,'[1]202512 BE lapse'!$C:$D,2,0)</f>
        <v>7.6934762682625444E-3</v>
      </c>
      <c r="H1031">
        <f>VLOOKUP($B1031,'[1]202512 RFR'!$A:$B,2,0)</f>
        <v>1.2E-2</v>
      </c>
      <c r="I1031">
        <f t="shared" si="184"/>
        <v>0.81553974855255884</v>
      </c>
      <c r="J1031">
        <f t="shared" si="185"/>
        <v>5.3695436409131826E-4</v>
      </c>
      <c r="K1031">
        <f t="shared" si="186"/>
        <v>0</v>
      </c>
      <c r="L1031">
        <f t="shared" si="178"/>
        <v>0.31176238456021077</v>
      </c>
      <c r="M1031">
        <f>IF(AND(MOD(C1031,12)=1,D1031&lt;='[1]Product parameters'!$C$2),I1030*[1]model_point!$G$2,0)</f>
        <v>0</v>
      </c>
      <c r="N1031">
        <f t="shared" si="179"/>
        <v>0</v>
      </c>
      <c r="O1031">
        <f>[2]results_sample_product_cf!G1030</f>
        <v>0</v>
      </c>
      <c r="P1031">
        <f>[2]results_sample_product_cf!H1030</f>
        <v>0</v>
      </c>
      <c r="Q1031">
        <f t="shared" si="180"/>
        <v>0</v>
      </c>
      <c r="R1031">
        <f t="shared" si="176"/>
        <v>0</v>
      </c>
    </row>
    <row r="1032" spans="1:18" x14ac:dyDescent="0.3">
      <c r="A1032">
        <f t="shared" si="181"/>
        <v>1029</v>
      </c>
      <c r="B1032">
        <f t="shared" si="182"/>
        <v>86</v>
      </c>
      <c r="C1032">
        <f t="shared" si="183"/>
        <v>1034</v>
      </c>
      <c r="D1032">
        <f t="shared" si="177"/>
        <v>87</v>
      </c>
      <c r="E1032">
        <f>[1]model_point!$C$2+D1032-1</f>
        <v>91</v>
      </c>
      <c r="F1032">
        <f>VLOOKUP(E1032,'[1]202512 BE mortality'!$A:$C,3,0)</f>
        <v>7.8671350433967731E-3</v>
      </c>
      <c r="G1032">
        <f>VLOOKUP(D1032,'[1]202512 BE lapse'!$C:$D,2,0)</f>
        <v>7.6934762682625444E-3</v>
      </c>
      <c r="H1032">
        <f>VLOOKUP($B1032,'[1]202512 RFR'!$A:$B,2,0)</f>
        <v>1.2E-2</v>
      </c>
      <c r="I1032">
        <f t="shared" si="184"/>
        <v>0.81500314748857783</v>
      </c>
      <c r="J1032">
        <f t="shared" si="185"/>
        <v>5.3660106398106366E-4</v>
      </c>
      <c r="K1032">
        <f t="shared" si="186"/>
        <v>0</v>
      </c>
      <c r="L1032">
        <f t="shared" si="178"/>
        <v>0.31145263189871158</v>
      </c>
      <c r="M1032">
        <f>IF(AND(MOD(C1032,12)=1,D1032&lt;='[1]Product parameters'!$C$2),I1031*[1]model_point!$G$2,0)</f>
        <v>0</v>
      </c>
      <c r="N1032">
        <f t="shared" si="179"/>
        <v>0</v>
      </c>
      <c r="O1032">
        <f>[2]results_sample_product_cf!G1031</f>
        <v>0</v>
      </c>
      <c r="P1032">
        <f>[2]results_sample_product_cf!H1031</f>
        <v>0</v>
      </c>
      <c r="Q1032">
        <f t="shared" si="180"/>
        <v>0</v>
      </c>
      <c r="R1032">
        <f t="shared" si="176"/>
        <v>0</v>
      </c>
    </row>
    <row r="1033" spans="1:18" x14ac:dyDescent="0.3">
      <c r="A1033">
        <f t="shared" si="181"/>
        <v>1030</v>
      </c>
      <c r="B1033">
        <f t="shared" si="182"/>
        <v>86</v>
      </c>
      <c r="C1033">
        <f t="shared" si="183"/>
        <v>1035</v>
      </c>
      <c r="D1033">
        <f t="shared" si="177"/>
        <v>87</v>
      </c>
      <c r="E1033">
        <f>[1]model_point!$C$2+D1033-1</f>
        <v>91</v>
      </c>
      <c r="F1033">
        <f>VLOOKUP(E1033,'[1]202512 BE mortality'!$A:$C,3,0)</f>
        <v>7.8671350433967731E-3</v>
      </c>
      <c r="G1033">
        <f>VLOOKUP(D1033,'[1]202512 BE lapse'!$C:$D,2,0)</f>
        <v>7.6934762682625444E-3</v>
      </c>
      <c r="H1033">
        <f>VLOOKUP($B1033,'[1]202512 RFR'!$A:$B,2,0)</f>
        <v>1.2E-2</v>
      </c>
      <c r="I1033">
        <f t="shared" si="184"/>
        <v>0.81446689949224593</v>
      </c>
      <c r="J1033">
        <f t="shared" si="185"/>
        <v>5.3624799633184526E-4</v>
      </c>
      <c r="K1033">
        <f t="shared" si="186"/>
        <v>0</v>
      </c>
      <c r="L1033">
        <f t="shared" si="178"/>
        <v>0.31114318699310617</v>
      </c>
      <c r="M1033">
        <f>IF(AND(MOD(C1033,12)=1,D1033&lt;='[1]Product parameters'!$C$2),I1032*[1]model_point!$G$2,0)</f>
        <v>0</v>
      </c>
      <c r="N1033">
        <f t="shared" si="179"/>
        <v>0</v>
      </c>
      <c r="O1033">
        <f>[2]results_sample_product_cf!G1032</f>
        <v>0</v>
      </c>
      <c r="P1033">
        <f>[2]results_sample_product_cf!H1032</f>
        <v>0</v>
      </c>
      <c r="Q1033">
        <f t="shared" si="180"/>
        <v>0</v>
      </c>
      <c r="R1033">
        <f t="shared" si="176"/>
        <v>0</v>
      </c>
    </row>
    <row r="1034" spans="1:18" x14ac:dyDescent="0.3">
      <c r="A1034">
        <f t="shared" si="181"/>
        <v>1031</v>
      </c>
      <c r="B1034">
        <f t="shared" si="182"/>
        <v>86</v>
      </c>
      <c r="C1034">
        <f t="shared" si="183"/>
        <v>1036</v>
      </c>
      <c r="D1034">
        <f t="shared" si="177"/>
        <v>87</v>
      </c>
      <c r="E1034">
        <f>[1]model_point!$C$2+D1034-1</f>
        <v>91</v>
      </c>
      <c r="F1034">
        <f>VLOOKUP(E1034,'[1]202512 BE mortality'!$A:$C,3,0)</f>
        <v>7.8671350433967731E-3</v>
      </c>
      <c r="G1034">
        <f>VLOOKUP(D1034,'[1]202512 BE lapse'!$C:$D,2,0)</f>
        <v>7.6934762682625444E-3</v>
      </c>
      <c r="H1034">
        <f>VLOOKUP($B1034,'[1]202512 RFR'!$A:$B,2,0)</f>
        <v>1.2E-2</v>
      </c>
      <c r="I1034">
        <f t="shared" si="184"/>
        <v>0.8139310043312552</v>
      </c>
      <c r="J1034">
        <f t="shared" si="185"/>
        <v>5.3589516099071066E-4</v>
      </c>
      <c r="K1034">
        <f t="shared" si="186"/>
        <v>0</v>
      </c>
      <c r="L1034">
        <f t="shared" si="178"/>
        <v>0.3108340495376225</v>
      </c>
      <c r="M1034">
        <f>IF(AND(MOD(C1034,12)=1,D1034&lt;='[1]Product parameters'!$C$2),I1033*[1]model_point!$G$2,0)</f>
        <v>0</v>
      </c>
      <c r="N1034">
        <f t="shared" si="179"/>
        <v>0</v>
      </c>
      <c r="O1034">
        <f>[2]results_sample_product_cf!G1033</f>
        <v>0</v>
      </c>
      <c r="P1034">
        <f>[2]results_sample_product_cf!H1033</f>
        <v>0</v>
      </c>
      <c r="Q1034">
        <f t="shared" si="180"/>
        <v>0</v>
      </c>
      <c r="R1034">
        <f t="shared" si="176"/>
        <v>0</v>
      </c>
    </row>
    <row r="1035" spans="1:18" x14ac:dyDescent="0.3">
      <c r="A1035">
        <f t="shared" si="181"/>
        <v>1032</v>
      </c>
      <c r="B1035">
        <f t="shared" si="182"/>
        <v>86</v>
      </c>
      <c r="C1035">
        <f t="shared" si="183"/>
        <v>1037</v>
      </c>
      <c r="D1035">
        <f t="shared" si="177"/>
        <v>87</v>
      </c>
      <c r="E1035">
        <f>[1]model_point!$C$2+D1035-1</f>
        <v>91</v>
      </c>
      <c r="F1035">
        <f>VLOOKUP(E1035,'[1]202512 BE mortality'!$A:$C,3,0)</f>
        <v>7.8671350433967731E-3</v>
      </c>
      <c r="G1035">
        <f>VLOOKUP(D1035,'[1]202512 BE lapse'!$C:$D,2,0)</f>
        <v>7.6934762682625444E-3</v>
      </c>
      <c r="H1035">
        <f>VLOOKUP($B1035,'[1]202512 RFR'!$A:$B,2,0)</f>
        <v>1.2E-2</v>
      </c>
      <c r="I1035">
        <f t="shared" si="184"/>
        <v>0.81339546177345035</v>
      </c>
      <c r="J1035">
        <f t="shared" si="185"/>
        <v>5.3554255780480795E-4</v>
      </c>
      <c r="K1035">
        <f t="shared" si="186"/>
        <v>0</v>
      </c>
      <c r="L1035">
        <f t="shared" si="178"/>
        <v>0.31052521922679244</v>
      </c>
      <c r="M1035">
        <f>IF(AND(MOD(C1035,12)=1,D1035&lt;='[1]Product parameters'!$C$2),I1034*[1]model_point!$G$2,0)</f>
        <v>0</v>
      </c>
      <c r="N1035">
        <f t="shared" si="179"/>
        <v>0</v>
      </c>
      <c r="O1035">
        <f>[2]results_sample_product_cf!G1034</f>
        <v>0</v>
      </c>
      <c r="P1035">
        <f>[2]results_sample_product_cf!H1034</f>
        <v>0</v>
      </c>
      <c r="Q1035">
        <f t="shared" si="180"/>
        <v>0</v>
      </c>
      <c r="R1035">
        <f t="shared" si="176"/>
        <v>0</v>
      </c>
    </row>
    <row r="1036" spans="1:18" x14ac:dyDescent="0.3">
      <c r="A1036">
        <f t="shared" si="181"/>
        <v>1033</v>
      </c>
      <c r="B1036">
        <f t="shared" si="182"/>
        <v>87</v>
      </c>
      <c r="C1036">
        <f t="shared" si="183"/>
        <v>1038</v>
      </c>
      <c r="D1036">
        <f t="shared" si="177"/>
        <v>87</v>
      </c>
      <c r="E1036">
        <f>[1]model_point!$C$2+D1036-1</f>
        <v>91</v>
      </c>
      <c r="F1036">
        <f>VLOOKUP(E1036,'[1]202512 BE mortality'!$A:$C,3,0)</f>
        <v>7.8671350433967731E-3</v>
      </c>
      <c r="G1036">
        <f>VLOOKUP(D1036,'[1]202512 BE lapse'!$C:$D,2,0)</f>
        <v>7.6934762682625444E-3</v>
      </c>
      <c r="H1036">
        <f>VLOOKUP($B1036,'[1]202512 RFR'!$A:$B,2,0)</f>
        <v>1.2E-2</v>
      </c>
      <c r="I1036">
        <f t="shared" si="184"/>
        <v>0.81286027158682894</v>
      </c>
      <c r="J1036">
        <f t="shared" si="185"/>
        <v>5.3519018662138583E-4</v>
      </c>
      <c r="K1036">
        <f t="shared" si="186"/>
        <v>0</v>
      </c>
      <c r="L1036">
        <f t="shared" si="178"/>
        <v>0.31021669575545124</v>
      </c>
      <c r="M1036">
        <f>IF(AND(MOD(C1036,12)=1,D1036&lt;='[1]Product parameters'!$C$2),I1035*[1]model_point!$G$2,0)</f>
        <v>0</v>
      </c>
      <c r="N1036">
        <f t="shared" si="179"/>
        <v>0</v>
      </c>
      <c r="O1036">
        <f>[2]results_sample_product_cf!G1035</f>
        <v>0</v>
      </c>
      <c r="P1036">
        <f>[2]results_sample_product_cf!H1035</f>
        <v>0</v>
      </c>
      <c r="Q1036">
        <f t="shared" si="180"/>
        <v>0</v>
      </c>
      <c r="R1036">
        <f t="shared" si="176"/>
        <v>0</v>
      </c>
    </row>
    <row r="1037" spans="1:18" x14ac:dyDescent="0.3">
      <c r="A1037">
        <f t="shared" si="181"/>
        <v>1034</v>
      </c>
      <c r="B1037">
        <f t="shared" si="182"/>
        <v>87</v>
      </c>
      <c r="C1037">
        <f t="shared" si="183"/>
        <v>1039</v>
      </c>
      <c r="D1037">
        <f t="shared" si="177"/>
        <v>87</v>
      </c>
      <c r="E1037">
        <f>[1]model_point!$C$2+D1037-1</f>
        <v>91</v>
      </c>
      <c r="F1037">
        <f>VLOOKUP(E1037,'[1]202512 BE mortality'!$A:$C,3,0)</f>
        <v>7.8671350433967731E-3</v>
      </c>
      <c r="G1037">
        <f>VLOOKUP(D1037,'[1]202512 BE lapse'!$C:$D,2,0)</f>
        <v>7.6934762682625444E-3</v>
      </c>
      <c r="H1037">
        <f>VLOOKUP($B1037,'[1]202512 RFR'!$A:$B,2,0)</f>
        <v>1.2E-2</v>
      </c>
      <c r="I1037">
        <f t="shared" si="184"/>
        <v>0.81232543353954112</v>
      </c>
      <c r="J1037">
        <f t="shared" si="185"/>
        <v>5.3483804728779363E-4</v>
      </c>
      <c r="K1037">
        <f t="shared" si="186"/>
        <v>0</v>
      </c>
      <c r="L1037">
        <f t="shared" si="178"/>
        <v>0.30990847881873745</v>
      </c>
      <c r="M1037">
        <f>IF(AND(MOD(C1037,12)=1,D1037&lt;='[1]Product parameters'!$C$2),I1036*[1]model_point!$G$2,0)</f>
        <v>0</v>
      </c>
      <c r="N1037">
        <f t="shared" si="179"/>
        <v>0</v>
      </c>
      <c r="O1037">
        <f>[2]results_sample_product_cf!G1036</f>
        <v>0</v>
      </c>
      <c r="P1037">
        <f>[2]results_sample_product_cf!H1036</f>
        <v>0</v>
      </c>
      <c r="Q1037">
        <f t="shared" si="180"/>
        <v>0</v>
      </c>
      <c r="R1037">
        <f t="shared" si="176"/>
        <v>0</v>
      </c>
    </row>
    <row r="1038" spans="1:18" x14ac:dyDescent="0.3">
      <c r="A1038">
        <f t="shared" si="181"/>
        <v>1035</v>
      </c>
      <c r="B1038">
        <f t="shared" si="182"/>
        <v>87</v>
      </c>
      <c r="C1038">
        <f t="shared" si="183"/>
        <v>1040</v>
      </c>
      <c r="D1038">
        <f t="shared" si="177"/>
        <v>87</v>
      </c>
      <c r="E1038">
        <f>[1]model_point!$C$2+D1038-1</f>
        <v>91</v>
      </c>
      <c r="F1038">
        <f>VLOOKUP(E1038,'[1]202512 BE mortality'!$A:$C,3,0)</f>
        <v>7.8671350433967731E-3</v>
      </c>
      <c r="G1038">
        <f>VLOOKUP(D1038,'[1]202512 BE lapse'!$C:$D,2,0)</f>
        <v>7.6934762682625444E-3</v>
      </c>
      <c r="H1038">
        <f>VLOOKUP($B1038,'[1]202512 RFR'!$A:$B,2,0)</f>
        <v>1.2E-2</v>
      </c>
      <c r="I1038">
        <f t="shared" si="184"/>
        <v>0.81179094739988966</v>
      </c>
      <c r="J1038">
        <f t="shared" si="185"/>
        <v>5.3448613965148095E-4</v>
      </c>
      <c r="K1038">
        <f t="shared" si="186"/>
        <v>0</v>
      </c>
      <c r="L1038">
        <f t="shared" si="178"/>
        <v>0.30960056811209241</v>
      </c>
      <c r="M1038">
        <f>IF(AND(MOD(C1038,12)=1,D1038&lt;='[1]Product parameters'!$C$2),I1037*[1]model_point!$G$2,0)</f>
        <v>0</v>
      </c>
      <c r="N1038">
        <f t="shared" si="179"/>
        <v>0</v>
      </c>
      <c r="O1038">
        <f>[2]results_sample_product_cf!G1037</f>
        <v>0</v>
      </c>
      <c r="P1038">
        <f>[2]results_sample_product_cf!H1037</f>
        <v>0</v>
      </c>
      <c r="Q1038">
        <f t="shared" si="180"/>
        <v>0</v>
      </c>
      <c r="R1038">
        <f t="shared" si="176"/>
        <v>0</v>
      </c>
    </row>
    <row r="1039" spans="1:18" x14ac:dyDescent="0.3">
      <c r="A1039">
        <f t="shared" si="181"/>
        <v>1036</v>
      </c>
      <c r="B1039">
        <f t="shared" si="182"/>
        <v>87</v>
      </c>
      <c r="C1039">
        <f t="shared" si="183"/>
        <v>1041</v>
      </c>
      <c r="D1039">
        <f t="shared" si="177"/>
        <v>87</v>
      </c>
      <c r="E1039">
        <f>[1]model_point!$C$2+D1039-1</f>
        <v>91</v>
      </c>
      <c r="F1039">
        <f>VLOOKUP(E1039,'[1]202512 BE mortality'!$A:$C,3,0)</f>
        <v>7.8671350433967731E-3</v>
      </c>
      <c r="G1039">
        <f>VLOOKUP(D1039,'[1]202512 BE lapse'!$C:$D,2,0)</f>
        <v>7.6934762682625444E-3</v>
      </c>
      <c r="H1039">
        <f>VLOOKUP($B1039,'[1]202512 RFR'!$A:$B,2,0)</f>
        <v>1.2E-2</v>
      </c>
      <c r="I1039">
        <f t="shared" si="184"/>
        <v>0.81125681293632967</v>
      </c>
      <c r="J1039">
        <f t="shared" si="185"/>
        <v>5.3413446355999781E-4</v>
      </c>
      <c r="K1039">
        <f t="shared" si="186"/>
        <v>0</v>
      </c>
      <c r="L1039">
        <f t="shared" si="178"/>
        <v>0.30929296333126016</v>
      </c>
      <c r="M1039">
        <f>IF(AND(MOD(C1039,12)=1,D1039&lt;='[1]Product parameters'!$C$2),I1038*[1]model_point!$G$2,0)</f>
        <v>0</v>
      </c>
      <c r="N1039">
        <f t="shared" si="179"/>
        <v>0</v>
      </c>
      <c r="O1039">
        <f>[2]results_sample_product_cf!G1038</f>
        <v>0</v>
      </c>
      <c r="P1039">
        <f>[2]results_sample_product_cf!H1038</f>
        <v>0</v>
      </c>
      <c r="Q1039">
        <f t="shared" si="180"/>
        <v>0</v>
      </c>
      <c r="R1039">
        <f t="shared" si="176"/>
        <v>0</v>
      </c>
    </row>
    <row r="1040" spans="1:18" x14ac:dyDescent="0.3">
      <c r="A1040">
        <f t="shared" si="181"/>
        <v>1037</v>
      </c>
      <c r="B1040">
        <f t="shared" si="182"/>
        <v>87</v>
      </c>
      <c r="C1040">
        <f t="shared" si="183"/>
        <v>1042</v>
      </c>
      <c r="D1040">
        <f t="shared" si="177"/>
        <v>87</v>
      </c>
      <c r="E1040">
        <f>[1]model_point!$C$2+D1040-1</f>
        <v>91</v>
      </c>
      <c r="F1040">
        <f>VLOOKUP(E1040,'[1]202512 BE mortality'!$A:$C,3,0)</f>
        <v>7.8671350433967731E-3</v>
      </c>
      <c r="G1040">
        <f>VLOOKUP(D1040,'[1]202512 BE lapse'!$C:$D,2,0)</f>
        <v>7.6934762682625444E-3</v>
      </c>
      <c r="H1040">
        <f>VLOOKUP($B1040,'[1]202512 RFR'!$A:$B,2,0)</f>
        <v>1.2E-2</v>
      </c>
      <c r="I1040">
        <f t="shared" si="184"/>
        <v>0.8107230299174687</v>
      </c>
      <c r="J1040">
        <f t="shared" si="185"/>
        <v>5.3378301886099449E-4</v>
      </c>
      <c r="K1040">
        <f t="shared" si="186"/>
        <v>0</v>
      </c>
      <c r="L1040">
        <f t="shared" si="178"/>
        <v>0.30898566417228696</v>
      </c>
      <c r="M1040">
        <f>IF(AND(MOD(C1040,12)=1,D1040&lt;='[1]Product parameters'!$C$2),I1039*[1]model_point!$G$2,0)</f>
        <v>0</v>
      </c>
      <c r="N1040">
        <f t="shared" si="179"/>
        <v>0</v>
      </c>
      <c r="O1040">
        <f>[2]results_sample_product_cf!G1039</f>
        <v>0</v>
      </c>
      <c r="P1040">
        <f>[2]results_sample_product_cf!H1039</f>
        <v>0</v>
      </c>
      <c r="Q1040">
        <f t="shared" si="180"/>
        <v>0</v>
      </c>
      <c r="R1040">
        <f t="shared" si="176"/>
        <v>0</v>
      </c>
    </row>
    <row r="1041" spans="1:18" x14ac:dyDescent="0.3">
      <c r="A1041">
        <f t="shared" si="181"/>
        <v>1038</v>
      </c>
      <c r="B1041">
        <f t="shared" si="182"/>
        <v>87</v>
      </c>
      <c r="C1041">
        <f t="shared" si="183"/>
        <v>1043</v>
      </c>
      <c r="D1041">
        <f t="shared" si="177"/>
        <v>87</v>
      </c>
      <c r="E1041">
        <f>[1]model_point!$C$2+D1041-1</f>
        <v>91</v>
      </c>
      <c r="F1041">
        <f>VLOOKUP(E1041,'[1]202512 BE mortality'!$A:$C,3,0)</f>
        <v>7.8671350433967731E-3</v>
      </c>
      <c r="G1041">
        <f>VLOOKUP(D1041,'[1]202512 BE lapse'!$C:$D,2,0)</f>
        <v>7.6934762682625444E-3</v>
      </c>
      <c r="H1041">
        <f>VLOOKUP($B1041,'[1]202512 RFR'!$A:$B,2,0)</f>
        <v>1.2E-2</v>
      </c>
      <c r="I1041">
        <f t="shared" si="184"/>
        <v>0.81018959811206648</v>
      </c>
      <c r="J1041">
        <f t="shared" si="185"/>
        <v>5.334318054022217E-4</v>
      </c>
      <c r="K1041">
        <f t="shared" si="186"/>
        <v>0</v>
      </c>
      <c r="L1041">
        <f t="shared" si="178"/>
        <v>0.30867867033152108</v>
      </c>
      <c r="M1041">
        <f>IF(AND(MOD(C1041,12)=1,D1041&lt;='[1]Product parameters'!$C$2),I1040*[1]model_point!$G$2,0)</f>
        <v>0</v>
      </c>
      <c r="N1041">
        <f t="shared" si="179"/>
        <v>0</v>
      </c>
      <c r="O1041">
        <f>[2]results_sample_product_cf!G1040</f>
        <v>0</v>
      </c>
      <c r="P1041">
        <f>[2]results_sample_product_cf!H1040</f>
        <v>0</v>
      </c>
      <c r="Q1041">
        <f t="shared" si="180"/>
        <v>0</v>
      </c>
      <c r="R1041">
        <f t="shared" si="176"/>
        <v>0</v>
      </c>
    </row>
    <row r="1042" spans="1:18" x14ac:dyDescent="0.3">
      <c r="A1042">
        <f t="shared" si="181"/>
        <v>1039</v>
      </c>
      <c r="B1042">
        <f t="shared" si="182"/>
        <v>87</v>
      </c>
      <c r="C1042">
        <f t="shared" si="183"/>
        <v>1044</v>
      </c>
      <c r="D1042">
        <f t="shared" si="177"/>
        <v>87</v>
      </c>
      <c r="E1042">
        <f>[1]model_point!$C$2+D1042-1</f>
        <v>91</v>
      </c>
      <c r="F1042">
        <f>VLOOKUP(E1042,'[1]202512 BE mortality'!$A:$C,3,0)</f>
        <v>7.8671350433967731E-3</v>
      </c>
      <c r="G1042">
        <f>VLOOKUP(D1042,'[1]202512 BE lapse'!$C:$D,2,0)</f>
        <v>7.6934762682625444E-3</v>
      </c>
      <c r="H1042">
        <f>VLOOKUP($B1042,'[1]202512 RFR'!$A:$B,2,0)</f>
        <v>1.2E-2</v>
      </c>
      <c r="I1042">
        <f t="shared" si="184"/>
        <v>0.80342744408782774</v>
      </c>
      <c r="J1042">
        <f t="shared" si="185"/>
        <v>5.330808230315302E-4</v>
      </c>
      <c r="K1042">
        <f t="shared" si="186"/>
        <v>6.2290732012072929E-3</v>
      </c>
      <c r="L1042">
        <f t="shared" si="178"/>
        <v>0.30837198150561251</v>
      </c>
      <c r="M1042">
        <f>IF(AND(MOD(C1042,12)=1,D1042&lt;='[1]Product parameters'!$C$2),I1041*[1]model_point!$G$2,0)</f>
        <v>0</v>
      </c>
      <c r="N1042">
        <f t="shared" si="179"/>
        <v>0</v>
      </c>
      <c r="O1042">
        <f>[2]results_sample_product_cf!G1041</f>
        <v>0</v>
      </c>
      <c r="P1042">
        <f>[2]results_sample_product_cf!H1041</f>
        <v>0</v>
      </c>
      <c r="Q1042">
        <f t="shared" si="180"/>
        <v>0</v>
      </c>
      <c r="R1042">
        <f t="shared" si="176"/>
        <v>0</v>
      </c>
    </row>
    <row r="1043" spans="1:18" x14ac:dyDescent="0.3">
      <c r="A1043">
        <f t="shared" si="181"/>
        <v>1040</v>
      </c>
      <c r="B1043">
        <f t="shared" si="182"/>
        <v>87</v>
      </c>
      <c r="C1043">
        <f t="shared" si="183"/>
        <v>1045</v>
      </c>
      <c r="D1043">
        <f t="shared" si="177"/>
        <v>88</v>
      </c>
      <c r="E1043">
        <f>[1]model_point!$C$2+D1043-1</f>
        <v>92</v>
      </c>
      <c r="F1043">
        <f>VLOOKUP(E1043,'[1]202512 BE mortality'!$A:$C,3,0)</f>
        <v>4.1375521310601793E-3</v>
      </c>
      <c r="G1043">
        <f>VLOOKUP(D1043,'[1]202512 BE lapse'!$C:$D,2,0)</f>
        <v>3.1617915317863556E-3</v>
      </c>
      <c r="H1043">
        <f>VLOOKUP($B1043,'[1]202512 RFR'!$A:$B,2,0)</f>
        <v>1.2E-2</v>
      </c>
      <c r="I1043">
        <f t="shared" si="184"/>
        <v>0.80314989878520349</v>
      </c>
      <c r="J1043">
        <f t="shared" si="185"/>
        <v>2.7754530262429577E-4</v>
      </c>
      <c r="K1043">
        <f t="shared" si="186"/>
        <v>0</v>
      </c>
      <c r="L1043">
        <f t="shared" si="178"/>
        <v>0.30806559739151262</v>
      </c>
      <c r="M1043">
        <f>IF(AND(MOD(C1043,12)=1,D1043&lt;='[1]Product parameters'!$C$2),I1042*[1]model_point!$G$2,0)</f>
        <v>0</v>
      </c>
      <c r="N1043">
        <f t="shared" si="179"/>
        <v>0</v>
      </c>
      <c r="O1043">
        <f>[2]results_sample_product_cf!G1042</f>
        <v>0</v>
      </c>
      <c r="P1043">
        <f>[2]results_sample_product_cf!H1042</f>
        <v>0</v>
      </c>
      <c r="Q1043">
        <f t="shared" si="180"/>
        <v>0</v>
      </c>
      <c r="R1043">
        <f t="shared" si="176"/>
        <v>0</v>
      </c>
    </row>
    <row r="1044" spans="1:18" x14ac:dyDescent="0.3">
      <c r="A1044">
        <f t="shared" si="181"/>
        <v>1041</v>
      </c>
      <c r="B1044">
        <f t="shared" si="182"/>
        <v>87</v>
      </c>
      <c r="C1044">
        <f t="shared" si="183"/>
        <v>1046</v>
      </c>
      <c r="D1044">
        <f t="shared" si="177"/>
        <v>88</v>
      </c>
      <c r="E1044">
        <f>[1]model_point!$C$2+D1044-1</f>
        <v>92</v>
      </c>
      <c r="F1044">
        <f>VLOOKUP(E1044,'[1]202512 BE mortality'!$A:$C,3,0)</f>
        <v>4.1375521310601793E-3</v>
      </c>
      <c r="G1044">
        <f>VLOOKUP(D1044,'[1]202512 BE lapse'!$C:$D,2,0)</f>
        <v>3.1617915317863556E-3</v>
      </c>
      <c r="H1044">
        <f>VLOOKUP($B1044,'[1]202512 RFR'!$A:$B,2,0)</f>
        <v>1.2E-2</v>
      </c>
      <c r="I1044">
        <f t="shared" si="184"/>
        <v>0.80287244936105029</v>
      </c>
      <c r="J1044">
        <f t="shared" si="185"/>
        <v>2.7744942415315859E-4</v>
      </c>
      <c r="K1044">
        <f t="shared" si="186"/>
        <v>0</v>
      </c>
      <c r="L1044">
        <f t="shared" si="178"/>
        <v>0.30775951768647386</v>
      </c>
      <c r="M1044">
        <f>IF(AND(MOD(C1044,12)=1,D1044&lt;='[1]Product parameters'!$C$2),I1043*[1]model_point!$G$2,0)</f>
        <v>0</v>
      </c>
      <c r="N1044">
        <f t="shared" si="179"/>
        <v>0</v>
      </c>
      <c r="O1044">
        <f>[2]results_sample_product_cf!G1043</f>
        <v>0</v>
      </c>
      <c r="P1044">
        <f>[2]results_sample_product_cf!H1043</f>
        <v>0</v>
      </c>
      <c r="Q1044">
        <f t="shared" si="180"/>
        <v>0</v>
      </c>
      <c r="R1044">
        <f t="shared" si="176"/>
        <v>0</v>
      </c>
    </row>
    <row r="1045" spans="1:18" x14ac:dyDescent="0.3">
      <c r="A1045">
        <f t="shared" si="181"/>
        <v>1042</v>
      </c>
      <c r="B1045">
        <f t="shared" si="182"/>
        <v>87</v>
      </c>
      <c r="C1045">
        <f t="shared" si="183"/>
        <v>1047</v>
      </c>
      <c r="D1045">
        <f t="shared" si="177"/>
        <v>88</v>
      </c>
      <c r="E1045">
        <f>[1]model_point!$C$2+D1045-1</f>
        <v>92</v>
      </c>
      <c r="F1045">
        <f>VLOOKUP(E1045,'[1]202512 BE mortality'!$A:$C,3,0)</f>
        <v>4.1375521310601793E-3</v>
      </c>
      <c r="G1045">
        <f>VLOOKUP(D1045,'[1]202512 BE lapse'!$C:$D,2,0)</f>
        <v>3.1617915317863556E-3</v>
      </c>
      <c r="H1045">
        <f>VLOOKUP($B1045,'[1]202512 RFR'!$A:$B,2,0)</f>
        <v>1.2E-2</v>
      </c>
      <c r="I1045">
        <f t="shared" si="184"/>
        <v>0.80259509578224686</v>
      </c>
      <c r="J1045">
        <f t="shared" si="185"/>
        <v>2.7735357880339338E-4</v>
      </c>
      <c r="K1045">
        <f t="shared" si="186"/>
        <v>0</v>
      </c>
      <c r="L1045">
        <f t="shared" si="178"/>
        <v>0.30745374208804954</v>
      </c>
      <c r="M1045">
        <f>IF(AND(MOD(C1045,12)=1,D1045&lt;='[1]Product parameters'!$C$2),I1044*[1]model_point!$G$2,0)</f>
        <v>0</v>
      </c>
      <c r="N1045">
        <f t="shared" si="179"/>
        <v>0</v>
      </c>
      <c r="O1045">
        <f>[2]results_sample_product_cf!G1044</f>
        <v>0</v>
      </c>
      <c r="P1045">
        <f>[2]results_sample_product_cf!H1044</f>
        <v>0</v>
      </c>
      <c r="Q1045">
        <f t="shared" si="180"/>
        <v>0</v>
      </c>
      <c r="R1045">
        <f t="shared" si="176"/>
        <v>0</v>
      </c>
    </row>
    <row r="1046" spans="1:18" x14ac:dyDescent="0.3">
      <c r="A1046">
        <f t="shared" si="181"/>
        <v>1043</v>
      </c>
      <c r="B1046">
        <f t="shared" si="182"/>
        <v>87</v>
      </c>
      <c r="C1046">
        <f t="shared" si="183"/>
        <v>1048</v>
      </c>
      <c r="D1046">
        <f t="shared" si="177"/>
        <v>88</v>
      </c>
      <c r="E1046">
        <f>[1]model_point!$C$2+D1046-1</f>
        <v>92</v>
      </c>
      <c r="F1046">
        <f>VLOOKUP(E1046,'[1]202512 BE mortality'!$A:$C,3,0)</f>
        <v>4.1375521310601793E-3</v>
      </c>
      <c r="G1046">
        <f>VLOOKUP(D1046,'[1]202512 BE lapse'!$C:$D,2,0)</f>
        <v>3.1617915317863556E-3</v>
      </c>
      <c r="H1046">
        <f>VLOOKUP($B1046,'[1]202512 RFR'!$A:$B,2,0)</f>
        <v>1.2E-2</v>
      </c>
      <c r="I1046">
        <f t="shared" si="184"/>
        <v>0.80231783801568335</v>
      </c>
      <c r="J1046">
        <f t="shared" si="185"/>
        <v>2.7725776656355844E-4</v>
      </c>
      <c r="K1046">
        <f t="shared" si="186"/>
        <v>0</v>
      </c>
      <c r="L1046">
        <f t="shared" si="178"/>
        <v>0.30714827029409336</v>
      </c>
      <c r="M1046">
        <f>IF(AND(MOD(C1046,12)=1,D1046&lt;='[1]Product parameters'!$C$2),I1045*[1]model_point!$G$2,0)</f>
        <v>0</v>
      </c>
      <c r="N1046">
        <f t="shared" si="179"/>
        <v>0</v>
      </c>
      <c r="O1046">
        <f>[2]results_sample_product_cf!G1045</f>
        <v>0</v>
      </c>
      <c r="P1046">
        <f>[2]results_sample_product_cf!H1045</f>
        <v>0</v>
      </c>
      <c r="Q1046">
        <f t="shared" si="180"/>
        <v>0</v>
      </c>
      <c r="R1046">
        <f t="shared" si="176"/>
        <v>0</v>
      </c>
    </row>
    <row r="1047" spans="1:18" x14ac:dyDescent="0.3">
      <c r="A1047">
        <f t="shared" si="181"/>
        <v>1044</v>
      </c>
      <c r="B1047">
        <f t="shared" si="182"/>
        <v>87</v>
      </c>
      <c r="C1047">
        <f t="shared" si="183"/>
        <v>1049</v>
      </c>
      <c r="D1047">
        <f t="shared" si="177"/>
        <v>88</v>
      </c>
      <c r="E1047">
        <f>[1]model_point!$C$2+D1047-1</f>
        <v>92</v>
      </c>
      <c r="F1047">
        <f>VLOOKUP(E1047,'[1]202512 BE mortality'!$A:$C,3,0)</f>
        <v>4.1375521310601793E-3</v>
      </c>
      <c r="G1047">
        <f>VLOOKUP(D1047,'[1]202512 BE lapse'!$C:$D,2,0)</f>
        <v>3.1617915317863556E-3</v>
      </c>
      <c r="H1047">
        <f>VLOOKUP($B1047,'[1]202512 RFR'!$A:$B,2,0)</f>
        <v>1.2E-2</v>
      </c>
      <c r="I1047">
        <f t="shared" si="184"/>
        <v>0.80204067602826112</v>
      </c>
      <c r="J1047">
        <f t="shared" si="185"/>
        <v>2.7716198742221588E-4</v>
      </c>
      <c r="K1047">
        <f t="shared" si="186"/>
        <v>0</v>
      </c>
      <c r="L1047">
        <f t="shared" si="178"/>
        <v>0.30684310200275933</v>
      </c>
      <c r="M1047">
        <f>IF(AND(MOD(C1047,12)=1,D1047&lt;='[1]Product parameters'!$C$2),I1046*[1]model_point!$G$2,0)</f>
        <v>0</v>
      </c>
      <c r="N1047">
        <f t="shared" si="179"/>
        <v>0</v>
      </c>
      <c r="O1047">
        <f>[2]results_sample_product_cf!G1046</f>
        <v>0</v>
      </c>
      <c r="P1047">
        <f>[2]results_sample_product_cf!H1046</f>
        <v>0</v>
      </c>
      <c r="Q1047">
        <f t="shared" si="180"/>
        <v>0</v>
      </c>
      <c r="R1047">
        <f t="shared" si="176"/>
        <v>0</v>
      </c>
    </row>
    <row r="1048" spans="1:18" x14ac:dyDescent="0.3">
      <c r="A1048">
        <f t="shared" si="181"/>
        <v>1045</v>
      </c>
      <c r="B1048">
        <f t="shared" si="182"/>
        <v>88</v>
      </c>
      <c r="C1048">
        <f t="shared" si="183"/>
        <v>1050</v>
      </c>
      <c r="D1048">
        <f t="shared" si="177"/>
        <v>88</v>
      </c>
      <c r="E1048">
        <f>[1]model_point!$C$2+D1048-1</f>
        <v>92</v>
      </c>
      <c r="F1048">
        <f>VLOOKUP(E1048,'[1]202512 BE mortality'!$A:$C,3,0)</f>
        <v>4.1375521310601793E-3</v>
      </c>
      <c r="G1048">
        <f>VLOOKUP(D1048,'[1]202512 BE lapse'!$C:$D,2,0)</f>
        <v>3.1617915317863556E-3</v>
      </c>
      <c r="H1048">
        <f>VLOOKUP($B1048,'[1]202512 RFR'!$A:$B,2,0)</f>
        <v>1.2E-2</v>
      </c>
      <c r="I1048">
        <f t="shared" si="184"/>
        <v>0.80176360978689321</v>
      </c>
      <c r="J1048">
        <f t="shared" si="185"/>
        <v>2.7706624136793163E-4</v>
      </c>
      <c r="K1048">
        <f t="shared" si="186"/>
        <v>0</v>
      </c>
      <c r="L1048">
        <f t="shared" si="178"/>
        <v>0.30653823691250126</v>
      </c>
      <c r="M1048">
        <f>IF(AND(MOD(C1048,12)=1,D1048&lt;='[1]Product parameters'!$C$2),I1047*[1]model_point!$G$2,0)</f>
        <v>0</v>
      </c>
      <c r="N1048">
        <f t="shared" si="179"/>
        <v>0</v>
      </c>
      <c r="O1048">
        <f>[2]results_sample_product_cf!G1047</f>
        <v>0</v>
      </c>
      <c r="P1048">
        <f>[2]results_sample_product_cf!H1047</f>
        <v>0</v>
      </c>
      <c r="Q1048">
        <f t="shared" si="180"/>
        <v>0</v>
      </c>
      <c r="R1048">
        <f t="shared" si="176"/>
        <v>0</v>
      </c>
    </row>
    <row r="1049" spans="1:18" x14ac:dyDescent="0.3">
      <c r="A1049">
        <f t="shared" si="181"/>
        <v>1046</v>
      </c>
      <c r="B1049">
        <f t="shared" si="182"/>
        <v>88</v>
      </c>
      <c r="C1049">
        <f t="shared" si="183"/>
        <v>1051</v>
      </c>
      <c r="D1049">
        <f t="shared" si="177"/>
        <v>88</v>
      </c>
      <c r="E1049">
        <f>[1]model_point!$C$2+D1049-1</f>
        <v>92</v>
      </c>
      <c r="F1049">
        <f>VLOOKUP(E1049,'[1]202512 BE mortality'!$A:$C,3,0)</f>
        <v>4.1375521310601793E-3</v>
      </c>
      <c r="G1049">
        <f>VLOOKUP(D1049,'[1]202512 BE lapse'!$C:$D,2,0)</f>
        <v>3.1617915317863556E-3</v>
      </c>
      <c r="H1049">
        <f>VLOOKUP($B1049,'[1]202512 RFR'!$A:$B,2,0)</f>
        <v>1.2E-2</v>
      </c>
      <c r="I1049">
        <f t="shared" si="184"/>
        <v>0.80148663925850394</v>
      </c>
      <c r="J1049">
        <f t="shared" si="185"/>
        <v>2.7697052838927588E-4</v>
      </c>
      <c r="K1049">
        <f t="shared" si="186"/>
        <v>0</v>
      </c>
      <c r="L1049">
        <f t="shared" si="178"/>
        <v>0.30623367472207258</v>
      </c>
      <c r="M1049">
        <f>IF(AND(MOD(C1049,12)=1,D1049&lt;='[1]Product parameters'!$C$2),I1048*[1]model_point!$G$2,0)</f>
        <v>0</v>
      </c>
      <c r="N1049">
        <f t="shared" si="179"/>
        <v>0</v>
      </c>
      <c r="O1049">
        <f>[2]results_sample_product_cf!G1048</f>
        <v>0</v>
      </c>
      <c r="P1049">
        <f>[2]results_sample_product_cf!H1048</f>
        <v>0</v>
      </c>
      <c r="Q1049">
        <f t="shared" si="180"/>
        <v>0</v>
      </c>
      <c r="R1049">
        <f t="shared" si="176"/>
        <v>0</v>
      </c>
    </row>
    <row r="1050" spans="1:18" x14ac:dyDescent="0.3">
      <c r="A1050">
        <f t="shared" si="181"/>
        <v>1047</v>
      </c>
      <c r="B1050">
        <f t="shared" si="182"/>
        <v>88</v>
      </c>
      <c r="C1050">
        <f t="shared" si="183"/>
        <v>1052</v>
      </c>
      <c r="D1050">
        <f t="shared" si="177"/>
        <v>88</v>
      </c>
      <c r="E1050">
        <f>[1]model_point!$C$2+D1050-1</f>
        <v>92</v>
      </c>
      <c r="F1050">
        <f>VLOOKUP(E1050,'[1]202512 BE mortality'!$A:$C,3,0)</f>
        <v>4.1375521310601793E-3</v>
      </c>
      <c r="G1050">
        <f>VLOOKUP(D1050,'[1]202512 BE lapse'!$C:$D,2,0)</f>
        <v>3.1617915317863556E-3</v>
      </c>
      <c r="H1050">
        <f>VLOOKUP($B1050,'[1]202512 RFR'!$A:$B,2,0)</f>
        <v>1.2E-2</v>
      </c>
      <c r="I1050">
        <f t="shared" si="184"/>
        <v>0.80120976441002911</v>
      </c>
      <c r="J1050">
        <f t="shared" si="185"/>
        <v>2.768748484748225E-4</v>
      </c>
      <c r="K1050">
        <f t="shared" si="186"/>
        <v>0</v>
      </c>
      <c r="L1050">
        <f t="shared" si="178"/>
        <v>0.30592941513052613</v>
      </c>
      <c r="M1050">
        <f>IF(AND(MOD(C1050,12)=1,D1050&lt;='[1]Product parameters'!$C$2),I1049*[1]model_point!$G$2,0)</f>
        <v>0</v>
      </c>
      <c r="N1050">
        <f t="shared" si="179"/>
        <v>0</v>
      </c>
      <c r="O1050">
        <f>[2]results_sample_product_cf!G1049</f>
        <v>0</v>
      </c>
      <c r="P1050">
        <f>[2]results_sample_product_cf!H1049</f>
        <v>0</v>
      </c>
      <c r="Q1050">
        <f t="shared" si="180"/>
        <v>0</v>
      </c>
      <c r="R1050">
        <f t="shared" si="176"/>
        <v>0</v>
      </c>
    </row>
    <row r="1051" spans="1:18" x14ac:dyDescent="0.3">
      <c r="A1051">
        <f t="shared" si="181"/>
        <v>1048</v>
      </c>
      <c r="B1051">
        <f t="shared" si="182"/>
        <v>88</v>
      </c>
      <c r="C1051">
        <f t="shared" si="183"/>
        <v>1053</v>
      </c>
      <c r="D1051">
        <f t="shared" si="177"/>
        <v>88</v>
      </c>
      <c r="E1051">
        <f>[1]model_point!$C$2+D1051-1</f>
        <v>92</v>
      </c>
      <c r="F1051">
        <f>VLOOKUP(E1051,'[1]202512 BE mortality'!$A:$C,3,0)</f>
        <v>4.1375521310601793E-3</v>
      </c>
      <c r="G1051">
        <f>VLOOKUP(D1051,'[1]202512 BE lapse'!$C:$D,2,0)</f>
        <v>3.1617915317863556E-3</v>
      </c>
      <c r="H1051">
        <f>VLOOKUP($B1051,'[1]202512 RFR'!$A:$B,2,0)</f>
        <v>1.2E-2</v>
      </c>
      <c r="I1051">
        <f t="shared" si="184"/>
        <v>0.80093298520841594</v>
      </c>
      <c r="J1051">
        <f t="shared" si="185"/>
        <v>2.7677920161314946E-4</v>
      </c>
      <c r="K1051">
        <f t="shared" si="186"/>
        <v>0</v>
      </c>
      <c r="L1051">
        <f t="shared" si="178"/>
        <v>0.30562545783721362</v>
      </c>
      <c r="M1051">
        <f>IF(AND(MOD(C1051,12)=1,D1051&lt;='[1]Product parameters'!$C$2),I1050*[1]model_point!$G$2,0)</f>
        <v>0</v>
      </c>
      <c r="N1051">
        <f t="shared" si="179"/>
        <v>0</v>
      </c>
      <c r="O1051">
        <f>[2]results_sample_product_cf!G1050</f>
        <v>0</v>
      </c>
      <c r="P1051">
        <f>[2]results_sample_product_cf!H1050</f>
        <v>0</v>
      </c>
      <c r="Q1051">
        <f t="shared" si="180"/>
        <v>0</v>
      </c>
      <c r="R1051">
        <f t="shared" si="176"/>
        <v>0</v>
      </c>
    </row>
    <row r="1052" spans="1:18" x14ac:dyDescent="0.3">
      <c r="A1052">
        <f t="shared" si="181"/>
        <v>1049</v>
      </c>
      <c r="B1052">
        <f t="shared" si="182"/>
        <v>88</v>
      </c>
      <c r="C1052">
        <f t="shared" si="183"/>
        <v>1054</v>
      </c>
      <c r="D1052">
        <f t="shared" si="177"/>
        <v>88</v>
      </c>
      <c r="E1052">
        <f>[1]model_point!$C$2+D1052-1</f>
        <v>92</v>
      </c>
      <c r="F1052">
        <f>VLOOKUP(E1052,'[1]202512 BE mortality'!$A:$C,3,0)</f>
        <v>4.1375521310601793E-3</v>
      </c>
      <c r="G1052">
        <f>VLOOKUP(D1052,'[1]202512 BE lapse'!$C:$D,2,0)</f>
        <v>3.1617915317863556E-3</v>
      </c>
      <c r="H1052">
        <f>VLOOKUP($B1052,'[1]202512 RFR'!$A:$B,2,0)</f>
        <v>1.2E-2</v>
      </c>
      <c r="I1052">
        <f t="shared" si="184"/>
        <v>0.80065630162062307</v>
      </c>
      <c r="J1052">
        <f t="shared" si="185"/>
        <v>2.7668358779283861E-4</v>
      </c>
      <c r="K1052">
        <f t="shared" si="186"/>
        <v>0</v>
      </c>
      <c r="L1052">
        <f t="shared" si="178"/>
        <v>0.30532180254178554</v>
      </c>
      <c r="M1052">
        <f>IF(AND(MOD(C1052,12)=1,D1052&lt;='[1]Product parameters'!$C$2),I1051*[1]model_point!$G$2,0)</f>
        <v>0</v>
      </c>
      <c r="N1052">
        <f t="shared" si="179"/>
        <v>0</v>
      </c>
      <c r="O1052">
        <f>[2]results_sample_product_cf!G1051</f>
        <v>0</v>
      </c>
      <c r="P1052">
        <f>[2]results_sample_product_cf!H1051</f>
        <v>0</v>
      </c>
      <c r="Q1052">
        <f t="shared" si="180"/>
        <v>0</v>
      </c>
      <c r="R1052">
        <f t="shared" si="176"/>
        <v>0</v>
      </c>
    </row>
    <row r="1053" spans="1:18" x14ac:dyDescent="0.3">
      <c r="A1053">
        <f t="shared" si="181"/>
        <v>1050</v>
      </c>
      <c r="B1053">
        <f t="shared" si="182"/>
        <v>88</v>
      </c>
      <c r="C1053">
        <f t="shared" si="183"/>
        <v>1055</v>
      </c>
      <c r="D1053">
        <f t="shared" si="177"/>
        <v>88</v>
      </c>
      <c r="E1053">
        <f>[1]model_point!$C$2+D1053-1</f>
        <v>92</v>
      </c>
      <c r="F1053">
        <f>VLOOKUP(E1053,'[1]202512 BE mortality'!$A:$C,3,0)</f>
        <v>4.1375521310601793E-3</v>
      </c>
      <c r="G1053">
        <f>VLOOKUP(D1053,'[1]202512 BE lapse'!$C:$D,2,0)</f>
        <v>3.1617915317863556E-3</v>
      </c>
      <c r="H1053">
        <f>VLOOKUP($B1053,'[1]202512 RFR'!$A:$B,2,0)</f>
        <v>1.2E-2</v>
      </c>
      <c r="I1053">
        <f t="shared" si="184"/>
        <v>0.80037971361362059</v>
      </c>
      <c r="J1053">
        <f t="shared" si="185"/>
        <v>2.7658800700247572E-4</v>
      </c>
      <c r="K1053">
        <f t="shared" si="186"/>
        <v>0</v>
      </c>
      <c r="L1053">
        <f t="shared" si="178"/>
        <v>0.30501844894419078</v>
      </c>
      <c r="M1053">
        <f>IF(AND(MOD(C1053,12)=1,D1053&lt;='[1]Product parameters'!$C$2),I1052*[1]model_point!$G$2,0)</f>
        <v>0</v>
      </c>
      <c r="N1053">
        <f t="shared" si="179"/>
        <v>0</v>
      </c>
      <c r="O1053">
        <f>[2]results_sample_product_cf!G1052</f>
        <v>0</v>
      </c>
      <c r="P1053">
        <f>[2]results_sample_product_cf!H1052</f>
        <v>0</v>
      </c>
      <c r="Q1053">
        <f t="shared" si="180"/>
        <v>0</v>
      </c>
      <c r="R1053">
        <f t="shared" si="176"/>
        <v>0</v>
      </c>
    </row>
    <row r="1054" spans="1:18" x14ac:dyDescent="0.3">
      <c r="A1054">
        <f t="shared" si="181"/>
        <v>1051</v>
      </c>
      <c r="B1054">
        <f t="shared" si="182"/>
        <v>88</v>
      </c>
      <c r="C1054">
        <f t="shared" si="183"/>
        <v>1056</v>
      </c>
      <c r="D1054">
        <f t="shared" si="177"/>
        <v>88</v>
      </c>
      <c r="E1054">
        <f>[1]model_point!$C$2+D1054-1</f>
        <v>92</v>
      </c>
      <c r="F1054">
        <f>VLOOKUP(E1054,'[1]202512 BE mortality'!$A:$C,3,0)</f>
        <v>4.1375521310601793E-3</v>
      </c>
      <c r="G1054">
        <f>VLOOKUP(D1054,'[1]202512 BE lapse'!$C:$D,2,0)</f>
        <v>3.1617915317863556E-3</v>
      </c>
      <c r="H1054">
        <f>VLOOKUP($B1054,'[1]202512 RFR'!$A:$B,2,0)</f>
        <v>1.2E-2</v>
      </c>
      <c r="I1054">
        <f t="shared" si="184"/>
        <v>0.79757346156518893</v>
      </c>
      <c r="J1054">
        <f t="shared" si="185"/>
        <v>2.7649245923065056E-4</v>
      </c>
      <c r="K1054">
        <f t="shared" si="186"/>
        <v>2.5297595892009358E-3</v>
      </c>
      <c r="L1054">
        <f t="shared" si="178"/>
        <v>0.3047153967446764</v>
      </c>
      <c r="M1054">
        <f>IF(AND(MOD(C1054,12)=1,D1054&lt;='[1]Product parameters'!$C$2),I1053*[1]model_point!$G$2,0)</f>
        <v>0</v>
      </c>
      <c r="N1054">
        <f t="shared" si="179"/>
        <v>0</v>
      </c>
      <c r="O1054">
        <f>[2]results_sample_product_cf!G1053</f>
        <v>0</v>
      </c>
      <c r="P1054">
        <f>[2]results_sample_product_cf!H1053</f>
        <v>0</v>
      </c>
      <c r="Q1054">
        <f t="shared" si="180"/>
        <v>0</v>
      </c>
      <c r="R1054">
        <f t="shared" si="176"/>
        <v>0</v>
      </c>
    </row>
    <row r="1055" spans="1:18" x14ac:dyDescent="0.3">
      <c r="A1055">
        <f t="shared" si="181"/>
        <v>1052</v>
      </c>
      <c r="B1055">
        <f t="shared" si="182"/>
        <v>88</v>
      </c>
      <c r="C1055">
        <f t="shared" si="183"/>
        <v>1057</v>
      </c>
      <c r="D1055">
        <f t="shared" si="177"/>
        <v>89</v>
      </c>
      <c r="E1055">
        <f>[1]model_point!$C$2+D1055-1</f>
        <v>93</v>
      </c>
      <c r="F1055">
        <f>VLOOKUP(E1055,'[1]202512 BE mortality'!$A:$C,3,0)</f>
        <v>2.9653268317292758E-4</v>
      </c>
      <c r="G1055">
        <f>VLOOKUP(D1055,'[1]202512 BE lapse'!$C:$D,2,0)</f>
        <v>4.9960487719161364E-3</v>
      </c>
      <c r="H1055">
        <f>VLOOKUP($B1055,'[1]202512 RFR'!$A:$B,2,0)</f>
        <v>1.2E-2</v>
      </c>
      <c r="I1055">
        <f t="shared" si="184"/>
        <v>0.79755375000281559</v>
      </c>
      <c r="J1055">
        <f t="shared" si="185"/>
        <v>1.971156237338151E-5</v>
      </c>
      <c r="K1055">
        <f t="shared" si="186"/>
        <v>0</v>
      </c>
      <c r="L1055">
        <f t="shared" si="178"/>
        <v>0.30441264564378717</v>
      </c>
      <c r="M1055">
        <f>IF(AND(MOD(C1055,12)=1,D1055&lt;='[1]Product parameters'!$C$2),I1054*[1]model_point!$G$2,0)</f>
        <v>0</v>
      </c>
      <c r="N1055">
        <f t="shared" si="179"/>
        <v>0</v>
      </c>
      <c r="O1055">
        <f>[2]results_sample_product_cf!G1054</f>
        <v>0</v>
      </c>
      <c r="P1055">
        <f>[2]results_sample_product_cf!H1054</f>
        <v>0</v>
      </c>
      <c r="Q1055">
        <f t="shared" si="180"/>
        <v>0</v>
      </c>
      <c r="R1055">
        <f t="shared" si="176"/>
        <v>0</v>
      </c>
    </row>
    <row r="1056" spans="1:18" x14ac:dyDescent="0.3">
      <c r="A1056">
        <f t="shared" si="181"/>
        <v>1053</v>
      </c>
      <c r="B1056">
        <f t="shared" si="182"/>
        <v>88</v>
      </c>
      <c r="C1056">
        <f t="shared" si="183"/>
        <v>1058</v>
      </c>
      <c r="D1056">
        <f t="shared" si="177"/>
        <v>89</v>
      </c>
      <c r="E1056">
        <f>[1]model_point!$C$2+D1056-1</f>
        <v>93</v>
      </c>
      <c r="F1056">
        <f>VLOOKUP(E1056,'[1]202512 BE mortality'!$A:$C,3,0)</f>
        <v>2.9653268317292758E-4</v>
      </c>
      <c r="G1056">
        <f>VLOOKUP(D1056,'[1]202512 BE lapse'!$C:$D,2,0)</f>
        <v>4.9960487719161364E-3</v>
      </c>
      <c r="H1056">
        <f>VLOOKUP($B1056,'[1]202512 RFR'!$A:$B,2,0)</f>
        <v>1.2E-2</v>
      </c>
      <c r="I1056">
        <f t="shared" si="184"/>
        <v>0.797534038927602</v>
      </c>
      <c r="J1056">
        <f t="shared" si="185"/>
        <v>1.9711075213627679E-5</v>
      </c>
      <c r="K1056">
        <f t="shared" si="186"/>
        <v>0</v>
      </c>
      <c r="L1056">
        <f t="shared" si="178"/>
        <v>0.3041101953423655</v>
      </c>
      <c r="M1056">
        <f>IF(AND(MOD(C1056,12)=1,D1056&lt;='[1]Product parameters'!$C$2),I1055*[1]model_point!$G$2,0)</f>
        <v>0</v>
      </c>
      <c r="N1056">
        <f t="shared" si="179"/>
        <v>0</v>
      </c>
      <c r="O1056">
        <f>[2]results_sample_product_cf!G1055</f>
        <v>0</v>
      </c>
      <c r="P1056">
        <f>[2]results_sample_product_cf!H1055</f>
        <v>0</v>
      </c>
      <c r="Q1056">
        <f t="shared" si="180"/>
        <v>0</v>
      </c>
      <c r="R1056">
        <f t="shared" si="176"/>
        <v>0</v>
      </c>
    </row>
    <row r="1057" spans="1:18" x14ac:dyDescent="0.3">
      <c r="A1057">
        <f t="shared" si="181"/>
        <v>1054</v>
      </c>
      <c r="B1057">
        <f t="shared" si="182"/>
        <v>88</v>
      </c>
      <c r="C1057">
        <f t="shared" si="183"/>
        <v>1059</v>
      </c>
      <c r="D1057">
        <f t="shared" si="177"/>
        <v>89</v>
      </c>
      <c r="E1057">
        <f>[1]model_point!$C$2+D1057-1</f>
        <v>93</v>
      </c>
      <c r="F1057">
        <f>VLOOKUP(E1057,'[1]202512 BE mortality'!$A:$C,3,0)</f>
        <v>2.9653268317292758E-4</v>
      </c>
      <c r="G1057">
        <f>VLOOKUP(D1057,'[1]202512 BE lapse'!$C:$D,2,0)</f>
        <v>4.9960487719161364E-3</v>
      </c>
      <c r="H1057">
        <f>VLOOKUP($B1057,'[1]202512 RFR'!$A:$B,2,0)</f>
        <v>1.2E-2</v>
      </c>
      <c r="I1057">
        <f t="shared" si="184"/>
        <v>0.79751432833953606</v>
      </c>
      <c r="J1057">
        <f t="shared" si="185"/>
        <v>1.9710588065913713E-5</v>
      </c>
      <c r="K1057">
        <f t="shared" si="186"/>
        <v>0</v>
      </c>
      <c r="L1057">
        <f t="shared" si="178"/>
        <v>0.30380804554155094</v>
      </c>
      <c r="M1057">
        <f>IF(AND(MOD(C1057,12)=1,D1057&lt;='[1]Product parameters'!$C$2),I1056*[1]model_point!$G$2,0)</f>
        <v>0</v>
      </c>
      <c r="N1057">
        <f t="shared" si="179"/>
        <v>0</v>
      </c>
      <c r="O1057">
        <f>[2]results_sample_product_cf!G1056</f>
        <v>0</v>
      </c>
      <c r="P1057">
        <f>[2]results_sample_product_cf!H1056</f>
        <v>0</v>
      </c>
      <c r="Q1057">
        <f t="shared" si="180"/>
        <v>0</v>
      </c>
      <c r="R1057">
        <f t="shared" si="176"/>
        <v>0</v>
      </c>
    </row>
    <row r="1058" spans="1:18" x14ac:dyDescent="0.3">
      <c r="A1058">
        <f t="shared" si="181"/>
        <v>1055</v>
      </c>
      <c r="B1058">
        <f t="shared" si="182"/>
        <v>88</v>
      </c>
      <c r="C1058">
        <f t="shared" si="183"/>
        <v>1060</v>
      </c>
      <c r="D1058">
        <f t="shared" si="177"/>
        <v>89</v>
      </c>
      <c r="E1058">
        <f>[1]model_point!$C$2+D1058-1</f>
        <v>93</v>
      </c>
      <c r="F1058">
        <f>VLOOKUP(E1058,'[1]202512 BE mortality'!$A:$C,3,0)</f>
        <v>2.9653268317292758E-4</v>
      </c>
      <c r="G1058">
        <f>VLOOKUP(D1058,'[1]202512 BE lapse'!$C:$D,2,0)</f>
        <v>4.9960487719161364E-3</v>
      </c>
      <c r="H1058">
        <f>VLOOKUP($B1058,'[1]202512 RFR'!$A:$B,2,0)</f>
        <v>1.2E-2</v>
      </c>
      <c r="I1058">
        <f t="shared" si="184"/>
        <v>0.79749461823860579</v>
      </c>
      <c r="J1058">
        <f t="shared" si="185"/>
        <v>1.9710100930239321E-5</v>
      </c>
      <c r="K1058">
        <f t="shared" si="186"/>
        <v>0</v>
      </c>
      <c r="L1058">
        <f t="shared" si="178"/>
        <v>0.30350619594278</v>
      </c>
      <c r="M1058">
        <f>IF(AND(MOD(C1058,12)=1,D1058&lt;='[1]Product parameters'!$C$2),I1057*[1]model_point!$G$2,0)</f>
        <v>0</v>
      </c>
      <c r="N1058">
        <f t="shared" si="179"/>
        <v>0</v>
      </c>
      <c r="O1058">
        <f>[2]results_sample_product_cf!G1057</f>
        <v>0</v>
      </c>
      <c r="P1058">
        <f>[2]results_sample_product_cf!H1057</f>
        <v>0</v>
      </c>
      <c r="Q1058">
        <f t="shared" si="180"/>
        <v>0</v>
      </c>
      <c r="R1058">
        <f t="shared" si="176"/>
        <v>0</v>
      </c>
    </row>
    <row r="1059" spans="1:18" x14ac:dyDescent="0.3">
      <c r="A1059">
        <f t="shared" si="181"/>
        <v>1056</v>
      </c>
      <c r="B1059">
        <f t="shared" si="182"/>
        <v>88</v>
      </c>
      <c r="C1059">
        <f t="shared" si="183"/>
        <v>1061</v>
      </c>
      <c r="D1059">
        <f t="shared" si="177"/>
        <v>89</v>
      </c>
      <c r="E1059">
        <f>[1]model_point!$C$2+D1059-1</f>
        <v>93</v>
      </c>
      <c r="F1059">
        <f>VLOOKUP(E1059,'[1]202512 BE mortality'!$A:$C,3,0)</f>
        <v>2.9653268317292758E-4</v>
      </c>
      <c r="G1059">
        <f>VLOOKUP(D1059,'[1]202512 BE lapse'!$C:$D,2,0)</f>
        <v>4.9960487719161364E-3</v>
      </c>
      <c r="H1059">
        <f>VLOOKUP($B1059,'[1]202512 RFR'!$A:$B,2,0)</f>
        <v>1.2E-2</v>
      </c>
      <c r="I1059">
        <f t="shared" si="184"/>
        <v>0.79747490862479919</v>
      </c>
      <c r="J1059">
        <f t="shared" si="185"/>
        <v>1.9709613806604201E-5</v>
      </c>
      <c r="K1059">
        <f t="shared" si="186"/>
        <v>0</v>
      </c>
      <c r="L1059">
        <f t="shared" si="178"/>
        <v>0.30320464624778587</v>
      </c>
      <c r="M1059">
        <f>IF(AND(MOD(C1059,12)=1,D1059&lt;='[1]Product parameters'!$C$2),I1058*[1]model_point!$G$2,0)</f>
        <v>0</v>
      </c>
      <c r="N1059">
        <f t="shared" si="179"/>
        <v>0</v>
      </c>
      <c r="O1059">
        <f>[2]results_sample_product_cf!G1058</f>
        <v>0</v>
      </c>
      <c r="P1059">
        <f>[2]results_sample_product_cf!H1058</f>
        <v>0</v>
      </c>
      <c r="Q1059">
        <f t="shared" si="180"/>
        <v>0</v>
      </c>
      <c r="R1059">
        <f t="shared" si="176"/>
        <v>0</v>
      </c>
    </row>
    <row r="1060" spans="1:18" x14ac:dyDescent="0.3">
      <c r="A1060">
        <f t="shared" si="181"/>
        <v>1057</v>
      </c>
      <c r="B1060">
        <f t="shared" si="182"/>
        <v>89</v>
      </c>
      <c r="C1060">
        <f t="shared" si="183"/>
        <v>1062</v>
      </c>
      <c r="D1060">
        <f t="shared" si="177"/>
        <v>89</v>
      </c>
      <c r="E1060">
        <f>[1]model_point!$C$2+D1060-1</f>
        <v>93</v>
      </c>
      <c r="F1060">
        <f>VLOOKUP(E1060,'[1]202512 BE mortality'!$A:$C,3,0)</f>
        <v>2.9653268317292758E-4</v>
      </c>
      <c r="G1060">
        <f>VLOOKUP(D1060,'[1]202512 BE lapse'!$C:$D,2,0)</f>
        <v>4.9960487719161364E-3</v>
      </c>
      <c r="H1060">
        <f>VLOOKUP($B1060,'[1]202512 RFR'!$A:$B,2,0)</f>
        <v>1.2E-2</v>
      </c>
      <c r="I1060">
        <f t="shared" si="184"/>
        <v>0.79745519949810417</v>
      </c>
      <c r="J1060">
        <f t="shared" si="185"/>
        <v>1.9709126695008059E-5</v>
      </c>
      <c r="K1060">
        <f t="shared" si="186"/>
        <v>0</v>
      </c>
      <c r="L1060">
        <f t="shared" si="178"/>
        <v>0.30290339615859802</v>
      </c>
      <c r="M1060">
        <f>IF(AND(MOD(C1060,12)=1,D1060&lt;='[1]Product parameters'!$C$2),I1059*[1]model_point!$G$2,0)</f>
        <v>0</v>
      </c>
      <c r="N1060">
        <f t="shared" si="179"/>
        <v>0</v>
      </c>
      <c r="O1060">
        <f>[2]results_sample_product_cf!G1059</f>
        <v>0</v>
      </c>
      <c r="P1060">
        <f>[2]results_sample_product_cf!H1059</f>
        <v>0</v>
      </c>
      <c r="Q1060">
        <f t="shared" si="180"/>
        <v>0</v>
      </c>
      <c r="R1060">
        <f t="shared" si="176"/>
        <v>0</v>
      </c>
    </row>
    <row r="1061" spans="1:18" x14ac:dyDescent="0.3">
      <c r="A1061">
        <f t="shared" si="181"/>
        <v>1058</v>
      </c>
      <c r="B1061">
        <f t="shared" si="182"/>
        <v>89</v>
      </c>
      <c r="C1061">
        <f t="shared" si="183"/>
        <v>1063</v>
      </c>
      <c r="D1061">
        <f t="shared" si="177"/>
        <v>89</v>
      </c>
      <c r="E1061">
        <f>[1]model_point!$C$2+D1061-1</f>
        <v>93</v>
      </c>
      <c r="F1061">
        <f>VLOOKUP(E1061,'[1]202512 BE mortality'!$A:$C,3,0)</f>
        <v>2.9653268317292758E-4</v>
      </c>
      <c r="G1061">
        <f>VLOOKUP(D1061,'[1]202512 BE lapse'!$C:$D,2,0)</f>
        <v>4.9960487719161364E-3</v>
      </c>
      <c r="H1061">
        <f>VLOOKUP($B1061,'[1]202512 RFR'!$A:$B,2,0)</f>
        <v>1.2E-2</v>
      </c>
      <c r="I1061">
        <f t="shared" si="184"/>
        <v>0.79743549085850873</v>
      </c>
      <c r="J1061">
        <f t="shared" si="185"/>
        <v>1.9708639595450596E-5</v>
      </c>
      <c r="K1061">
        <f t="shared" si="186"/>
        <v>0</v>
      </c>
      <c r="L1061">
        <f t="shared" si="178"/>
        <v>0.30260244537754205</v>
      </c>
      <c r="M1061">
        <f>IF(AND(MOD(C1061,12)=1,D1061&lt;='[1]Product parameters'!$C$2),I1060*[1]model_point!$G$2,0)</f>
        <v>0</v>
      </c>
      <c r="N1061">
        <f t="shared" si="179"/>
        <v>0</v>
      </c>
      <c r="O1061">
        <f>[2]results_sample_product_cf!G1060</f>
        <v>0</v>
      </c>
      <c r="P1061">
        <f>[2]results_sample_product_cf!H1060</f>
        <v>0</v>
      </c>
      <c r="Q1061">
        <f t="shared" si="180"/>
        <v>0</v>
      </c>
      <c r="R1061">
        <f t="shared" si="176"/>
        <v>0</v>
      </c>
    </row>
    <row r="1062" spans="1:18" x14ac:dyDescent="0.3">
      <c r="A1062">
        <f t="shared" si="181"/>
        <v>1059</v>
      </c>
      <c r="B1062">
        <f t="shared" si="182"/>
        <v>89</v>
      </c>
      <c r="C1062">
        <f t="shared" si="183"/>
        <v>1064</v>
      </c>
      <c r="D1062">
        <f t="shared" si="177"/>
        <v>89</v>
      </c>
      <c r="E1062">
        <f>[1]model_point!$C$2+D1062-1</f>
        <v>93</v>
      </c>
      <c r="F1062">
        <f>VLOOKUP(E1062,'[1]202512 BE mortality'!$A:$C,3,0)</f>
        <v>2.9653268317292758E-4</v>
      </c>
      <c r="G1062">
        <f>VLOOKUP(D1062,'[1]202512 BE lapse'!$C:$D,2,0)</f>
        <v>4.9960487719161364E-3</v>
      </c>
      <c r="H1062">
        <f>VLOOKUP($B1062,'[1]202512 RFR'!$A:$B,2,0)</f>
        <v>1.2E-2</v>
      </c>
      <c r="I1062">
        <f t="shared" si="184"/>
        <v>0.79741578270600078</v>
      </c>
      <c r="J1062">
        <f t="shared" si="185"/>
        <v>1.970815250793151E-5</v>
      </c>
      <c r="K1062">
        <f t="shared" si="186"/>
        <v>0</v>
      </c>
      <c r="L1062">
        <f t="shared" si="178"/>
        <v>0.30230179360723919</v>
      </c>
      <c r="M1062">
        <f>IF(AND(MOD(C1062,12)=1,D1062&lt;='[1]Product parameters'!$C$2),I1061*[1]model_point!$G$2,0)</f>
        <v>0</v>
      </c>
      <c r="N1062">
        <f t="shared" si="179"/>
        <v>0</v>
      </c>
      <c r="O1062">
        <f>[2]results_sample_product_cf!G1061</f>
        <v>0</v>
      </c>
      <c r="P1062">
        <f>[2]results_sample_product_cf!H1061</f>
        <v>0</v>
      </c>
      <c r="Q1062">
        <f t="shared" si="180"/>
        <v>0</v>
      </c>
      <c r="R1062">
        <f t="shared" si="176"/>
        <v>0</v>
      </c>
    </row>
    <row r="1063" spans="1:18" x14ac:dyDescent="0.3">
      <c r="A1063">
        <f t="shared" si="181"/>
        <v>1060</v>
      </c>
      <c r="B1063">
        <f t="shared" si="182"/>
        <v>89</v>
      </c>
      <c r="C1063">
        <f t="shared" si="183"/>
        <v>1065</v>
      </c>
      <c r="D1063">
        <f t="shared" si="177"/>
        <v>89</v>
      </c>
      <c r="E1063">
        <f>[1]model_point!$C$2+D1063-1</f>
        <v>93</v>
      </c>
      <c r="F1063">
        <f>VLOOKUP(E1063,'[1]202512 BE mortality'!$A:$C,3,0)</f>
        <v>2.9653268317292758E-4</v>
      </c>
      <c r="G1063">
        <f>VLOOKUP(D1063,'[1]202512 BE lapse'!$C:$D,2,0)</f>
        <v>4.9960487719161364E-3</v>
      </c>
      <c r="H1063">
        <f>VLOOKUP($B1063,'[1]202512 RFR'!$A:$B,2,0)</f>
        <v>1.2E-2</v>
      </c>
      <c r="I1063">
        <f t="shared" si="184"/>
        <v>0.79739607504056831</v>
      </c>
      <c r="J1063">
        <f t="shared" si="185"/>
        <v>1.9707665432450512E-5</v>
      </c>
      <c r="K1063">
        <f t="shared" si="186"/>
        <v>0</v>
      </c>
      <c r="L1063">
        <f t="shared" si="178"/>
        <v>0.30200144055060629</v>
      </c>
      <c r="M1063">
        <f>IF(AND(MOD(C1063,12)=1,D1063&lt;='[1]Product parameters'!$C$2),I1062*[1]model_point!$G$2,0)</f>
        <v>0</v>
      </c>
      <c r="N1063">
        <f t="shared" si="179"/>
        <v>0</v>
      </c>
      <c r="O1063">
        <f>[2]results_sample_product_cf!G1062</f>
        <v>0</v>
      </c>
      <c r="P1063">
        <f>[2]results_sample_product_cf!H1062</f>
        <v>0</v>
      </c>
      <c r="Q1063">
        <f t="shared" si="180"/>
        <v>0</v>
      </c>
      <c r="R1063">
        <f t="shared" si="176"/>
        <v>0</v>
      </c>
    </row>
    <row r="1064" spans="1:18" x14ac:dyDescent="0.3">
      <c r="A1064">
        <f t="shared" si="181"/>
        <v>1061</v>
      </c>
      <c r="B1064">
        <f t="shared" si="182"/>
        <v>89</v>
      </c>
      <c r="C1064">
        <f t="shared" si="183"/>
        <v>1066</v>
      </c>
      <c r="D1064">
        <f t="shared" si="177"/>
        <v>89</v>
      </c>
      <c r="E1064">
        <f>[1]model_point!$C$2+D1064-1</f>
        <v>93</v>
      </c>
      <c r="F1064">
        <f>VLOOKUP(E1064,'[1]202512 BE mortality'!$A:$C,3,0)</f>
        <v>2.9653268317292758E-4</v>
      </c>
      <c r="G1064">
        <f>VLOOKUP(D1064,'[1]202512 BE lapse'!$C:$D,2,0)</f>
        <v>4.9960487719161364E-3</v>
      </c>
      <c r="H1064">
        <f>VLOOKUP($B1064,'[1]202512 RFR'!$A:$B,2,0)</f>
        <v>1.2E-2</v>
      </c>
      <c r="I1064">
        <f t="shared" si="184"/>
        <v>0.79737636786219934</v>
      </c>
      <c r="J1064">
        <f t="shared" si="185"/>
        <v>1.9707178369007298E-5</v>
      </c>
      <c r="K1064">
        <f t="shared" si="186"/>
        <v>0</v>
      </c>
      <c r="L1064">
        <f t="shared" si="178"/>
        <v>0.30170138591085521</v>
      </c>
      <c r="M1064">
        <f>IF(AND(MOD(C1064,12)=1,D1064&lt;='[1]Product parameters'!$C$2),I1063*[1]model_point!$G$2,0)</f>
        <v>0</v>
      </c>
      <c r="N1064">
        <f t="shared" si="179"/>
        <v>0</v>
      </c>
      <c r="O1064">
        <f>[2]results_sample_product_cf!G1063</f>
        <v>0</v>
      </c>
      <c r="P1064">
        <f>[2]results_sample_product_cf!H1063</f>
        <v>0</v>
      </c>
      <c r="Q1064">
        <f t="shared" si="180"/>
        <v>0</v>
      </c>
      <c r="R1064">
        <f t="shared" si="176"/>
        <v>0</v>
      </c>
    </row>
    <row r="1065" spans="1:18" x14ac:dyDescent="0.3">
      <c r="A1065">
        <f t="shared" si="181"/>
        <v>1062</v>
      </c>
      <c r="B1065">
        <f t="shared" si="182"/>
        <v>89</v>
      </c>
      <c r="C1065">
        <f t="shared" si="183"/>
        <v>1067</v>
      </c>
      <c r="D1065">
        <f t="shared" si="177"/>
        <v>89</v>
      </c>
      <c r="E1065">
        <f>[1]model_point!$C$2+D1065-1</f>
        <v>93</v>
      </c>
      <c r="F1065">
        <f>VLOOKUP(E1065,'[1]202512 BE mortality'!$A:$C,3,0)</f>
        <v>2.9653268317292758E-4</v>
      </c>
      <c r="G1065">
        <f>VLOOKUP(D1065,'[1]202512 BE lapse'!$C:$D,2,0)</f>
        <v>4.9960487719161364E-3</v>
      </c>
      <c r="H1065">
        <f>VLOOKUP($B1065,'[1]202512 RFR'!$A:$B,2,0)</f>
        <v>1.2E-2</v>
      </c>
      <c r="I1065">
        <f t="shared" si="184"/>
        <v>0.79735666117088178</v>
      </c>
      <c r="J1065">
        <f t="shared" si="185"/>
        <v>1.9706691317601574E-5</v>
      </c>
      <c r="K1065">
        <f t="shared" si="186"/>
        <v>0</v>
      </c>
      <c r="L1065">
        <f t="shared" si="178"/>
        <v>0.30140162939149284</v>
      </c>
      <c r="M1065">
        <f>IF(AND(MOD(C1065,12)=1,D1065&lt;='[1]Product parameters'!$C$2),I1064*[1]model_point!$G$2,0)</f>
        <v>0</v>
      </c>
      <c r="N1065">
        <f t="shared" si="179"/>
        <v>0</v>
      </c>
      <c r="O1065">
        <f>[2]results_sample_product_cf!G1064</f>
        <v>0</v>
      </c>
      <c r="P1065">
        <f>[2]results_sample_product_cf!H1064</f>
        <v>0</v>
      </c>
      <c r="Q1065">
        <f t="shared" si="180"/>
        <v>0</v>
      </c>
      <c r="R1065">
        <f t="shared" si="176"/>
        <v>0</v>
      </c>
    </row>
    <row r="1066" spans="1:18" x14ac:dyDescent="0.3">
      <c r="A1066">
        <f t="shared" si="181"/>
        <v>1063</v>
      </c>
      <c r="B1066">
        <f t="shared" si="182"/>
        <v>89</v>
      </c>
      <c r="C1066">
        <f t="shared" si="183"/>
        <v>1068</v>
      </c>
      <c r="D1066">
        <f t="shared" si="177"/>
        <v>89</v>
      </c>
      <c r="E1066">
        <f>[1]model_point!$C$2+D1066-1</f>
        <v>93</v>
      </c>
      <c r="F1066">
        <f>VLOOKUP(E1066,'[1]202512 BE mortality'!$A:$C,3,0)</f>
        <v>2.9653268317292758E-4</v>
      </c>
      <c r="G1066">
        <f>VLOOKUP(D1066,'[1]202512 BE lapse'!$C:$D,2,0)</f>
        <v>4.9960487719161364E-3</v>
      </c>
      <c r="H1066">
        <f>VLOOKUP($B1066,'[1]202512 RFR'!$A:$B,2,0)</f>
        <v>1.2E-2</v>
      </c>
      <c r="I1066">
        <f t="shared" si="184"/>
        <v>0.79335342065193926</v>
      </c>
      <c r="J1066">
        <f t="shared" si="185"/>
        <v>1.9706204278233042E-5</v>
      </c>
      <c r="K1066">
        <f t="shared" si="186"/>
        <v>3.9835343146642508E-3</v>
      </c>
      <c r="L1066">
        <f t="shared" si="178"/>
        <v>0.3011021706963205</v>
      </c>
      <c r="M1066">
        <f>IF(AND(MOD(C1066,12)=1,D1066&lt;='[1]Product parameters'!$C$2),I1065*[1]model_point!$G$2,0)</f>
        <v>0</v>
      </c>
      <c r="N1066">
        <f t="shared" si="179"/>
        <v>0</v>
      </c>
      <c r="O1066">
        <f>[2]results_sample_product_cf!G1065</f>
        <v>0</v>
      </c>
      <c r="P1066">
        <f>[2]results_sample_product_cf!H1065</f>
        <v>0</v>
      </c>
      <c r="Q1066">
        <f t="shared" si="180"/>
        <v>0</v>
      </c>
      <c r="R1066">
        <f t="shared" si="176"/>
        <v>0</v>
      </c>
    </row>
    <row r="1067" spans="1:18" x14ac:dyDescent="0.3">
      <c r="A1067">
        <f t="shared" si="181"/>
        <v>1064</v>
      </c>
      <c r="B1067">
        <f t="shared" si="182"/>
        <v>89</v>
      </c>
      <c r="C1067">
        <f t="shared" si="183"/>
        <v>1069</v>
      </c>
      <c r="D1067">
        <f t="shared" si="177"/>
        <v>90</v>
      </c>
      <c r="E1067">
        <f>[1]model_point!$C$2+D1067-1</f>
        <v>94</v>
      </c>
      <c r="F1067">
        <f>VLOOKUP(E1067,'[1]202512 BE mortality'!$A:$C,3,0)</f>
        <v>1.2671429787984977E-3</v>
      </c>
      <c r="G1067">
        <f>VLOOKUP(D1067,'[1]202512 BE lapse'!$C:$D,2,0)</f>
        <v>7.5235870245375484E-4</v>
      </c>
      <c r="H1067">
        <f>VLOOKUP($B1067,'[1]202512 RFR'!$A:$B,2,0)</f>
        <v>1.2E-2</v>
      </c>
      <c r="I1067">
        <f t="shared" si="184"/>
        <v>0.79326959760717008</v>
      </c>
      <c r="J1067">
        <f t="shared" si="185"/>
        <v>8.3823044769200893E-5</v>
      </c>
      <c r="K1067">
        <f t="shared" si="186"/>
        <v>0</v>
      </c>
      <c r="L1067">
        <f t="shared" si="178"/>
        <v>0.30080300952943395</v>
      </c>
      <c r="M1067">
        <f>IF(AND(MOD(C1067,12)=1,D1067&lt;='[1]Product parameters'!$C$2),I1066*[1]model_point!$G$2,0)</f>
        <v>0</v>
      </c>
      <c r="N1067">
        <f t="shared" si="179"/>
        <v>0</v>
      </c>
      <c r="O1067">
        <f>[2]results_sample_product_cf!G1066</f>
        <v>0</v>
      </c>
      <c r="P1067">
        <f>[2]results_sample_product_cf!H1066</f>
        <v>0</v>
      </c>
      <c r="Q1067">
        <f t="shared" si="180"/>
        <v>0</v>
      </c>
      <c r="R1067">
        <f t="shared" si="176"/>
        <v>0</v>
      </c>
    </row>
    <row r="1068" spans="1:18" x14ac:dyDescent="0.3">
      <c r="A1068">
        <f t="shared" si="181"/>
        <v>1065</v>
      </c>
      <c r="B1068">
        <f t="shared" si="182"/>
        <v>89</v>
      </c>
      <c r="C1068">
        <f t="shared" si="183"/>
        <v>1070</v>
      </c>
      <c r="D1068">
        <f t="shared" si="177"/>
        <v>90</v>
      </c>
      <c r="E1068">
        <f>[1]model_point!$C$2+D1068-1</f>
        <v>94</v>
      </c>
      <c r="F1068">
        <f>VLOOKUP(E1068,'[1]202512 BE mortality'!$A:$C,3,0)</f>
        <v>1.2671429787984977E-3</v>
      </c>
      <c r="G1068">
        <f>VLOOKUP(D1068,'[1]202512 BE lapse'!$C:$D,2,0)</f>
        <v>7.5235870245375484E-4</v>
      </c>
      <c r="H1068">
        <f>VLOOKUP($B1068,'[1]202512 RFR'!$A:$B,2,0)</f>
        <v>1.2E-2</v>
      </c>
      <c r="I1068">
        <f t="shared" si="184"/>
        <v>0.79318578341886092</v>
      </c>
      <c r="J1068">
        <f t="shared" si="185"/>
        <v>8.3814188309202779E-5</v>
      </c>
      <c r="K1068">
        <f t="shared" si="186"/>
        <v>0</v>
      </c>
      <c r="L1068">
        <f t="shared" si="178"/>
        <v>0.30050414559522282</v>
      </c>
      <c r="M1068">
        <f>IF(AND(MOD(C1068,12)=1,D1068&lt;='[1]Product parameters'!$C$2),I1067*[1]model_point!$G$2,0)</f>
        <v>0</v>
      </c>
      <c r="N1068">
        <f t="shared" si="179"/>
        <v>0</v>
      </c>
      <c r="O1068">
        <f>[2]results_sample_product_cf!G1067</f>
        <v>0</v>
      </c>
      <c r="P1068">
        <f>[2]results_sample_product_cf!H1067</f>
        <v>0</v>
      </c>
      <c r="Q1068">
        <f t="shared" si="180"/>
        <v>0</v>
      </c>
      <c r="R1068">
        <f t="shared" si="176"/>
        <v>0</v>
      </c>
    </row>
    <row r="1069" spans="1:18" x14ac:dyDescent="0.3">
      <c r="A1069">
        <f t="shared" si="181"/>
        <v>1066</v>
      </c>
      <c r="B1069">
        <f t="shared" si="182"/>
        <v>89</v>
      </c>
      <c r="C1069">
        <f t="shared" si="183"/>
        <v>1071</v>
      </c>
      <c r="D1069">
        <f t="shared" si="177"/>
        <v>90</v>
      </c>
      <c r="E1069">
        <f>[1]model_point!$C$2+D1069-1</f>
        <v>94</v>
      </c>
      <c r="F1069">
        <f>VLOOKUP(E1069,'[1]202512 BE mortality'!$A:$C,3,0)</f>
        <v>1.2671429787984977E-3</v>
      </c>
      <c r="G1069">
        <f>VLOOKUP(D1069,'[1]202512 BE lapse'!$C:$D,2,0)</f>
        <v>7.5235870245375484E-4</v>
      </c>
      <c r="H1069">
        <f>VLOOKUP($B1069,'[1]202512 RFR'!$A:$B,2,0)</f>
        <v>1.2E-2</v>
      </c>
      <c r="I1069">
        <f t="shared" si="184"/>
        <v>0.79310197808607596</v>
      </c>
      <c r="J1069">
        <f t="shared" si="185"/>
        <v>8.3805332784948322E-5</v>
      </c>
      <c r="K1069">
        <f t="shared" si="186"/>
        <v>0</v>
      </c>
      <c r="L1069">
        <f t="shared" si="178"/>
        <v>0.30020557859837049</v>
      </c>
      <c r="M1069">
        <f>IF(AND(MOD(C1069,12)=1,D1069&lt;='[1]Product parameters'!$C$2),I1068*[1]model_point!$G$2,0)</f>
        <v>0</v>
      </c>
      <c r="N1069">
        <f t="shared" si="179"/>
        <v>0</v>
      </c>
      <c r="O1069">
        <f>[2]results_sample_product_cf!G1068</f>
        <v>0</v>
      </c>
      <c r="P1069">
        <f>[2]results_sample_product_cf!H1068</f>
        <v>0</v>
      </c>
      <c r="Q1069">
        <f t="shared" si="180"/>
        <v>0</v>
      </c>
      <c r="R1069">
        <f t="shared" si="176"/>
        <v>0</v>
      </c>
    </row>
    <row r="1070" spans="1:18" x14ac:dyDescent="0.3">
      <c r="A1070">
        <f t="shared" si="181"/>
        <v>1067</v>
      </c>
      <c r="B1070">
        <f t="shared" si="182"/>
        <v>89</v>
      </c>
      <c r="C1070">
        <f t="shared" si="183"/>
        <v>1072</v>
      </c>
      <c r="D1070">
        <f t="shared" si="177"/>
        <v>90</v>
      </c>
      <c r="E1070">
        <f>[1]model_point!$C$2+D1070-1</f>
        <v>94</v>
      </c>
      <c r="F1070">
        <f>VLOOKUP(E1070,'[1]202512 BE mortality'!$A:$C,3,0)</f>
        <v>1.2671429787984977E-3</v>
      </c>
      <c r="G1070">
        <f>VLOOKUP(D1070,'[1]202512 BE lapse'!$C:$D,2,0)</f>
        <v>7.5235870245375484E-4</v>
      </c>
      <c r="H1070">
        <f>VLOOKUP($B1070,'[1]202512 RFR'!$A:$B,2,0)</f>
        <v>1.2E-2</v>
      </c>
      <c r="I1070">
        <f t="shared" si="184"/>
        <v>0.79301818160787962</v>
      </c>
      <c r="J1070">
        <f t="shared" si="185"/>
        <v>8.3796478196338683E-5</v>
      </c>
      <c r="K1070">
        <f t="shared" si="186"/>
        <v>0</v>
      </c>
      <c r="L1070">
        <f t="shared" si="178"/>
        <v>0.29990730824385375</v>
      </c>
      <c r="M1070">
        <f>IF(AND(MOD(C1070,12)=1,D1070&lt;='[1]Product parameters'!$C$2),I1069*[1]model_point!$G$2,0)</f>
        <v>0</v>
      </c>
      <c r="N1070">
        <f t="shared" si="179"/>
        <v>0</v>
      </c>
      <c r="O1070">
        <f>[2]results_sample_product_cf!G1069</f>
        <v>0</v>
      </c>
      <c r="P1070">
        <f>[2]results_sample_product_cf!H1069</f>
        <v>0</v>
      </c>
      <c r="Q1070">
        <f t="shared" si="180"/>
        <v>0</v>
      </c>
      <c r="R1070">
        <f t="shared" si="176"/>
        <v>0</v>
      </c>
    </row>
    <row r="1071" spans="1:18" x14ac:dyDescent="0.3">
      <c r="A1071">
        <f t="shared" si="181"/>
        <v>1068</v>
      </c>
      <c r="B1071">
        <f t="shared" si="182"/>
        <v>89</v>
      </c>
      <c r="C1071">
        <f t="shared" si="183"/>
        <v>1073</v>
      </c>
      <c r="D1071">
        <f t="shared" si="177"/>
        <v>90</v>
      </c>
      <c r="E1071">
        <f>[1]model_point!$C$2+D1071-1</f>
        <v>94</v>
      </c>
      <c r="F1071">
        <f>VLOOKUP(E1071,'[1]202512 BE mortality'!$A:$C,3,0)</f>
        <v>1.2671429787984977E-3</v>
      </c>
      <c r="G1071">
        <f>VLOOKUP(D1071,'[1]202512 BE lapse'!$C:$D,2,0)</f>
        <v>7.5235870245375484E-4</v>
      </c>
      <c r="H1071">
        <f>VLOOKUP($B1071,'[1]202512 RFR'!$A:$B,2,0)</f>
        <v>1.2E-2</v>
      </c>
      <c r="I1071">
        <f t="shared" si="184"/>
        <v>0.79293439398333632</v>
      </c>
      <c r="J1071">
        <f t="shared" si="185"/>
        <v>8.3787624543274982E-5</v>
      </c>
      <c r="K1071">
        <f t="shared" si="186"/>
        <v>0</v>
      </c>
      <c r="L1071">
        <f t="shared" si="178"/>
        <v>0.29960933423694258</v>
      </c>
      <c r="M1071">
        <f>IF(AND(MOD(C1071,12)=1,D1071&lt;='[1]Product parameters'!$C$2),I1070*[1]model_point!$G$2,0)</f>
        <v>0</v>
      </c>
      <c r="N1071">
        <f t="shared" si="179"/>
        <v>0</v>
      </c>
      <c r="O1071">
        <f>[2]results_sample_product_cf!G1070</f>
        <v>0</v>
      </c>
      <c r="P1071">
        <f>[2]results_sample_product_cf!H1070</f>
        <v>0</v>
      </c>
      <c r="Q1071">
        <f t="shared" si="180"/>
        <v>0</v>
      </c>
      <c r="R1071">
        <f t="shared" si="176"/>
        <v>0</v>
      </c>
    </row>
    <row r="1072" spans="1:18" x14ac:dyDescent="0.3">
      <c r="A1072">
        <f t="shared" si="181"/>
        <v>1069</v>
      </c>
      <c r="B1072">
        <f t="shared" si="182"/>
        <v>90</v>
      </c>
      <c r="C1072">
        <f t="shared" si="183"/>
        <v>1074</v>
      </c>
      <c r="D1072">
        <f t="shared" si="177"/>
        <v>90</v>
      </c>
      <c r="E1072">
        <f>[1]model_point!$C$2+D1072-1</f>
        <v>94</v>
      </c>
      <c r="F1072">
        <f>VLOOKUP(E1072,'[1]202512 BE mortality'!$A:$C,3,0)</f>
        <v>1.2671429787984977E-3</v>
      </c>
      <c r="G1072">
        <f>VLOOKUP(D1072,'[1]202512 BE lapse'!$C:$D,2,0)</f>
        <v>7.5235870245375484E-4</v>
      </c>
      <c r="H1072">
        <f>VLOOKUP($B1072,'[1]202512 RFR'!$A:$B,2,0)</f>
        <v>1.2E-2</v>
      </c>
      <c r="I1072">
        <f t="shared" si="184"/>
        <v>0.79285061521151068</v>
      </c>
      <c r="J1072">
        <f t="shared" si="185"/>
        <v>8.3778771825658368E-5</v>
      </c>
      <c r="K1072">
        <f t="shared" si="186"/>
        <v>0</v>
      </c>
      <c r="L1072">
        <f t="shared" si="178"/>
        <v>0.29931165628319967</v>
      </c>
      <c r="M1072">
        <f>IF(AND(MOD(C1072,12)=1,D1072&lt;='[1]Product parameters'!$C$2),I1071*[1]model_point!$G$2,0)</f>
        <v>0</v>
      </c>
      <c r="N1072">
        <f t="shared" si="179"/>
        <v>0</v>
      </c>
      <c r="O1072">
        <f>[2]results_sample_product_cf!G1071</f>
        <v>0</v>
      </c>
      <c r="P1072">
        <f>[2]results_sample_product_cf!H1071</f>
        <v>0</v>
      </c>
      <c r="Q1072">
        <f t="shared" si="180"/>
        <v>0</v>
      </c>
      <c r="R1072">
        <f t="shared" si="176"/>
        <v>0</v>
      </c>
    </row>
    <row r="1073" spans="1:18" x14ac:dyDescent="0.3">
      <c r="A1073">
        <f t="shared" si="181"/>
        <v>1070</v>
      </c>
      <c r="B1073">
        <f t="shared" si="182"/>
        <v>90</v>
      </c>
      <c r="C1073">
        <f t="shared" si="183"/>
        <v>1075</v>
      </c>
      <c r="D1073">
        <f t="shared" si="177"/>
        <v>90</v>
      </c>
      <c r="E1073">
        <f>[1]model_point!$C$2+D1073-1</f>
        <v>94</v>
      </c>
      <c r="F1073">
        <f>VLOOKUP(E1073,'[1]202512 BE mortality'!$A:$C,3,0)</f>
        <v>1.2671429787984977E-3</v>
      </c>
      <c r="G1073">
        <f>VLOOKUP(D1073,'[1]202512 BE lapse'!$C:$D,2,0)</f>
        <v>7.5235870245375484E-4</v>
      </c>
      <c r="H1073">
        <f>VLOOKUP($B1073,'[1]202512 RFR'!$A:$B,2,0)</f>
        <v>1.2E-2</v>
      </c>
      <c r="I1073">
        <f t="shared" si="184"/>
        <v>0.79276684529146724</v>
      </c>
      <c r="J1073">
        <f t="shared" si="185"/>
        <v>8.3769920043390042E-5</v>
      </c>
      <c r="K1073">
        <f t="shared" si="186"/>
        <v>0</v>
      </c>
      <c r="L1073">
        <f t="shared" si="178"/>
        <v>0.2990142740884803</v>
      </c>
      <c r="M1073">
        <f>IF(AND(MOD(C1073,12)=1,D1073&lt;='[1]Product parameters'!$C$2),I1072*[1]model_point!$G$2,0)</f>
        <v>0</v>
      </c>
      <c r="N1073">
        <f t="shared" si="179"/>
        <v>0</v>
      </c>
      <c r="O1073">
        <f>[2]results_sample_product_cf!G1072</f>
        <v>0</v>
      </c>
      <c r="P1073">
        <f>[2]results_sample_product_cf!H1072</f>
        <v>0</v>
      </c>
      <c r="Q1073">
        <f t="shared" si="180"/>
        <v>0</v>
      </c>
      <c r="R1073">
        <f t="shared" si="176"/>
        <v>0</v>
      </c>
    </row>
    <row r="1074" spans="1:18" x14ac:dyDescent="0.3">
      <c r="A1074">
        <f t="shared" si="181"/>
        <v>1071</v>
      </c>
      <c r="B1074">
        <f t="shared" si="182"/>
        <v>90</v>
      </c>
      <c r="C1074">
        <f t="shared" si="183"/>
        <v>1076</v>
      </c>
      <c r="D1074">
        <f t="shared" si="177"/>
        <v>90</v>
      </c>
      <c r="E1074">
        <f>[1]model_point!$C$2+D1074-1</f>
        <v>94</v>
      </c>
      <c r="F1074">
        <f>VLOOKUP(E1074,'[1]202512 BE mortality'!$A:$C,3,0)</f>
        <v>1.2671429787984977E-3</v>
      </c>
      <c r="G1074">
        <f>VLOOKUP(D1074,'[1]202512 BE lapse'!$C:$D,2,0)</f>
        <v>7.5235870245375484E-4</v>
      </c>
      <c r="H1074">
        <f>VLOOKUP($B1074,'[1]202512 RFR'!$A:$B,2,0)</f>
        <v>1.2E-2</v>
      </c>
      <c r="I1074">
        <f t="shared" si="184"/>
        <v>0.79268308422227085</v>
      </c>
      <c r="J1074">
        <f t="shared" si="185"/>
        <v>8.376106919637114E-5</v>
      </c>
      <c r="K1074">
        <f t="shared" si="186"/>
        <v>0</v>
      </c>
      <c r="L1074">
        <f t="shared" si="178"/>
        <v>0.29871718735893205</v>
      </c>
      <c r="M1074">
        <f>IF(AND(MOD(C1074,12)=1,D1074&lt;='[1]Product parameters'!$C$2),I1073*[1]model_point!$G$2,0)</f>
        <v>0</v>
      </c>
      <c r="N1074">
        <f t="shared" si="179"/>
        <v>0</v>
      </c>
      <c r="O1074">
        <f>[2]results_sample_product_cf!G1073</f>
        <v>0</v>
      </c>
      <c r="P1074">
        <f>[2]results_sample_product_cf!H1073</f>
        <v>0</v>
      </c>
      <c r="Q1074">
        <f t="shared" si="180"/>
        <v>0</v>
      </c>
      <c r="R1074">
        <f t="shared" si="176"/>
        <v>0</v>
      </c>
    </row>
    <row r="1075" spans="1:18" x14ac:dyDescent="0.3">
      <c r="A1075">
        <f t="shared" si="181"/>
        <v>1072</v>
      </c>
      <c r="B1075">
        <f t="shared" si="182"/>
        <v>90</v>
      </c>
      <c r="C1075">
        <f t="shared" si="183"/>
        <v>1077</v>
      </c>
      <c r="D1075">
        <f t="shared" si="177"/>
        <v>90</v>
      </c>
      <c r="E1075">
        <f>[1]model_point!$C$2+D1075-1</f>
        <v>94</v>
      </c>
      <c r="F1075">
        <f>VLOOKUP(E1075,'[1]202512 BE mortality'!$A:$C,3,0)</f>
        <v>1.2671429787984977E-3</v>
      </c>
      <c r="G1075">
        <f>VLOOKUP(D1075,'[1]202512 BE lapse'!$C:$D,2,0)</f>
        <v>7.5235870245375484E-4</v>
      </c>
      <c r="H1075">
        <f>VLOOKUP($B1075,'[1]202512 RFR'!$A:$B,2,0)</f>
        <v>1.2E-2</v>
      </c>
      <c r="I1075">
        <f t="shared" si="184"/>
        <v>0.79259933200298638</v>
      </c>
      <c r="J1075">
        <f t="shared" si="185"/>
        <v>8.3752219284502862E-5</v>
      </c>
      <c r="K1075">
        <f t="shared" si="186"/>
        <v>0</v>
      </c>
      <c r="L1075">
        <f t="shared" si="178"/>
        <v>0.29842039580099439</v>
      </c>
      <c r="M1075">
        <f>IF(AND(MOD(C1075,12)=1,D1075&lt;='[1]Product parameters'!$C$2),I1074*[1]model_point!$G$2,0)</f>
        <v>0</v>
      </c>
      <c r="N1075">
        <f t="shared" si="179"/>
        <v>0</v>
      </c>
      <c r="O1075">
        <f>[2]results_sample_product_cf!G1074</f>
        <v>0</v>
      </c>
      <c r="P1075">
        <f>[2]results_sample_product_cf!H1074</f>
        <v>0</v>
      </c>
      <c r="Q1075">
        <f t="shared" si="180"/>
        <v>0</v>
      </c>
      <c r="R1075">
        <f t="shared" si="176"/>
        <v>0</v>
      </c>
    </row>
    <row r="1076" spans="1:18" x14ac:dyDescent="0.3">
      <c r="A1076">
        <f t="shared" si="181"/>
        <v>1073</v>
      </c>
      <c r="B1076">
        <f t="shared" si="182"/>
        <v>90</v>
      </c>
      <c r="C1076">
        <f t="shared" si="183"/>
        <v>1078</v>
      </c>
      <c r="D1076">
        <f t="shared" si="177"/>
        <v>90</v>
      </c>
      <c r="E1076">
        <f>[1]model_point!$C$2+D1076-1</f>
        <v>94</v>
      </c>
      <c r="F1076">
        <f>VLOOKUP(E1076,'[1]202512 BE mortality'!$A:$C,3,0)</f>
        <v>1.2671429787984977E-3</v>
      </c>
      <c r="G1076">
        <f>VLOOKUP(D1076,'[1]202512 BE lapse'!$C:$D,2,0)</f>
        <v>7.5235870245375484E-4</v>
      </c>
      <c r="H1076">
        <f>VLOOKUP($B1076,'[1]202512 RFR'!$A:$B,2,0)</f>
        <v>1.2E-2</v>
      </c>
      <c r="I1076">
        <f t="shared" si="184"/>
        <v>0.79251558863267868</v>
      </c>
      <c r="J1076">
        <f t="shared" si="185"/>
        <v>8.3743370307686412E-5</v>
      </c>
      <c r="K1076">
        <f t="shared" si="186"/>
        <v>0</v>
      </c>
      <c r="L1076">
        <f t="shared" si="178"/>
        <v>0.29812389912139847</v>
      </c>
      <c r="M1076">
        <f>IF(AND(MOD(C1076,12)=1,D1076&lt;='[1]Product parameters'!$C$2),I1075*[1]model_point!$G$2,0)</f>
        <v>0</v>
      </c>
      <c r="N1076">
        <f t="shared" si="179"/>
        <v>0</v>
      </c>
      <c r="O1076">
        <f>[2]results_sample_product_cf!G1075</f>
        <v>0</v>
      </c>
      <c r="P1076">
        <f>[2]results_sample_product_cf!H1075</f>
        <v>0</v>
      </c>
      <c r="Q1076">
        <f t="shared" si="180"/>
        <v>0</v>
      </c>
      <c r="R1076">
        <f t="shared" si="176"/>
        <v>0</v>
      </c>
    </row>
    <row r="1077" spans="1:18" x14ac:dyDescent="0.3">
      <c r="A1077">
        <f t="shared" si="181"/>
        <v>1074</v>
      </c>
      <c r="B1077">
        <f t="shared" si="182"/>
        <v>90</v>
      </c>
      <c r="C1077">
        <f t="shared" si="183"/>
        <v>1079</v>
      </c>
      <c r="D1077">
        <f t="shared" si="177"/>
        <v>90</v>
      </c>
      <c r="E1077">
        <f>[1]model_point!$C$2+D1077-1</f>
        <v>94</v>
      </c>
      <c r="F1077">
        <f>VLOOKUP(E1077,'[1]202512 BE mortality'!$A:$C,3,0)</f>
        <v>1.2671429787984977E-3</v>
      </c>
      <c r="G1077">
        <f>VLOOKUP(D1077,'[1]202512 BE lapse'!$C:$D,2,0)</f>
        <v>7.5235870245375484E-4</v>
      </c>
      <c r="H1077">
        <f>VLOOKUP($B1077,'[1]202512 RFR'!$A:$B,2,0)</f>
        <v>1.2E-2</v>
      </c>
      <c r="I1077">
        <f t="shared" si="184"/>
        <v>0.79243185411041284</v>
      </c>
      <c r="J1077">
        <f t="shared" si="185"/>
        <v>8.3734522265822977E-5</v>
      </c>
      <c r="K1077">
        <f t="shared" si="186"/>
        <v>0</v>
      </c>
      <c r="L1077">
        <f t="shared" si="178"/>
        <v>0.29782769702716688</v>
      </c>
      <c r="M1077">
        <f>IF(AND(MOD(C1077,12)=1,D1077&lt;='[1]Product parameters'!$C$2),I1076*[1]model_point!$G$2,0)</f>
        <v>0</v>
      </c>
      <c r="N1077">
        <f t="shared" si="179"/>
        <v>0</v>
      </c>
      <c r="O1077">
        <f>[2]results_sample_product_cf!G1076</f>
        <v>0</v>
      </c>
      <c r="P1077">
        <f>[2]results_sample_product_cf!H1076</f>
        <v>0</v>
      </c>
      <c r="Q1077">
        <f t="shared" si="180"/>
        <v>0</v>
      </c>
      <c r="R1077">
        <f t="shared" si="176"/>
        <v>0</v>
      </c>
    </row>
    <row r="1078" spans="1:18" x14ac:dyDescent="0.3">
      <c r="A1078">
        <f t="shared" si="181"/>
        <v>1075</v>
      </c>
      <c r="B1078">
        <f t="shared" si="182"/>
        <v>90</v>
      </c>
      <c r="C1078">
        <f t="shared" si="183"/>
        <v>1080</v>
      </c>
      <c r="D1078">
        <f t="shared" si="177"/>
        <v>90</v>
      </c>
      <c r="E1078">
        <f>[1]model_point!$C$2+D1078-1</f>
        <v>94</v>
      </c>
      <c r="F1078">
        <f>VLOOKUP(E1078,'[1]202512 BE mortality'!$A:$C,3,0)</f>
        <v>1.2671429787984977E-3</v>
      </c>
      <c r="G1078">
        <f>VLOOKUP(D1078,'[1]202512 BE lapse'!$C:$D,2,0)</f>
        <v>7.5235870245375484E-4</v>
      </c>
      <c r="H1078">
        <f>VLOOKUP($B1078,'[1]202512 RFR'!$A:$B,2,0)</f>
        <v>1.2E-2</v>
      </c>
      <c r="I1078">
        <f t="shared" si="184"/>
        <v>0.79175199842545285</v>
      </c>
      <c r="J1078">
        <f t="shared" si="185"/>
        <v>8.3725675158813774E-5</v>
      </c>
      <c r="K1078">
        <f t="shared" si="186"/>
        <v>5.9613000980120884E-4</v>
      </c>
      <c r="L1078">
        <f t="shared" si="178"/>
        <v>0.29753178922561319</v>
      </c>
      <c r="M1078">
        <f>IF(AND(MOD(C1078,12)=1,D1078&lt;='[1]Product parameters'!$C$2),I1077*[1]model_point!$G$2,0)</f>
        <v>0</v>
      </c>
      <c r="N1078">
        <f t="shared" si="179"/>
        <v>0</v>
      </c>
      <c r="O1078">
        <f>[2]results_sample_product_cf!G1077</f>
        <v>0</v>
      </c>
      <c r="P1078">
        <f>[2]results_sample_product_cf!H1077</f>
        <v>0</v>
      </c>
      <c r="Q1078">
        <f t="shared" si="180"/>
        <v>0</v>
      </c>
      <c r="R1078">
        <f t="shared" si="176"/>
        <v>0</v>
      </c>
    </row>
    <row r="1079" spans="1:18" x14ac:dyDescent="0.3">
      <c r="A1079">
        <f t="shared" si="181"/>
        <v>1076</v>
      </c>
      <c r="B1079">
        <f t="shared" si="182"/>
        <v>90</v>
      </c>
      <c r="C1079">
        <f t="shared" si="183"/>
        <v>1081</v>
      </c>
      <c r="D1079">
        <f t="shared" si="177"/>
        <v>91</v>
      </c>
      <c r="E1079">
        <f>[1]model_point!$C$2+D1079-1</f>
        <v>95</v>
      </c>
      <c r="F1079">
        <f>VLOOKUP(E1079,'[1]202512 BE mortality'!$A:$C,3,0)</f>
        <v>7.1438745331268141E-3</v>
      </c>
      <c r="G1079">
        <f>VLOOKUP(D1079,'[1]202512 BE lapse'!$C:$D,2,0)</f>
        <v>9.3811149788177121E-3</v>
      </c>
      <c r="H1079">
        <f>VLOOKUP($B1079,'[1]202512 RFR'!$A:$B,2,0)</f>
        <v>1.2E-2</v>
      </c>
      <c r="I1079">
        <f t="shared" si="184"/>
        <v>0.79127909994281143</v>
      </c>
      <c r="J1079">
        <f t="shared" si="185"/>
        <v>4.7289848264137676E-4</v>
      </c>
      <c r="K1079">
        <f t="shared" si="186"/>
        <v>0</v>
      </c>
      <c r="L1079">
        <f t="shared" si="178"/>
        <v>0.29723617542434189</v>
      </c>
      <c r="M1079">
        <f>IF(AND(MOD(C1079,12)=1,D1079&lt;='[1]Product parameters'!$C$2),I1078*[1]model_point!$G$2,0)</f>
        <v>0</v>
      </c>
      <c r="N1079">
        <f t="shared" si="179"/>
        <v>0</v>
      </c>
      <c r="O1079">
        <f>[2]results_sample_product_cf!G1078</f>
        <v>0</v>
      </c>
      <c r="P1079">
        <f>[2]results_sample_product_cf!H1078</f>
        <v>0</v>
      </c>
      <c r="Q1079">
        <f t="shared" si="180"/>
        <v>0</v>
      </c>
      <c r="R1079">
        <f t="shared" si="176"/>
        <v>0</v>
      </c>
    </row>
    <row r="1080" spans="1:18" x14ac:dyDescent="0.3">
      <c r="A1080">
        <f t="shared" si="181"/>
        <v>1077</v>
      </c>
      <c r="B1080">
        <f t="shared" si="182"/>
        <v>90</v>
      </c>
      <c r="C1080">
        <f t="shared" si="183"/>
        <v>1082</v>
      </c>
      <c r="D1080">
        <f t="shared" si="177"/>
        <v>91</v>
      </c>
      <c r="E1080">
        <f>[1]model_point!$C$2+D1080-1</f>
        <v>95</v>
      </c>
      <c r="F1080">
        <f>VLOOKUP(E1080,'[1]202512 BE mortality'!$A:$C,3,0)</f>
        <v>7.1438745331268141E-3</v>
      </c>
      <c r="G1080">
        <f>VLOOKUP(D1080,'[1]202512 BE lapse'!$C:$D,2,0)</f>
        <v>9.3811149788177121E-3</v>
      </c>
      <c r="H1080">
        <f>VLOOKUP($B1080,'[1]202512 RFR'!$A:$B,2,0)</f>
        <v>1.2E-2</v>
      </c>
      <c r="I1080">
        <f t="shared" si="184"/>
        <v>0.79080648391348285</v>
      </c>
      <c r="J1080">
        <f t="shared" si="185"/>
        <v>4.7261602932856001E-4</v>
      </c>
      <c r="K1080">
        <f t="shared" si="186"/>
        <v>0</v>
      </c>
      <c r="L1080">
        <f t="shared" si="178"/>
        <v>0.29694085533124787</v>
      </c>
      <c r="M1080">
        <f>IF(AND(MOD(C1080,12)=1,D1080&lt;='[1]Product parameters'!$C$2),I1079*[1]model_point!$G$2,0)</f>
        <v>0</v>
      </c>
      <c r="N1080">
        <f t="shared" si="179"/>
        <v>0</v>
      </c>
      <c r="O1080">
        <f>[2]results_sample_product_cf!G1079</f>
        <v>0</v>
      </c>
      <c r="P1080">
        <f>[2]results_sample_product_cf!H1079</f>
        <v>0</v>
      </c>
      <c r="Q1080">
        <f t="shared" si="180"/>
        <v>0</v>
      </c>
      <c r="R1080">
        <f t="shared" si="176"/>
        <v>0</v>
      </c>
    </row>
    <row r="1081" spans="1:18" x14ac:dyDescent="0.3">
      <c r="A1081">
        <f t="shared" si="181"/>
        <v>1078</v>
      </c>
      <c r="B1081">
        <f t="shared" si="182"/>
        <v>90</v>
      </c>
      <c r="C1081">
        <f t="shared" si="183"/>
        <v>1083</v>
      </c>
      <c r="D1081">
        <f t="shared" si="177"/>
        <v>91</v>
      </c>
      <c r="E1081">
        <f>[1]model_point!$C$2+D1081-1</f>
        <v>95</v>
      </c>
      <c r="F1081">
        <f>VLOOKUP(E1081,'[1]202512 BE mortality'!$A:$C,3,0)</f>
        <v>7.1438745331268141E-3</v>
      </c>
      <c r="G1081">
        <f>VLOOKUP(D1081,'[1]202512 BE lapse'!$C:$D,2,0)</f>
        <v>9.3811149788177121E-3</v>
      </c>
      <c r="H1081">
        <f>VLOOKUP($B1081,'[1]202512 RFR'!$A:$B,2,0)</f>
        <v>1.2E-2</v>
      </c>
      <c r="I1081">
        <f t="shared" si="184"/>
        <v>0.79033415016876307</v>
      </c>
      <c r="J1081">
        <f t="shared" si="185"/>
        <v>4.7233374471976087E-4</v>
      </c>
      <c r="K1081">
        <f t="shared" si="186"/>
        <v>0</v>
      </c>
      <c r="L1081">
        <f t="shared" si="178"/>
        <v>0.29664582865451633</v>
      </c>
      <c r="M1081">
        <f>IF(AND(MOD(C1081,12)=1,D1081&lt;='[1]Product parameters'!$C$2),I1080*[1]model_point!$G$2,0)</f>
        <v>0</v>
      </c>
      <c r="N1081">
        <f t="shared" si="179"/>
        <v>0</v>
      </c>
      <c r="O1081">
        <f>[2]results_sample_product_cf!G1080</f>
        <v>0</v>
      </c>
      <c r="P1081">
        <f>[2]results_sample_product_cf!H1080</f>
        <v>0</v>
      </c>
      <c r="Q1081">
        <f t="shared" si="180"/>
        <v>0</v>
      </c>
      <c r="R1081">
        <f t="shared" si="176"/>
        <v>0</v>
      </c>
    </row>
    <row r="1082" spans="1:18" x14ac:dyDescent="0.3">
      <c r="A1082">
        <f t="shared" si="181"/>
        <v>1079</v>
      </c>
      <c r="B1082">
        <f t="shared" si="182"/>
        <v>90</v>
      </c>
      <c r="C1082">
        <f t="shared" si="183"/>
        <v>1084</v>
      </c>
      <c r="D1082">
        <f t="shared" si="177"/>
        <v>91</v>
      </c>
      <c r="E1082">
        <f>[1]model_point!$C$2+D1082-1</f>
        <v>95</v>
      </c>
      <c r="F1082">
        <f>VLOOKUP(E1082,'[1]202512 BE mortality'!$A:$C,3,0)</f>
        <v>7.1438745331268141E-3</v>
      </c>
      <c r="G1082">
        <f>VLOOKUP(D1082,'[1]202512 BE lapse'!$C:$D,2,0)</f>
        <v>9.3811149788177121E-3</v>
      </c>
      <c r="H1082">
        <f>VLOOKUP($B1082,'[1]202512 RFR'!$A:$B,2,0)</f>
        <v>1.2E-2</v>
      </c>
      <c r="I1082">
        <f t="shared" si="184"/>
        <v>0.78986209854004885</v>
      </c>
      <c r="J1082">
        <f t="shared" si="185"/>
        <v>4.7205162871421553E-4</v>
      </c>
      <c r="K1082">
        <f t="shared" si="186"/>
        <v>0</v>
      </c>
      <c r="L1082">
        <f t="shared" si="178"/>
        <v>0.29635109510262231</v>
      </c>
      <c r="M1082">
        <f>IF(AND(MOD(C1082,12)=1,D1082&lt;='[1]Product parameters'!$C$2),I1081*[1]model_point!$G$2,0)</f>
        <v>0</v>
      </c>
      <c r="N1082">
        <f t="shared" si="179"/>
        <v>0</v>
      </c>
      <c r="O1082">
        <f>[2]results_sample_product_cf!G1081</f>
        <v>0</v>
      </c>
      <c r="P1082">
        <f>[2]results_sample_product_cf!H1081</f>
        <v>0</v>
      </c>
      <c r="Q1082">
        <f t="shared" si="180"/>
        <v>0</v>
      </c>
      <c r="R1082">
        <f t="shared" si="176"/>
        <v>0</v>
      </c>
    </row>
    <row r="1083" spans="1:18" x14ac:dyDescent="0.3">
      <c r="A1083">
        <f t="shared" si="181"/>
        <v>1080</v>
      </c>
      <c r="B1083">
        <f t="shared" si="182"/>
        <v>90</v>
      </c>
      <c r="C1083">
        <f t="shared" si="183"/>
        <v>1085</v>
      </c>
      <c r="D1083">
        <f t="shared" si="177"/>
        <v>91</v>
      </c>
      <c r="E1083">
        <f>[1]model_point!$C$2+D1083-1</f>
        <v>95</v>
      </c>
      <c r="F1083">
        <f>VLOOKUP(E1083,'[1]202512 BE mortality'!$A:$C,3,0)</f>
        <v>7.1438745331268141E-3</v>
      </c>
      <c r="G1083">
        <f>VLOOKUP(D1083,'[1]202512 BE lapse'!$C:$D,2,0)</f>
        <v>9.3811149788177121E-3</v>
      </c>
      <c r="H1083">
        <f>VLOOKUP($B1083,'[1]202512 RFR'!$A:$B,2,0)</f>
        <v>1.2E-2</v>
      </c>
      <c r="I1083">
        <f t="shared" si="184"/>
        <v>0.78939032885883764</v>
      </c>
      <c r="J1083">
        <f t="shared" si="185"/>
        <v>4.7176968121122055E-4</v>
      </c>
      <c r="K1083">
        <f t="shared" si="186"/>
        <v>0</v>
      </c>
      <c r="L1083">
        <f t="shared" si="178"/>
        <v>0.2960566543843306</v>
      </c>
      <c r="M1083">
        <f>IF(AND(MOD(C1083,12)=1,D1083&lt;='[1]Product parameters'!$C$2),I1082*[1]model_point!$G$2,0)</f>
        <v>0</v>
      </c>
      <c r="N1083">
        <f t="shared" si="179"/>
        <v>0</v>
      </c>
      <c r="O1083">
        <f>[2]results_sample_product_cf!G1082</f>
        <v>0</v>
      </c>
      <c r="P1083">
        <f>[2]results_sample_product_cf!H1082</f>
        <v>0</v>
      </c>
      <c r="Q1083">
        <f t="shared" si="180"/>
        <v>0</v>
      </c>
      <c r="R1083">
        <f t="shared" si="176"/>
        <v>0</v>
      </c>
    </row>
    <row r="1084" spans="1:18" x14ac:dyDescent="0.3">
      <c r="A1084">
        <f t="shared" si="181"/>
        <v>1081</v>
      </c>
      <c r="B1084">
        <f t="shared" si="182"/>
        <v>91</v>
      </c>
      <c r="C1084">
        <f t="shared" si="183"/>
        <v>1086</v>
      </c>
      <c r="D1084">
        <f t="shared" si="177"/>
        <v>91</v>
      </c>
      <c r="E1084">
        <f>[1]model_point!$C$2+D1084-1</f>
        <v>95</v>
      </c>
      <c r="F1084">
        <f>VLOOKUP(E1084,'[1]202512 BE mortality'!$A:$C,3,0)</f>
        <v>7.1438745331268141E-3</v>
      </c>
      <c r="G1084">
        <f>VLOOKUP(D1084,'[1]202512 BE lapse'!$C:$D,2,0)</f>
        <v>9.3811149788177121E-3</v>
      </c>
      <c r="H1084">
        <f>VLOOKUP($B1084,'[1]202512 RFR'!$A:$B,2,0)</f>
        <v>1.2E-2</v>
      </c>
      <c r="I1084">
        <f t="shared" si="184"/>
        <v>0.78891884095672749</v>
      </c>
      <c r="J1084">
        <f t="shared" si="185"/>
        <v>4.7148790211013251E-4</v>
      </c>
      <c r="K1084">
        <f t="shared" si="186"/>
        <v>0</v>
      </c>
      <c r="L1084">
        <f t="shared" si="178"/>
        <v>0.29576250620869532</v>
      </c>
      <c r="M1084">
        <f>IF(AND(MOD(C1084,12)=1,D1084&lt;='[1]Product parameters'!$C$2),I1083*[1]model_point!$G$2,0)</f>
        <v>0</v>
      </c>
      <c r="N1084">
        <f t="shared" si="179"/>
        <v>0</v>
      </c>
      <c r="O1084">
        <f>[2]results_sample_product_cf!G1083</f>
        <v>0</v>
      </c>
      <c r="P1084">
        <f>[2]results_sample_product_cf!H1083</f>
        <v>0</v>
      </c>
      <c r="Q1084">
        <f t="shared" si="180"/>
        <v>0</v>
      </c>
      <c r="R1084">
        <f t="shared" si="176"/>
        <v>0</v>
      </c>
    </row>
    <row r="1085" spans="1:18" x14ac:dyDescent="0.3">
      <c r="A1085">
        <f t="shared" si="181"/>
        <v>1082</v>
      </c>
      <c r="B1085">
        <f t="shared" si="182"/>
        <v>91</v>
      </c>
      <c r="C1085">
        <f t="shared" si="183"/>
        <v>1087</v>
      </c>
      <c r="D1085">
        <f t="shared" si="177"/>
        <v>91</v>
      </c>
      <c r="E1085">
        <f>[1]model_point!$C$2+D1085-1</f>
        <v>95</v>
      </c>
      <c r="F1085">
        <f>VLOOKUP(E1085,'[1]202512 BE mortality'!$A:$C,3,0)</f>
        <v>7.1438745331268141E-3</v>
      </c>
      <c r="G1085">
        <f>VLOOKUP(D1085,'[1]202512 BE lapse'!$C:$D,2,0)</f>
        <v>9.3811149788177121E-3</v>
      </c>
      <c r="H1085">
        <f>VLOOKUP($B1085,'[1]202512 RFR'!$A:$B,2,0)</f>
        <v>1.2E-2</v>
      </c>
      <c r="I1085">
        <f t="shared" si="184"/>
        <v>0.78844763466541712</v>
      </c>
      <c r="J1085">
        <f t="shared" si="185"/>
        <v>4.7120629131036814E-4</v>
      </c>
      <c r="K1085">
        <f t="shared" si="186"/>
        <v>0</v>
      </c>
      <c r="L1085">
        <f t="shared" si="178"/>
        <v>0.29546865028505959</v>
      </c>
      <c r="M1085">
        <f>IF(AND(MOD(C1085,12)=1,D1085&lt;='[1]Product parameters'!$C$2),I1084*[1]model_point!$G$2,0)</f>
        <v>0</v>
      </c>
      <c r="N1085">
        <f t="shared" si="179"/>
        <v>0</v>
      </c>
      <c r="O1085">
        <f>[2]results_sample_product_cf!G1084</f>
        <v>0</v>
      </c>
      <c r="P1085">
        <f>[2]results_sample_product_cf!H1084</f>
        <v>0</v>
      </c>
      <c r="Q1085">
        <f t="shared" si="180"/>
        <v>0</v>
      </c>
      <c r="R1085">
        <f t="shared" si="176"/>
        <v>0</v>
      </c>
    </row>
    <row r="1086" spans="1:18" x14ac:dyDescent="0.3">
      <c r="A1086">
        <f t="shared" si="181"/>
        <v>1083</v>
      </c>
      <c r="B1086">
        <f t="shared" si="182"/>
        <v>91</v>
      </c>
      <c r="C1086">
        <f t="shared" si="183"/>
        <v>1088</v>
      </c>
      <c r="D1086">
        <f t="shared" si="177"/>
        <v>91</v>
      </c>
      <c r="E1086">
        <f>[1]model_point!$C$2+D1086-1</f>
        <v>95</v>
      </c>
      <c r="F1086">
        <f>VLOOKUP(E1086,'[1]202512 BE mortality'!$A:$C,3,0)</f>
        <v>7.1438745331268141E-3</v>
      </c>
      <c r="G1086">
        <f>VLOOKUP(D1086,'[1]202512 BE lapse'!$C:$D,2,0)</f>
        <v>9.3811149788177121E-3</v>
      </c>
      <c r="H1086">
        <f>VLOOKUP($B1086,'[1]202512 RFR'!$A:$B,2,0)</f>
        <v>1.2E-2</v>
      </c>
      <c r="I1086">
        <f t="shared" si="184"/>
        <v>0.78797670981670576</v>
      </c>
      <c r="J1086">
        <f t="shared" si="185"/>
        <v>4.7092484871140417E-4</v>
      </c>
      <c r="K1086">
        <f t="shared" si="186"/>
        <v>0</v>
      </c>
      <c r="L1086">
        <f t="shared" si="178"/>
        <v>0.29517508632305539</v>
      </c>
      <c r="M1086">
        <f>IF(AND(MOD(C1086,12)=1,D1086&lt;='[1]Product parameters'!$C$2),I1085*[1]model_point!$G$2,0)</f>
        <v>0</v>
      </c>
      <c r="N1086">
        <f t="shared" si="179"/>
        <v>0</v>
      </c>
      <c r="O1086">
        <f>[2]results_sample_product_cf!G1085</f>
        <v>0</v>
      </c>
      <c r="P1086">
        <f>[2]results_sample_product_cf!H1085</f>
        <v>0</v>
      </c>
      <c r="Q1086">
        <f t="shared" si="180"/>
        <v>0</v>
      </c>
      <c r="R1086">
        <f t="shared" si="176"/>
        <v>0</v>
      </c>
    </row>
    <row r="1087" spans="1:18" x14ac:dyDescent="0.3">
      <c r="A1087">
        <f t="shared" si="181"/>
        <v>1084</v>
      </c>
      <c r="B1087">
        <f t="shared" si="182"/>
        <v>91</v>
      </c>
      <c r="C1087">
        <f t="shared" si="183"/>
        <v>1089</v>
      </c>
      <c r="D1087">
        <f t="shared" si="177"/>
        <v>91</v>
      </c>
      <c r="E1087">
        <f>[1]model_point!$C$2+D1087-1</f>
        <v>95</v>
      </c>
      <c r="F1087">
        <f>VLOOKUP(E1087,'[1]202512 BE mortality'!$A:$C,3,0)</f>
        <v>7.1438745331268141E-3</v>
      </c>
      <c r="G1087">
        <f>VLOOKUP(D1087,'[1]202512 BE lapse'!$C:$D,2,0)</f>
        <v>9.3811149788177121E-3</v>
      </c>
      <c r="H1087">
        <f>VLOOKUP($B1087,'[1]202512 RFR'!$A:$B,2,0)</f>
        <v>1.2E-2</v>
      </c>
      <c r="I1087">
        <f t="shared" si="184"/>
        <v>0.78750606624249297</v>
      </c>
      <c r="J1087">
        <f t="shared" si="185"/>
        <v>4.7064357421277761E-4</v>
      </c>
      <c r="K1087">
        <f t="shared" si="186"/>
        <v>0</v>
      </c>
      <c r="L1087">
        <f t="shared" si="178"/>
        <v>0.29488181403260316</v>
      </c>
      <c r="M1087">
        <f>IF(AND(MOD(C1087,12)=1,D1087&lt;='[1]Product parameters'!$C$2),I1086*[1]model_point!$G$2,0)</f>
        <v>0</v>
      </c>
      <c r="N1087">
        <f t="shared" si="179"/>
        <v>0</v>
      </c>
      <c r="O1087">
        <f>[2]results_sample_product_cf!G1086</f>
        <v>0</v>
      </c>
      <c r="P1087">
        <f>[2]results_sample_product_cf!H1086</f>
        <v>0</v>
      </c>
      <c r="Q1087">
        <f t="shared" si="180"/>
        <v>0</v>
      </c>
      <c r="R1087">
        <f t="shared" si="176"/>
        <v>0</v>
      </c>
    </row>
    <row r="1088" spans="1:18" x14ac:dyDescent="0.3">
      <c r="A1088">
        <f t="shared" si="181"/>
        <v>1085</v>
      </c>
      <c r="B1088">
        <f t="shared" si="182"/>
        <v>91</v>
      </c>
      <c r="C1088">
        <f t="shared" si="183"/>
        <v>1090</v>
      </c>
      <c r="D1088">
        <f t="shared" si="177"/>
        <v>91</v>
      </c>
      <c r="E1088">
        <f>[1]model_point!$C$2+D1088-1</f>
        <v>95</v>
      </c>
      <c r="F1088">
        <f>VLOOKUP(E1088,'[1]202512 BE mortality'!$A:$C,3,0)</f>
        <v>7.1438745331268141E-3</v>
      </c>
      <c r="G1088">
        <f>VLOOKUP(D1088,'[1]202512 BE lapse'!$C:$D,2,0)</f>
        <v>9.3811149788177121E-3</v>
      </c>
      <c r="H1088">
        <f>VLOOKUP($B1088,'[1]202512 RFR'!$A:$B,2,0)</f>
        <v>1.2E-2</v>
      </c>
      <c r="I1088">
        <f t="shared" si="184"/>
        <v>0.78703570377477894</v>
      </c>
      <c r="J1088">
        <f t="shared" si="185"/>
        <v>4.7036246771408512E-4</v>
      </c>
      <c r="K1088">
        <f t="shared" si="186"/>
        <v>0</v>
      </c>
      <c r="L1088">
        <f t="shared" si="178"/>
        <v>0.29458883312391154</v>
      </c>
      <c r="M1088">
        <f>IF(AND(MOD(C1088,12)=1,D1088&lt;='[1]Product parameters'!$C$2),I1087*[1]model_point!$G$2,0)</f>
        <v>0</v>
      </c>
      <c r="N1088">
        <f t="shared" si="179"/>
        <v>0</v>
      </c>
      <c r="O1088">
        <f>[2]results_sample_product_cf!G1087</f>
        <v>0</v>
      </c>
      <c r="P1088">
        <f>[2]results_sample_product_cf!H1087</f>
        <v>0</v>
      </c>
      <c r="Q1088">
        <f t="shared" si="180"/>
        <v>0</v>
      </c>
      <c r="R1088">
        <f t="shared" si="176"/>
        <v>0</v>
      </c>
    </row>
    <row r="1089" spans="1:18" x14ac:dyDescent="0.3">
      <c r="A1089">
        <f t="shared" si="181"/>
        <v>1086</v>
      </c>
      <c r="B1089">
        <f t="shared" si="182"/>
        <v>91</v>
      </c>
      <c r="C1089">
        <f t="shared" si="183"/>
        <v>1091</v>
      </c>
      <c r="D1089">
        <f t="shared" si="177"/>
        <v>91</v>
      </c>
      <c r="E1089">
        <f>[1]model_point!$C$2+D1089-1</f>
        <v>95</v>
      </c>
      <c r="F1089">
        <f>VLOOKUP(E1089,'[1]202512 BE mortality'!$A:$C,3,0)</f>
        <v>7.1438745331268141E-3</v>
      </c>
      <c r="G1089">
        <f>VLOOKUP(D1089,'[1]202512 BE lapse'!$C:$D,2,0)</f>
        <v>9.3811149788177121E-3</v>
      </c>
      <c r="H1089">
        <f>VLOOKUP($B1089,'[1]202512 RFR'!$A:$B,2,0)</f>
        <v>1.2E-2</v>
      </c>
      <c r="I1089">
        <f t="shared" si="184"/>
        <v>0.78656562224566395</v>
      </c>
      <c r="J1089">
        <f t="shared" si="185"/>
        <v>4.7008152911498367E-4</v>
      </c>
      <c r="K1089">
        <f t="shared" si="186"/>
        <v>0</v>
      </c>
      <c r="L1089">
        <f t="shared" si="178"/>
        <v>0.29429614330747716</v>
      </c>
      <c r="M1089">
        <f>IF(AND(MOD(C1089,12)=1,D1089&lt;='[1]Product parameters'!$C$2),I1088*[1]model_point!$G$2,0)</f>
        <v>0</v>
      </c>
      <c r="N1089">
        <f t="shared" si="179"/>
        <v>0</v>
      </c>
      <c r="O1089">
        <f>[2]results_sample_product_cf!G1088</f>
        <v>0</v>
      </c>
      <c r="P1089">
        <f>[2]results_sample_product_cf!H1088</f>
        <v>0</v>
      </c>
      <c r="Q1089">
        <f t="shared" si="180"/>
        <v>0</v>
      </c>
      <c r="R1089">
        <f t="shared" si="176"/>
        <v>0</v>
      </c>
    </row>
    <row r="1090" spans="1:18" x14ac:dyDescent="0.3">
      <c r="A1090">
        <f t="shared" si="181"/>
        <v>1087</v>
      </c>
      <c r="B1090">
        <f t="shared" si="182"/>
        <v>91</v>
      </c>
      <c r="C1090">
        <f t="shared" si="183"/>
        <v>1092</v>
      </c>
      <c r="D1090">
        <f t="shared" si="177"/>
        <v>91</v>
      </c>
      <c r="E1090">
        <f>[1]model_point!$C$2+D1090-1</f>
        <v>95</v>
      </c>
      <c r="F1090">
        <f>VLOOKUP(E1090,'[1]202512 BE mortality'!$A:$C,3,0)</f>
        <v>7.1438745331268141E-3</v>
      </c>
      <c r="G1090">
        <f>VLOOKUP(D1090,'[1]202512 BE lapse'!$C:$D,2,0)</f>
        <v>9.3811149788177121E-3</v>
      </c>
      <c r="H1090">
        <f>VLOOKUP($B1090,'[1]202512 RFR'!$A:$B,2,0)</f>
        <v>1.2E-2</v>
      </c>
      <c r="I1090">
        <f t="shared" si="184"/>
        <v>0.77872136620160781</v>
      </c>
      <c r="J1090">
        <f t="shared" si="185"/>
        <v>4.6980075831518992E-4</v>
      </c>
      <c r="K1090">
        <f t="shared" si="186"/>
        <v>7.3744552857409823E-3</v>
      </c>
      <c r="L1090">
        <f t="shared" si="178"/>
        <v>0.29400374429408421</v>
      </c>
      <c r="M1090">
        <f>IF(AND(MOD(C1090,12)=1,D1090&lt;='[1]Product parameters'!$C$2),I1089*[1]model_point!$G$2,0)</f>
        <v>0</v>
      </c>
      <c r="N1090">
        <f t="shared" si="179"/>
        <v>0</v>
      </c>
      <c r="O1090">
        <f>[2]results_sample_product_cf!G1089</f>
        <v>0</v>
      </c>
      <c r="P1090">
        <f>[2]results_sample_product_cf!H1089</f>
        <v>0</v>
      </c>
      <c r="Q1090">
        <f t="shared" si="180"/>
        <v>0</v>
      </c>
      <c r="R1090">
        <f t="shared" si="176"/>
        <v>0</v>
      </c>
    </row>
    <row r="1091" spans="1:18" x14ac:dyDescent="0.3">
      <c r="A1091">
        <f t="shared" si="181"/>
        <v>1088</v>
      </c>
      <c r="B1091">
        <f t="shared" si="182"/>
        <v>91</v>
      </c>
      <c r="C1091">
        <f t="shared" si="183"/>
        <v>1093</v>
      </c>
      <c r="D1091">
        <f t="shared" si="177"/>
        <v>92</v>
      </c>
      <c r="E1091">
        <f>[1]model_point!$C$2+D1091-1</f>
        <v>96</v>
      </c>
      <c r="F1091">
        <f>VLOOKUP(E1091,'[1]202512 BE mortality'!$A:$C,3,0)</f>
        <v>9.8431453037557317E-3</v>
      </c>
      <c r="G1091">
        <f>VLOOKUP(D1091,'[1]202512 BE lapse'!$C:$D,2,0)</f>
        <v>9.3426020082400738E-3</v>
      </c>
      <c r="H1091">
        <f>VLOOKUP($B1091,'[1]202512 RFR'!$A:$B,2,0)</f>
        <v>1.2E-2</v>
      </c>
      <c r="I1091">
        <f t="shared" si="184"/>
        <v>0.7780797106097882</v>
      </c>
      <c r="J1091">
        <f t="shared" si="185"/>
        <v>6.4165559181963712E-4</v>
      </c>
      <c r="K1091">
        <f t="shared" si="186"/>
        <v>0</v>
      </c>
      <c r="L1091">
        <f t="shared" si="178"/>
        <v>0.29371163579480425</v>
      </c>
      <c r="M1091">
        <f>IF(AND(MOD(C1091,12)=1,D1091&lt;='[1]Product parameters'!$C$2),I1090*[1]model_point!$G$2,0)</f>
        <v>0</v>
      </c>
      <c r="N1091">
        <f t="shared" si="179"/>
        <v>0</v>
      </c>
      <c r="O1091">
        <f>[2]results_sample_product_cf!G1090</f>
        <v>0</v>
      </c>
      <c r="P1091">
        <f>[2]results_sample_product_cf!H1090</f>
        <v>0</v>
      </c>
      <c r="Q1091">
        <f t="shared" si="180"/>
        <v>0</v>
      </c>
      <c r="R1091">
        <f t="shared" ref="R1091:R1154" si="187">ROUND(N1091-P1091,6)</f>
        <v>0</v>
      </c>
    </row>
    <row r="1092" spans="1:18" x14ac:dyDescent="0.3">
      <c r="A1092">
        <f t="shared" si="181"/>
        <v>1089</v>
      </c>
      <c r="B1092">
        <f t="shared" si="182"/>
        <v>91</v>
      </c>
      <c r="C1092">
        <f t="shared" si="183"/>
        <v>1094</v>
      </c>
      <c r="D1092">
        <f t="shared" ref="D1092:D1155" si="188">TRUNC((C1092-1)/12,0)+1</f>
        <v>92</v>
      </c>
      <c r="E1092">
        <f>[1]model_point!$C$2+D1092-1</f>
        <v>96</v>
      </c>
      <c r="F1092">
        <f>VLOOKUP(E1092,'[1]202512 BE mortality'!$A:$C,3,0)</f>
        <v>9.8431453037557317E-3</v>
      </c>
      <c r="G1092">
        <f>VLOOKUP(D1092,'[1]202512 BE lapse'!$C:$D,2,0)</f>
        <v>9.3426020082400738E-3</v>
      </c>
      <c r="H1092">
        <f>VLOOKUP($B1092,'[1]202512 RFR'!$A:$B,2,0)</f>
        <v>1.2E-2</v>
      </c>
      <c r="I1092">
        <f t="shared" si="184"/>
        <v>0.77743858373326569</v>
      </c>
      <c r="J1092">
        <f t="shared" si="185"/>
        <v>6.4112687652250627E-4</v>
      </c>
      <c r="K1092">
        <f t="shared" si="186"/>
        <v>0</v>
      </c>
      <c r="L1092">
        <f t="shared" ref="L1092:L1155" si="189">L1091/(1+H1092)^(1/12)</f>
        <v>0.29341981752099594</v>
      </c>
      <c r="M1092">
        <f>IF(AND(MOD(C1092,12)=1,D1092&lt;='[1]Product parameters'!$C$2),I1091*[1]model_point!$G$2,0)</f>
        <v>0</v>
      </c>
      <c r="N1092">
        <f t="shared" ref="N1092:N1155" si="190">SUMPRODUCT(L1092:L2291,M1093:M2292)/L1092</f>
        <v>0</v>
      </c>
      <c r="O1092">
        <f>[2]results_sample_product_cf!G1091</f>
        <v>0</v>
      </c>
      <c r="P1092">
        <f>[2]results_sample_product_cf!H1091</f>
        <v>0</v>
      </c>
      <c r="Q1092">
        <f t="shared" ref="Q1092:Q1155" si="191">ROUND(M1092-O1092,6)</f>
        <v>0</v>
      </c>
      <c r="R1092">
        <f t="shared" si="187"/>
        <v>0</v>
      </c>
    </row>
    <row r="1093" spans="1:18" x14ac:dyDescent="0.3">
      <c r="A1093">
        <f t="shared" ref="A1093:A1156" si="192">A1092+1</f>
        <v>1090</v>
      </c>
      <c r="B1093">
        <f t="shared" ref="B1093:B1156" si="193">INT((A1093-1)/12)+1</f>
        <v>91</v>
      </c>
      <c r="C1093">
        <f t="shared" ref="C1093:C1156" si="194">C1092+1</f>
        <v>1095</v>
      </c>
      <c r="D1093">
        <f t="shared" si="188"/>
        <v>92</v>
      </c>
      <c r="E1093">
        <f>[1]model_point!$C$2+D1093-1</f>
        <v>96</v>
      </c>
      <c r="F1093">
        <f>VLOOKUP(E1093,'[1]202512 BE mortality'!$A:$C,3,0)</f>
        <v>9.8431453037557317E-3</v>
      </c>
      <c r="G1093">
        <f>VLOOKUP(D1093,'[1]202512 BE lapse'!$C:$D,2,0)</f>
        <v>9.3426020082400738E-3</v>
      </c>
      <c r="H1093">
        <f>VLOOKUP($B1093,'[1]202512 RFR'!$A:$B,2,0)</f>
        <v>1.2E-2</v>
      </c>
      <c r="I1093">
        <f t="shared" ref="I1093:I1156" si="195">I1092-J1093-K1093</f>
        <v>0.7767979851363862</v>
      </c>
      <c r="J1093">
        <f t="shared" ref="J1093:J1156" si="196">I1092*(1-(1-F1093)^(1/12))</f>
        <v>6.4059859687943816E-4</v>
      </c>
      <c r="K1093">
        <f t="shared" ref="K1093:K1156" si="197">(I1092-J1093)*IF(MOD(C1093,12)=0,G1093,0)</f>
        <v>0</v>
      </c>
      <c r="L1093">
        <f t="shared" si="189"/>
        <v>0.29312828918430467</v>
      </c>
      <c r="M1093">
        <f>IF(AND(MOD(C1093,12)=1,D1093&lt;='[1]Product parameters'!$C$2),I1092*[1]model_point!$G$2,0)</f>
        <v>0</v>
      </c>
      <c r="N1093">
        <f t="shared" si="190"/>
        <v>0</v>
      </c>
      <c r="O1093">
        <f>[2]results_sample_product_cf!G1092</f>
        <v>0</v>
      </c>
      <c r="P1093">
        <f>[2]results_sample_product_cf!H1092</f>
        <v>0</v>
      </c>
      <c r="Q1093">
        <f t="shared" si="191"/>
        <v>0</v>
      </c>
      <c r="R1093">
        <f t="shared" si="187"/>
        <v>0</v>
      </c>
    </row>
    <row r="1094" spans="1:18" x14ac:dyDescent="0.3">
      <c r="A1094">
        <f t="shared" si="192"/>
        <v>1091</v>
      </c>
      <c r="B1094">
        <f t="shared" si="193"/>
        <v>91</v>
      </c>
      <c r="C1094">
        <f t="shared" si="194"/>
        <v>1096</v>
      </c>
      <c r="D1094">
        <f t="shared" si="188"/>
        <v>92</v>
      </c>
      <c r="E1094">
        <f>[1]model_point!$C$2+D1094-1</f>
        <v>96</v>
      </c>
      <c r="F1094">
        <f>VLOOKUP(E1094,'[1]202512 BE mortality'!$A:$C,3,0)</f>
        <v>9.8431453037557317E-3</v>
      </c>
      <c r="G1094">
        <f>VLOOKUP(D1094,'[1]202512 BE lapse'!$C:$D,2,0)</f>
        <v>9.3426020082400738E-3</v>
      </c>
      <c r="H1094">
        <f>VLOOKUP($B1094,'[1]202512 RFR'!$A:$B,2,0)</f>
        <v>1.2E-2</v>
      </c>
      <c r="I1094">
        <f t="shared" si="195"/>
        <v>0.77615791438385473</v>
      </c>
      <c r="J1094">
        <f t="shared" si="196"/>
        <v>6.4007075253145974E-4</v>
      </c>
      <c r="K1094">
        <f t="shared" si="197"/>
        <v>0</v>
      </c>
      <c r="L1094">
        <f t="shared" si="189"/>
        <v>0.29283705049666237</v>
      </c>
      <c r="M1094">
        <f>IF(AND(MOD(C1094,12)=1,D1094&lt;='[1]Product parameters'!$C$2),I1093*[1]model_point!$G$2,0)</f>
        <v>0</v>
      </c>
      <c r="N1094">
        <f t="shared" si="190"/>
        <v>0</v>
      </c>
      <c r="O1094">
        <f>[2]results_sample_product_cf!G1093</f>
        <v>0</v>
      </c>
      <c r="P1094">
        <f>[2]results_sample_product_cf!H1093</f>
        <v>0</v>
      </c>
      <c r="Q1094">
        <f t="shared" si="191"/>
        <v>0</v>
      </c>
      <c r="R1094">
        <f t="shared" si="187"/>
        <v>0</v>
      </c>
    </row>
    <row r="1095" spans="1:18" x14ac:dyDescent="0.3">
      <c r="A1095">
        <f t="shared" si="192"/>
        <v>1092</v>
      </c>
      <c r="B1095">
        <f t="shared" si="193"/>
        <v>91</v>
      </c>
      <c r="C1095">
        <f t="shared" si="194"/>
        <v>1097</v>
      </c>
      <c r="D1095">
        <f t="shared" si="188"/>
        <v>92</v>
      </c>
      <c r="E1095">
        <f>[1]model_point!$C$2+D1095-1</f>
        <v>96</v>
      </c>
      <c r="F1095">
        <f>VLOOKUP(E1095,'[1]202512 BE mortality'!$A:$C,3,0)</f>
        <v>9.8431453037557317E-3</v>
      </c>
      <c r="G1095">
        <f>VLOOKUP(D1095,'[1]202512 BE lapse'!$C:$D,2,0)</f>
        <v>9.3426020082400738E-3</v>
      </c>
      <c r="H1095">
        <f>VLOOKUP($B1095,'[1]202512 RFR'!$A:$B,2,0)</f>
        <v>1.2E-2</v>
      </c>
      <c r="I1095">
        <f t="shared" si="195"/>
        <v>0.77551837104073484</v>
      </c>
      <c r="J1095">
        <f t="shared" si="196"/>
        <v>6.3954334311989405E-4</v>
      </c>
      <c r="K1095">
        <f t="shared" si="197"/>
        <v>0</v>
      </c>
      <c r="L1095">
        <f t="shared" si="189"/>
        <v>0.29254610117028718</v>
      </c>
      <c r="M1095">
        <f>IF(AND(MOD(C1095,12)=1,D1095&lt;='[1]Product parameters'!$C$2),I1094*[1]model_point!$G$2,0)</f>
        <v>0</v>
      </c>
      <c r="N1095">
        <f t="shared" si="190"/>
        <v>0</v>
      </c>
      <c r="O1095">
        <f>[2]results_sample_product_cf!G1094</f>
        <v>0</v>
      </c>
      <c r="P1095">
        <f>[2]results_sample_product_cf!H1094</f>
        <v>0</v>
      </c>
      <c r="Q1095">
        <f t="shared" si="191"/>
        <v>0</v>
      </c>
      <c r="R1095">
        <f t="shared" si="187"/>
        <v>0</v>
      </c>
    </row>
    <row r="1096" spans="1:18" x14ac:dyDescent="0.3">
      <c r="A1096">
        <f t="shared" si="192"/>
        <v>1093</v>
      </c>
      <c r="B1096">
        <f t="shared" si="193"/>
        <v>92</v>
      </c>
      <c r="C1096">
        <f t="shared" si="194"/>
        <v>1098</v>
      </c>
      <c r="D1096">
        <f t="shared" si="188"/>
        <v>92</v>
      </c>
      <c r="E1096">
        <f>[1]model_point!$C$2+D1096-1</f>
        <v>96</v>
      </c>
      <c r="F1096">
        <f>VLOOKUP(E1096,'[1]202512 BE mortality'!$A:$C,3,0)</f>
        <v>9.8431453037557317E-3</v>
      </c>
      <c r="G1096">
        <f>VLOOKUP(D1096,'[1]202512 BE lapse'!$C:$D,2,0)</f>
        <v>9.3426020082400738E-3</v>
      </c>
      <c r="H1096">
        <f>VLOOKUP($B1096,'[1]202512 RFR'!$A:$B,2,0)</f>
        <v>1.2E-2</v>
      </c>
      <c r="I1096">
        <f t="shared" si="195"/>
        <v>0.77487935467244851</v>
      </c>
      <c r="J1096">
        <f t="shared" si="196"/>
        <v>6.3901636828635948E-4</v>
      </c>
      <c r="K1096">
        <f t="shared" si="197"/>
        <v>0</v>
      </c>
      <c r="L1096">
        <f t="shared" si="189"/>
        <v>0.29225544091768313</v>
      </c>
      <c r="M1096">
        <f>IF(AND(MOD(C1096,12)=1,D1096&lt;='[1]Product parameters'!$C$2),I1095*[1]model_point!$G$2,0)</f>
        <v>0</v>
      </c>
      <c r="N1096">
        <f t="shared" si="190"/>
        <v>0</v>
      </c>
      <c r="O1096">
        <f>[2]results_sample_product_cf!G1095</f>
        <v>0</v>
      </c>
      <c r="P1096">
        <f>[2]results_sample_product_cf!H1095</f>
        <v>0</v>
      </c>
      <c r="Q1096">
        <f t="shared" si="191"/>
        <v>0</v>
      </c>
      <c r="R1096">
        <f t="shared" si="187"/>
        <v>0</v>
      </c>
    </row>
    <row r="1097" spans="1:18" x14ac:dyDescent="0.3">
      <c r="A1097">
        <f t="shared" si="192"/>
        <v>1094</v>
      </c>
      <c r="B1097">
        <f t="shared" si="193"/>
        <v>92</v>
      </c>
      <c r="C1097">
        <f t="shared" si="194"/>
        <v>1099</v>
      </c>
      <c r="D1097">
        <f t="shared" si="188"/>
        <v>92</v>
      </c>
      <c r="E1097">
        <f>[1]model_point!$C$2+D1097-1</f>
        <v>96</v>
      </c>
      <c r="F1097">
        <f>VLOOKUP(E1097,'[1]202512 BE mortality'!$A:$C,3,0)</f>
        <v>9.8431453037557317E-3</v>
      </c>
      <c r="G1097">
        <f>VLOOKUP(D1097,'[1]202512 BE lapse'!$C:$D,2,0)</f>
        <v>9.3426020082400738E-3</v>
      </c>
      <c r="H1097">
        <f>VLOOKUP($B1097,'[1]202512 RFR'!$A:$B,2,0)</f>
        <v>1.2E-2</v>
      </c>
      <c r="I1097">
        <f t="shared" si="195"/>
        <v>0.77424086484477572</v>
      </c>
      <c r="J1097">
        <f t="shared" si="196"/>
        <v>6.3848982767276974E-4</v>
      </c>
      <c r="K1097">
        <f t="shared" si="197"/>
        <v>0</v>
      </c>
      <c r="L1097">
        <f t="shared" si="189"/>
        <v>0.29196506945163991</v>
      </c>
      <c r="M1097">
        <f>IF(AND(MOD(C1097,12)=1,D1097&lt;='[1]Product parameters'!$C$2),I1096*[1]model_point!$G$2,0)</f>
        <v>0</v>
      </c>
      <c r="N1097">
        <f t="shared" si="190"/>
        <v>0</v>
      </c>
      <c r="O1097">
        <f>[2]results_sample_product_cf!G1096</f>
        <v>0</v>
      </c>
      <c r="P1097">
        <f>[2]results_sample_product_cf!H1096</f>
        <v>0</v>
      </c>
      <c r="Q1097">
        <f t="shared" si="191"/>
        <v>0</v>
      </c>
      <c r="R1097">
        <f t="shared" si="187"/>
        <v>0</v>
      </c>
    </row>
    <row r="1098" spans="1:18" x14ac:dyDescent="0.3">
      <c r="A1098">
        <f t="shared" si="192"/>
        <v>1095</v>
      </c>
      <c r="B1098">
        <f t="shared" si="193"/>
        <v>92</v>
      </c>
      <c r="C1098">
        <f t="shared" si="194"/>
        <v>1100</v>
      </c>
      <c r="D1098">
        <f t="shared" si="188"/>
        <v>92</v>
      </c>
      <c r="E1098">
        <f>[1]model_point!$C$2+D1098-1</f>
        <v>96</v>
      </c>
      <c r="F1098">
        <f>VLOOKUP(E1098,'[1]202512 BE mortality'!$A:$C,3,0)</f>
        <v>9.8431453037557317E-3</v>
      </c>
      <c r="G1098">
        <f>VLOOKUP(D1098,'[1]202512 BE lapse'!$C:$D,2,0)</f>
        <v>9.3426020082400738E-3</v>
      </c>
      <c r="H1098">
        <f>VLOOKUP($B1098,'[1]202512 RFR'!$A:$B,2,0)</f>
        <v>1.2E-2</v>
      </c>
      <c r="I1098">
        <f t="shared" si="195"/>
        <v>0.77360290112385444</v>
      </c>
      <c r="J1098">
        <f t="shared" si="196"/>
        <v>6.3796372092133366E-4</v>
      </c>
      <c r="K1098">
        <f t="shared" si="197"/>
        <v>0</v>
      </c>
      <c r="L1098">
        <f t="shared" si="189"/>
        <v>0.2916749864852326</v>
      </c>
      <c r="M1098">
        <f>IF(AND(MOD(C1098,12)=1,D1098&lt;='[1]Product parameters'!$C$2),I1097*[1]model_point!$G$2,0)</f>
        <v>0</v>
      </c>
      <c r="N1098">
        <f t="shared" si="190"/>
        <v>0</v>
      </c>
      <c r="O1098">
        <f>[2]results_sample_product_cf!G1097</f>
        <v>0</v>
      </c>
      <c r="P1098">
        <f>[2]results_sample_product_cf!H1097</f>
        <v>0</v>
      </c>
      <c r="Q1098">
        <f t="shared" si="191"/>
        <v>0</v>
      </c>
      <c r="R1098">
        <f t="shared" si="187"/>
        <v>0</v>
      </c>
    </row>
    <row r="1099" spans="1:18" x14ac:dyDescent="0.3">
      <c r="A1099">
        <f t="shared" si="192"/>
        <v>1096</v>
      </c>
      <c r="B1099">
        <f t="shared" si="193"/>
        <v>92</v>
      </c>
      <c r="C1099">
        <f t="shared" si="194"/>
        <v>1101</v>
      </c>
      <c r="D1099">
        <f t="shared" si="188"/>
        <v>92</v>
      </c>
      <c r="E1099">
        <f>[1]model_point!$C$2+D1099-1</f>
        <v>96</v>
      </c>
      <c r="F1099">
        <f>VLOOKUP(E1099,'[1]202512 BE mortality'!$A:$C,3,0)</f>
        <v>9.8431453037557317E-3</v>
      </c>
      <c r="G1099">
        <f>VLOOKUP(D1099,'[1]202512 BE lapse'!$C:$D,2,0)</f>
        <v>9.3426020082400738E-3</v>
      </c>
      <c r="H1099">
        <f>VLOOKUP($B1099,'[1]202512 RFR'!$A:$B,2,0)</f>
        <v>1.2E-2</v>
      </c>
      <c r="I1099">
        <f t="shared" si="195"/>
        <v>0.77296546307617986</v>
      </c>
      <c r="J1099">
        <f t="shared" si="196"/>
        <v>6.3743804767455489E-4</v>
      </c>
      <c r="K1099">
        <f t="shared" si="197"/>
        <v>0</v>
      </c>
      <c r="L1099">
        <f t="shared" si="189"/>
        <v>0.29138519173182131</v>
      </c>
      <c r="M1099">
        <f>IF(AND(MOD(C1099,12)=1,D1099&lt;='[1]Product parameters'!$C$2),I1098*[1]model_point!$G$2,0)</f>
        <v>0</v>
      </c>
      <c r="N1099">
        <f t="shared" si="190"/>
        <v>0</v>
      </c>
      <c r="O1099">
        <f>[2]results_sample_product_cf!G1098</f>
        <v>0</v>
      </c>
      <c r="P1099">
        <f>[2]results_sample_product_cf!H1098</f>
        <v>0</v>
      </c>
      <c r="Q1099">
        <f t="shared" si="191"/>
        <v>0</v>
      </c>
      <c r="R1099">
        <f t="shared" si="187"/>
        <v>0</v>
      </c>
    </row>
    <row r="1100" spans="1:18" x14ac:dyDescent="0.3">
      <c r="A1100">
        <f t="shared" si="192"/>
        <v>1097</v>
      </c>
      <c r="B1100">
        <f t="shared" si="193"/>
        <v>92</v>
      </c>
      <c r="C1100">
        <f t="shared" si="194"/>
        <v>1102</v>
      </c>
      <c r="D1100">
        <f t="shared" si="188"/>
        <v>92</v>
      </c>
      <c r="E1100">
        <f>[1]model_point!$C$2+D1100-1</f>
        <v>96</v>
      </c>
      <c r="F1100">
        <f>VLOOKUP(E1100,'[1]202512 BE mortality'!$A:$C,3,0)</f>
        <v>9.8431453037557317E-3</v>
      </c>
      <c r="G1100">
        <f>VLOOKUP(D1100,'[1]202512 BE lapse'!$C:$D,2,0)</f>
        <v>9.3426020082400738E-3</v>
      </c>
      <c r="H1100">
        <f>VLOOKUP($B1100,'[1]202512 RFR'!$A:$B,2,0)</f>
        <v>1.2E-2</v>
      </c>
      <c r="I1100">
        <f t="shared" si="195"/>
        <v>0.77232855026860459</v>
      </c>
      <c r="J1100">
        <f t="shared" si="196"/>
        <v>6.3691280757523152E-4</v>
      </c>
      <c r="K1100">
        <f t="shared" si="197"/>
        <v>0</v>
      </c>
      <c r="L1100">
        <f t="shared" si="189"/>
        <v>0.29109568490505094</v>
      </c>
      <c r="M1100">
        <f>IF(AND(MOD(C1100,12)=1,D1100&lt;='[1]Product parameters'!$C$2),I1099*[1]model_point!$G$2,0)</f>
        <v>0</v>
      </c>
      <c r="N1100">
        <f t="shared" si="190"/>
        <v>0</v>
      </c>
      <c r="O1100">
        <f>[2]results_sample_product_cf!G1099</f>
        <v>0</v>
      </c>
      <c r="P1100">
        <f>[2]results_sample_product_cf!H1099</f>
        <v>0</v>
      </c>
      <c r="Q1100">
        <f t="shared" si="191"/>
        <v>0</v>
      </c>
      <c r="R1100">
        <f t="shared" si="187"/>
        <v>0</v>
      </c>
    </row>
    <row r="1101" spans="1:18" x14ac:dyDescent="0.3">
      <c r="A1101">
        <f t="shared" si="192"/>
        <v>1098</v>
      </c>
      <c r="B1101">
        <f t="shared" si="193"/>
        <v>92</v>
      </c>
      <c r="C1101">
        <f t="shared" si="194"/>
        <v>1103</v>
      </c>
      <c r="D1101">
        <f t="shared" si="188"/>
        <v>92</v>
      </c>
      <c r="E1101">
        <f>[1]model_point!$C$2+D1101-1</f>
        <v>96</v>
      </c>
      <c r="F1101">
        <f>VLOOKUP(E1101,'[1]202512 BE mortality'!$A:$C,3,0)</f>
        <v>9.8431453037557317E-3</v>
      </c>
      <c r="G1101">
        <f>VLOOKUP(D1101,'[1]202512 BE lapse'!$C:$D,2,0)</f>
        <v>9.3426020082400738E-3</v>
      </c>
      <c r="H1101">
        <f>VLOOKUP($B1101,'[1]202512 RFR'!$A:$B,2,0)</f>
        <v>1.2E-2</v>
      </c>
      <c r="I1101">
        <f t="shared" si="195"/>
        <v>0.77169216226833814</v>
      </c>
      <c r="J1101">
        <f t="shared" si="196"/>
        <v>6.3638800026645601E-4</v>
      </c>
      <c r="K1101">
        <f t="shared" si="197"/>
        <v>0</v>
      </c>
      <c r="L1101">
        <f t="shared" si="189"/>
        <v>0.29080646571885094</v>
      </c>
      <c r="M1101">
        <f>IF(AND(MOD(C1101,12)=1,D1101&lt;='[1]Product parameters'!$C$2),I1100*[1]model_point!$G$2,0)</f>
        <v>0</v>
      </c>
      <c r="N1101">
        <f t="shared" si="190"/>
        <v>0</v>
      </c>
      <c r="O1101">
        <f>[2]results_sample_product_cf!G1100</f>
        <v>0</v>
      </c>
      <c r="P1101">
        <f>[2]results_sample_product_cf!H1100</f>
        <v>0</v>
      </c>
      <c r="Q1101">
        <f t="shared" si="191"/>
        <v>0</v>
      </c>
      <c r="R1101">
        <f t="shared" si="187"/>
        <v>0</v>
      </c>
    </row>
    <row r="1102" spans="1:18" x14ac:dyDescent="0.3">
      <c r="A1102">
        <f t="shared" si="192"/>
        <v>1099</v>
      </c>
      <c r="B1102">
        <f t="shared" si="193"/>
        <v>92</v>
      </c>
      <c r="C1102">
        <f t="shared" si="194"/>
        <v>1104</v>
      </c>
      <c r="D1102">
        <f t="shared" si="188"/>
        <v>92</v>
      </c>
      <c r="E1102">
        <f>[1]model_point!$C$2+D1102-1</f>
        <v>96</v>
      </c>
      <c r="F1102">
        <f>VLOOKUP(E1102,'[1]202512 BE mortality'!$A:$C,3,0)</f>
        <v>9.8431453037557317E-3</v>
      </c>
      <c r="G1102">
        <f>VLOOKUP(D1102,'[1]202512 BE lapse'!$C:$D,2,0)</f>
        <v>9.3426020082400738E-3</v>
      </c>
      <c r="H1102">
        <f>VLOOKUP($B1102,'[1]202512 RFR'!$A:$B,2,0)</f>
        <v>1.2E-2</v>
      </c>
      <c r="I1102">
        <f t="shared" si="195"/>
        <v>0.76385262651877883</v>
      </c>
      <c r="J1102">
        <f t="shared" si="196"/>
        <v>6.358636253916152E-4</v>
      </c>
      <c r="K1102">
        <f t="shared" si="197"/>
        <v>7.2036721241677502E-3</v>
      </c>
      <c r="L1102">
        <f t="shared" si="189"/>
        <v>0.29051753388743495</v>
      </c>
      <c r="M1102">
        <f>IF(AND(MOD(C1102,12)=1,D1102&lt;='[1]Product parameters'!$C$2),I1101*[1]model_point!$G$2,0)</f>
        <v>0</v>
      </c>
      <c r="N1102">
        <f t="shared" si="190"/>
        <v>0</v>
      </c>
      <c r="O1102">
        <f>[2]results_sample_product_cf!G1101</f>
        <v>0</v>
      </c>
      <c r="P1102">
        <f>[2]results_sample_product_cf!H1101</f>
        <v>0</v>
      </c>
      <c r="Q1102">
        <f t="shared" si="191"/>
        <v>0</v>
      </c>
      <c r="R1102">
        <f t="shared" si="187"/>
        <v>0</v>
      </c>
    </row>
    <row r="1103" spans="1:18" x14ac:dyDescent="0.3">
      <c r="A1103">
        <f t="shared" si="192"/>
        <v>1100</v>
      </c>
      <c r="B1103">
        <f t="shared" si="193"/>
        <v>92</v>
      </c>
      <c r="C1103">
        <f t="shared" si="194"/>
        <v>1105</v>
      </c>
      <c r="D1103">
        <f t="shared" si="188"/>
        <v>93</v>
      </c>
      <c r="E1103">
        <f>[1]model_point!$C$2+D1103-1</f>
        <v>97</v>
      </c>
      <c r="F1103">
        <f>VLOOKUP(E1103,'[1]202512 BE mortality'!$A:$C,3,0)</f>
        <v>3.5623931944474929E-3</v>
      </c>
      <c r="G1103">
        <f>VLOOKUP(D1103,'[1]202512 BE lapse'!$C:$D,2,0)</f>
        <v>6.0532839573021859E-3</v>
      </c>
      <c r="H1103">
        <f>VLOOKUP($B1103,'[1]202512 RFR'!$A:$B,2,0)</f>
        <v>1.2E-2</v>
      </c>
      <c r="I1103">
        <f t="shared" si="195"/>
        <v>0.76362549347540609</v>
      </c>
      <c r="J1103">
        <f t="shared" si="196"/>
        <v>2.2713304337274926E-4</v>
      </c>
      <c r="K1103">
        <f t="shared" si="197"/>
        <v>0</v>
      </c>
      <c r="L1103">
        <f t="shared" si="189"/>
        <v>0.29022888912530059</v>
      </c>
      <c r="M1103">
        <f>IF(AND(MOD(C1103,12)=1,D1103&lt;='[1]Product parameters'!$C$2),I1102*[1]model_point!$G$2,0)</f>
        <v>0</v>
      </c>
      <c r="N1103">
        <f t="shared" si="190"/>
        <v>0</v>
      </c>
      <c r="O1103">
        <f>[2]results_sample_product_cf!G1102</f>
        <v>0</v>
      </c>
      <c r="P1103">
        <f>[2]results_sample_product_cf!H1102</f>
        <v>0</v>
      </c>
      <c r="Q1103">
        <f t="shared" si="191"/>
        <v>0</v>
      </c>
      <c r="R1103">
        <f t="shared" si="187"/>
        <v>0</v>
      </c>
    </row>
    <row r="1104" spans="1:18" x14ac:dyDescent="0.3">
      <c r="A1104">
        <f t="shared" si="192"/>
        <v>1101</v>
      </c>
      <c r="B1104">
        <f t="shared" si="193"/>
        <v>92</v>
      </c>
      <c r="C1104">
        <f t="shared" si="194"/>
        <v>1106</v>
      </c>
      <c r="D1104">
        <f t="shared" si="188"/>
        <v>93</v>
      </c>
      <c r="E1104">
        <f>[1]model_point!$C$2+D1104-1</f>
        <v>97</v>
      </c>
      <c r="F1104">
        <f>VLOOKUP(E1104,'[1]202512 BE mortality'!$A:$C,3,0)</f>
        <v>3.5623931944474929E-3</v>
      </c>
      <c r="G1104">
        <f>VLOOKUP(D1104,'[1]202512 BE lapse'!$C:$D,2,0)</f>
        <v>6.0532839573021859E-3</v>
      </c>
      <c r="H1104">
        <f>VLOOKUP($B1104,'[1]202512 RFR'!$A:$B,2,0)</f>
        <v>1.2E-2</v>
      </c>
      <c r="I1104">
        <f t="shared" si="195"/>
        <v>0.76339842797047941</v>
      </c>
      <c r="J1104">
        <f t="shared" si="196"/>
        <v>2.2706550492671826E-4</v>
      </c>
      <c r="K1104">
        <f t="shared" si="197"/>
        <v>0</v>
      </c>
      <c r="L1104">
        <f t="shared" si="189"/>
        <v>0.28994053114722912</v>
      </c>
      <c r="M1104">
        <f>IF(AND(MOD(C1104,12)=1,D1104&lt;='[1]Product parameters'!$C$2),I1103*[1]model_point!$G$2,0)</f>
        <v>0</v>
      </c>
      <c r="N1104">
        <f t="shared" si="190"/>
        <v>0</v>
      </c>
      <c r="O1104">
        <f>[2]results_sample_product_cf!G1103</f>
        <v>0</v>
      </c>
      <c r="P1104">
        <f>[2]results_sample_product_cf!H1103</f>
        <v>0</v>
      </c>
      <c r="Q1104">
        <f t="shared" si="191"/>
        <v>0</v>
      </c>
      <c r="R1104">
        <f t="shared" si="187"/>
        <v>0</v>
      </c>
    </row>
    <row r="1105" spans="1:18" x14ac:dyDescent="0.3">
      <c r="A1105">
        <f t="shared" si="192"/>
        <v>1102</v>
      </c>
      <c r="B1105">
        <f t="shared" si="193"/>
        <v>92</v>
      </c>
      <c r="C1105">
        <f t="shared" si="194"/>
        <v>1107</v>
      </c>
      <c r="D1105">
        <f t="shared" si="188"/>
        <v>93</v>
      </c>
      <c r="E1105">
        <f>[1]model_point!$C$2+D1105-1</f>
        <v>97</v>
      </c>
      <c r="F1105">
        <f>VLOOKUP(E1105,'[1]202512 BE mortality'!$A:$C,3,0)</f>
        <v>3.5623931944474929E-3</v>
      </c>
      <c r="G1105">
        <f>VLOOKUP(D1105,'[1]202512 BE lapse'!$C:$D,2,0)</f>
        <v>6.0532839573021859E-3</v>
      </c>
      <c r="H1105">
        <f>VLOOKUP($B1105,'[1]202512 RFR'!$A:$B,2,0)</f>
        <v>1.2E-2</v>
      </c>
      <c r="I1105">
        <f t="shared" si="195"/>
        <v>0.76317142998391607</v>
      </c>
      <c r="J1105">
        <f t="shared" si="196"/>
        <v>2.2699798656337374E-4</v>
      </c>
      <c r="K1105">
        <f t="shared" si="197"/>
        <v>0</v>
      </c>
      <c r="L1105">
        <f t="shared" si="189"/>
        <v>0.28965245966828518</v>
      </c>
      <c r="M1105">
        <f>IF(AND(MOD(C1105,12)=1,D1105&lt;='[1]Product parameters'!$C$2),I1104*[1]model_point!$G$2,0)</f>
        <v>0</v>
      </c>
      <c r="N1105">
        <f t="shared" si="190"/>
        <v>0</v>
      </c>
      <c r="O1105">
        <f>[2]results_sample_product_cf!G1104</f>
        <v>0</v>
      </c>
      <c r="P1105">
        <f>[2]results_sample_product_cf!H1104</f>
        <v>0</v>
      </c>
      <c r="Q1105">
        <f t="shared" si="191"/>
        <v>0</v>
      </c>
      <c r="R1105">
        <f t="shared" si="187"/>
        <v>0</v>
      </c>
    </row>
    <row r="1106" spans="1:18" x14ac:dyDescent="0.3">
      <c r="A1106">
        <f t="shared" si="192"/>
        <v>1103</v>
      </c>
      <c r="B1106">
        <f t="shared" si="193"/>
        <v>92</v>
      </c>
      <c r="C1106">
        <f t="shared" si="194"/>
        <v>1108</v>
      </c>
      <c r="D1106">
        <f t="shared" si="188"/>
        <v>93</v>
      </c>
      <c r="E1106">
        <f>[1]model_point!$C$2+D1106-1</f>
        <v>97</v>
      </c>
      <c r="F1106">
        <f>VLOOKUP(E1106,'[1]202512 BE mortality'!$A:$C,3,0)</f>
        <v>3.5623931944474929E-3</v>
      </c>
      <c r="G1106">
        <f>VLOOKUP(D1106,'[1]202512 BE lapse'!$C:$D,2,0)</f>
        <v>6.0532839573021859E-3</v>
      </c>
      <c r="H1106">
        <f>VLOOKUP($B1106,'[1]202512 RFR'!$A:$B,2,0)</f>
        <v>1.2E-2</v>
      </c>
      <c r="I1106">
        <f t="shared" si="195"/>
        <v>0.76294449949563936</v>
      </c>
      <c r="J1106">
        <f t="shared" si="196"/>
        <v>2.2693048827674404E-4</v>
      </c>
      <c r="K1106">
        <f t="shared" si="197"/>
        <v>0</v>
      </c>
      <c r="L1106">
        <f t="shared" si="189"/>
        <v>0.28936467440381652</v>
      </c>
      <c r="M1106">
        <f>IF(AND(MOD(C1106,12)=1,D1106&lt;='[1]Product parameters'!$C$2),I1105*[1]model_point!$G$2,0)</f>
        <v>0</v>
      </c>
      <c r="N1106">
        <f t="shared" si="190"/>
        <v>0</v>
      </c>
      <c r="O1106">
        <f>[2]results_sample_product_cf!G1105</f>
        <v>0</v>
      </c>
      <c r="P1106">
        <f>[2]results_sample_product_cf!H1105</f>
        <v>0</v>
      </c>
      <c r="Q1106">
        <f t="shared" si="191"/>
        <v>0</v>
      </c>
      <c r="R1106">
        <f t="shared" si="187"/>
        <v>0</v>
      </c>
    </row>
    <row r="1107" spans="1:18" x14ac:dyDescent="0.3">
      <c r="A1107">
        <f t="shared" si="192"/>
        <v>1104</v>
      </c>
      <c r="B1107">
        <f t="shared" si="193"/>
        <v>92</v>
      </c>
      <c r="C1107">
        <f t="shared" si="194"/>
        <v>1109</v>
      </c>
      <c r="D1107">
        <f t="shared" si="188"/>
        <v>93</v>
      </c>
      <c r="E1107">
        <f>[1]model_point!$C$2+D1107-1</f>
        <v>97</v>
      </c>
      <c r="F1107">
        <f>VLOOKUP(E1107,'[1]202512 BE mortality'!$A:$C,3,0)</f>
        <v>3.5623931944474929E-3</v>
      </c>
      <c r="G1107">
        <f>VLOOKUP(D1107,'[1]202512 BE lapse'!$C:$D,2,0)</f>
        <v>6.0532839573021859E-3</v>
      </c>
      <c r="H1107">
        <f>VLOOKUP($B1107,'[1]202512 RFR'!$A:$B,2,0)</f>
        <v>1.2E-2</v>
      </c>
      <c r="I1107">
        <f t="shared" si="195"/>
        <v>0.76271763648557855</v>
      </c>
      <c r="J1107">
        <f t="shared" si="196"/>
        <v>2.2686301006085932E-4</v>
      </c>
      <c r="K1107">
        <f t="shared" si="197"/>
        <v>0</v>
      </c>
      <c r="L1107">
        <f t="shared" si="189"/>
        <v>0.28907717506945368</v>
      </c>
      <c r="M1107">
        <f>IF(AND(MOD(C1107,12)=1,D1107&lt;='[1]Product parameters'!$C$2),I1106*[1]model_point!$G$2,0)</f>
        <v>0</v>
      </c>
      <c r="N1107">
        <f t="shared" si="190"/>
        <v>0</v>
      </c>
      <c r="O1107">
        <f>[2]results_sample_product_cf!G1106</f>
        <v>0</v>
      </c>
      <c r="P1107">
        <f>[2]results_sample_product_cf!H1106</f>
        <v>0</v>
      </c>
      <c r="Q1107">
        <f t="shared" si="191"/>
        <v>0</v>
      </c>
      <c r="R1107">
        <f t="shared" si="187"/>
        <v>0</v>
      </c>
    </row>
    <row r="1108" spans="1:18" x14ac:dyDescent="0.3">
      <c r="A1108">
        <f t="shared" si="192"/>
        <v>1105</v>
      </c>
      <c r="B1108">
        <f t="shared" si="193"/>
        <v>93</v>
      </c>
      <c r="C1108">
        <f t="shared" si="194"/>
        <v>1110</v>
      </c>
      <c r="D1108">
        <f t="shared" si="188"/>
        <v>93</v>
      </c>
      <c r="E1108">
        <f>[1]model_point!$C$2+D1108-1</f>
        <v>97</v>
      </c>
      <c r="F1108">
        <f>VLOOKUP(E1108,'[1]202512 BE mortality'!$A:$C,3,0)</f>
        <v>3.5623931944474929E-3</v>
      </c>
      <c r="G1108">
        <f>VLOOKUP(D1108,'[1]202512 BE lapse'!$C:$D,2,0)</f>
        <v>6.0532839573021859E-3</v>
      </c>
      <c r="H1108">
        <f>VLOOKUP($B1108,'[1]202512 RFR'!$A:$B,2,0)</f>
        <v>1.2E-2</v>
      </c>
      <c r="I1108">
        <f t="shared" si="195"/>
        <v>0.76249084093366881</v>
      </c>
      <c r="J1108">
        <f t="shared" si="196"/>
        <v>2.2679555190975147E-4</v>
      </c>
      <c r="K1108">
        <f t="shared" si="197"/>
        <v>0</v>
      </c>
      <c r="L1108">
        <f t="shared" si="189"/>
        <v>0.28878996138110974</v>
      </c>
      <c r="M1108">
        <f>IF(AND(MOD(C1108,12)=1,D1108&lt;='[1]Product parameters'!$C$2),I1107*[1]model_point!$G$2,0)</f>
        <v>0</v>
      </c>
      <c r="N1108">
        <f t="shared" si="190"/>
        <v>0</v>
      </c>
      <c r="O1108">
        <f>[2]results_sample_product_cf!G1107</f>
        <v>0</v>
      </c>
      <c r="P1108">
        <f>[2]results_sample_product_cf!H1107</f>
        <v>0</v>
      </c>
      <c r="Q1108">
        <f t="shared" si="191"/>
        <v>0</v>
      </c>
      <c r="R1108">
        <f t="shared" si="187"/>
        <v>0</v>
      </c>
    </row>
    <row r="1109" spans="1:18" x14ac:dyDescent="0.3">
      <c r="A1109">
        <f t="shared" si="192"/>
        <v>1106</v>
      </c>
      <c r="B1109">
        <f t="shared" si="193"/>
        <v>93</v>
      </c>
      <c r="C1109">
        <f t="shared" si="194"/>
        <v>1111</v>
      </c>
      <c r="D1109">
        <f t="shared" si="188"/>
        <v>93</v>
      </c>
      <c r="E1109">
        <f>[1]model_point!$C$2+D1109-1</f>
        <v>97</v>
      </c>
      <c r="F1109">
        <f>VLOOKUP(E1109,'[1]202512 BE mortality'!$A:$C,3,0)</f>
        <v>3.5623931944474929E-3</v>
      </c>
      <c r="G1109">
        <f>VLOOKUP(D1109,'[1]202512 BE lapse'!$C:$D,2,0)</f>
        <v>6.0532839573021859E-3</v>
      </c>
      <c r="H1109">
        <f>VLOOKUP($B1109,'[1]202512 RFR'!$A:$B,2,0)</f>
        <v>1.2E-2</v>
      </c>
      <c r="I1109">
        <f t="shared" si="195"/>
        <v>0.7622641128198514</v>
      </c>
      <c r="J1109">
        <f t="shared" si="196"/>
        <v>2.2672811381745423E-4</v>
      </c>
      <c r="K1109">
        <f t="shared" si="197"/>
        <v>0</v>
      </c>
      <c r="L1109">
        <f t="shared" si="189"/>
        <v>0.2885030330549801</v>
      </c>
      <c r="M1109">
        <f>IF(AND(MOD(C1109,12)=1,D1109&lt;='[1]Product parameters'!$C$2),I1108*[1]model_point!$G$2,0)</f>
        <v>0</v>
      </c>
      <c r="N1109">
        <f t="shared" si="190"/>
        <v>0</v>
      </c>
      <c r="O1109">
        <f>[2]results_sample_product_cf!G1108</f>
        <v>0</v>
      </c>
      <c r="P1109">
        <f>[2]results_sample_product_cf!H1108</f>
        <v>0</v>
      </c>
      <c r="Q1109">
        <f t="shared" si="191"/>
        <v>0</v>
      </c>
      <c r="R1109">
        <f t="shared" si="187"/>
        <v>0</v>
      </c>
    </row>
    <row r="1110" spans="1:18" x14ac:dyDescent="0.3">
      <c r="A1110">
        <f t="shared" si="192"/>
        <v>1107</v>
      </c>
      <c r="B1110">
        <f t="shared" si="193"/>
        <v>93</v>
      </c>
      <c r="C1110">
        <f t="shared" si="194"/>
        <v>1112</v>
      </c>
      <c r="D1110">
        <f t="shared" si="188"/>
        <v>93</v>
      </c>
      <c r="E1110">
        <f>[1]model_point!$C$2+D1110-1</f>
        <v>97</v>
      </c>
      <c r="F1110">
        <f>VLOOKUP(E1110,'[1]202512 BE mortality'!$A:$C,3,0)</f>
        <v>3.5623931944474929E-3</v>
      </c>
      <c r="G1110">
        <f>VLOOKUP(D1110,'[1]202512 BE lapse'!$C:$D,2,0)</f>
        <v>6.0532839573021859E-3</v>
      </c>
      <c r="H1110">
        <f>VLOOKUP($B1110,'[1]202512 RFR'!$A:$B,2,0)</f>
        <v>1.2E-2</v>
      </c>
      <c r="I1110">
        <f t="shared" si="195"/>
        <v>0.76203745212407337</v>
      </c>
      <c r="J1110">
        <f t="shared" si="196"/>
        <v>2.2666069577800309E-4</v>
      </c>
      <c r="K1110">
        <f t="shared" si="197"/>
        <v>0</v>
      </c>
      <c r="L1110">
        <f t="shared" si="189"/>
        <v>0.28821638980754205</v>
      </c>
      <c r="M1110">
        <f>IF(AND(MOD(C1110,12)=1,D1110&lt;='[1]Product parameters'!$C$2),I1109*[1]model_point!$G$2,0)</f>
        <v>0</v>
      </c>
      <c r="N1110">
        <f t="shared" si="190"/>
        <v>0</v>
      </c>
      <c r="O1110">
        <f>[2]results_sample_product_cf!G1109</f>
        <v>0</v>
      </c>
      <c r="P1110">
        <f>[2]results_sample_product_cf!H1109</f>
        <v>0</v>
      </c>
      <c r="Q1110">
        <f t="shared" si="191"/>
        <v>0</v>
      </c>
      <c r="R1110">
        <f t="shared" si="187"/>
        <v>0</v>
      </c>
    </row>
    <row r="1111" spans="1:18" x14ac:dyDescent="0.3">
      <c r="A1111">
        <f t="shared" si="192"/>
        <v>1108</v>
      </c>
      <c r="B1111">
        <f t="shared" si="193"/>
        <v>93</v>
      </c>
      <c r="C1111">
        <f t="shared" si="194"/>
        <v>1113</v>
      </c>
      <c r="D1111">
        <f t="shared" si="188"/>
        <v>93</v>
      </c>
      <c r="E1111">
        <f>[1]model_point!$C$2+D1111-1</f>
        <v>97</v>
      </c>
      <c r="F1111">
        <f>VLOOKUP(E1111,'[1]202512 BE mortality'!$A:$C,3,0)</f>
        <v>3.5623931944474929E-3</v>
      </c>
      <c r="G1111">
        <f>VLOOKUP(D1111,'[1]202512 BE lapse'!$C:$D,2,0)</f>
        <v>6.0532839573021859E-3</v>
      </c>
      <c r="H1111">
        <f>VLOOKUP($B1111,'[1]202512 RFR'!$A:$B,2,0)</f>
        <v>1.2E-2</v>
      </c>
      <c r="I1111">
        <f t="shared" si="195"/>
        <v>0.76181085882628796</v>
      </c>
      <c r="J1111">
        <f t="shared" si="196"/>
        <v>2.2659329778543523E-4</v>
      </c>
      <c r="K1111">
        <f t="shared" si="197"/>
        <v>0</v>
      </c>
      <c r="L1111">
        <f t="shared" si="189"/>
        <v>0.28793003135555462</v>
      </c>
      <c r="M1111">
        <f>IF(AND(MOD(C1111,12)=1,D1111&lt;='[1]Product parameters'!$C$2),I1110*[1]model_point!$G$2,0)</f>
        <v>0</v>
      </c>
      <c r="N1111">
        <f t="shared" si="190"/>
        <v>0</v>
      </c>
      <c r="O1111">
        <f>[2]results_sample_product_cf!G1110</f>
        <v>0</v>
      </c>
      <c r="P1111">
        <f>[2]results_sample_product_cf!H1110</f>
        <v>0</v>
      </c>
      <c r="Q1111">
        <f t="shared" si="191"/>
        <v>0</v>
      </c>
      <c r="R1111">
        <f t="shared" si="187"/>
        <v>0</v>
      </c>
    </row>
    <row r="1112" spans="1:18" x14ac:dyDescent="0.3">
      <c r="A1112">
        <f t="shared" si="192"/>
        <v>1109</v>
      </c>
      <c r="B1112">
        <f t="shared" si="193"/>
        <v>93</v>
      </c>
      <c r="C1112">
        <f t="shared" si="194"/>
        <v>1114</v>
      </c>
      <c r="D1112">
        <f t="shared" si="188"/>
        <v>93</v>
      </c>
      <c r="E1112">
        <f>[1]model_point!$C$2+D1112-1</f>
        <v>97</v>
      </c>
      <c r="F1112">
        <f>VLOOKUP(E1112,'[1]202512 BE mortality'!$A:$C,3,0)</f>
        <v>3.5623931944474929E-3</v>
      </c>
      <c r="G1112">
        <f>VLOOKUP(D1112,'[1]202512 BE lapse'!$C:$D,2,0)</f>
        <v>6.0532839573021859E-3</v>
      </c>
      <c r="H1112">
        <f>VLOOKUP($B1112,'[1]202512 RFR'!$A:$B,2,0)</f>
        <v>1.2E-2</v>
      </c>
      <c r="I1112">
        <f t="shared" si="195"/>
        <v>0.76158433290645422</v>
      </c>
      <c r="J1112">
        <f t="shared" si="196"/>
        <v>2.2652591983378972E-4</v>
      </c>
      <c r="K1112">
        <f t="shared" si="197"/>
        <v>0</v>
      </c>
      <c r="L1112">
        <f t="shared" si="189"/>
        <v>0.28764395741605819</v>
      </c>
      <c r="M1112">
        <f>IF(AND(MOD(C1112,12)=1,D1112&lt;='[1]Product parameters'!$C$2),I1111*[1]model_point!$G$2,0)</f>
        <v>0</v>
      </c>
      <c r="N1112">
        <f t="shared" si="190"/>
        <v>0</v>
      </c>
      <c r="O1112">
        <f>[2]results_sample_product_cf!G1111</f>
        <v>0</v>
      </c>
      <c r="P1112">
        <f>[2]results_sample_product_cf!H1111</f>
        <v>0</v>
      </c>
      <c r="Q1112">
        <f t="shared" si="191"/>
        <v>0</v>
      </c>
      <c r="R1112">
        <f t="shared" si="187"/>
        <v>0</v>
      </c>
    </row>
    <row r="1113" spans="1:18" x14ac:dyDescent="0.3">
      <c r="A1113">
        <f t="shared" si="192"/>
        <v>1110</v>
      </c>
      <c r="B1113">
        <f t="shared" si="193"/>
        <v>93</v>
      </c>
      <c r="C1113">
        <f t="shared" si="194"/>
        <v>1115</v>
      </c>
      <c r="D1113">
        <f t="shared" si="188"/>
        <v>93</v>
      </c>
      <c r="E1113">
        <f>[1]model_point!$C$2+D1113-1</f>
        <v>97</v>
      </c>
      <c r="F1113">
        <f>VLOOKUP(E1113,'[1]202512 BE mortality'!$A:$C,3,0)</f>
        <v>3.5623931944474929E-3</v>
      </c>
      <c r="G1113">
        <f>VLOOKUP(D1113,'[1]202512 BE lapse'!$C:$D,2,0)</f>
        <v>6.0532839573021859E-3</v>
      </c>
      <c r="H1113">
        <f>VLOOKUP($B1113,'[1]202512 RFR'!$A:$B,2,0)</f>
        <v>1.2E-2</v>
      </c>
      <c r="I1113">
        <f t="shared" si="195"/>
        <v>0.76135787434453717</v>
      </c>
      <c r="J1113">
        <f t="shared" si="196"/>
        <v>2.2645856191710737E-4</v>
      </c>
      <c r="K1113">
        <f t="shared" si="197"/>
        <v>0</v>
      </c>
      <c r="L1113">
        <f t="shared" si="189"/>
        <v>0.2873581677063744</v>
      </c>
      <c r="M1113">
        <f>IF(AND(MOD(C1113,12)=1,D1113&lt;='[1]Product parameters'!$C$2),I1112*[1]model_point!$G$2,0)</f>
        <v>0</v>
      </c>
      <c r="N1113">
        <f t="shared" si="190"/>
        <v>0</v>
      </c>
      <c r="O1113">
        <f>[2]results_sample_product_cf!G1112</f>
        <v>0</v>
      </c>
      <c r="P1113">
        <f>[2]results_sample_product_cf!H1112</f>
        <v>0</v>
      </c>
      <c r="Q1113">
        <f t="shared" si="191"/>
        <v>0</v>
      </c>
      <c r="R1113">
        <f t="shared" si="187"/>
        <v>0</v>
      </c>
    </row>
    <row r="1114" spans="1:18" x14ac:dyDescent="0.3">
      <c r="A1114">
        <f t="shared" si="192"/>
        <v>1111</v>
      </c>
      <c r="B1114">
        <f t="shared" si="193"/>
        <v>93</v>
      </c>
      <c r="C1114">
        <f t="shared" si="194"/>
        <v>1116</v>
      </c>
      <c r="D1114">
        <f t="shared" si="188"/>
        <v>93</v>
      </c>
      <c r="E1114">
        <f>[1]model_point!$C$2+D1114-1</f>
        <v>97</v>
      </c>
      <c r="F1114">
        <f>VLOOKUP(E1114,'[1]202512 BE mortality'!$A:$C,3,0)</f>
        <v>3.5623931944474929E-3</v>
      </c>
      <c r="G1114">
        <f>VLOOKUP(D1114,'[1]202512 BE lapse'!$C:$D,2,0)</f>
        <v>6.0532839573021859E-3</v>
      </c>
      <c r="H1114">
        <f>VLOOKUP($B1114,'[1]202512 RFR'!$A:$B,2,0)</f>
        <v>1.2E-2</v>
      </c>
      <c r="I1114">
        <f t="shared" si="195"/>
        <v>0.75652413812433672</v>
      </c>
      <c r="J1114">
        <f t="shared" si="196"/>
        <v>2.2639122402943072E-4</v>
      </c>
      <c r="K1114">
        <f t="shared" si="197"/>
        <v>4.6073449961709888E-3</v>
      </c>
      <c r="L1114">
        <f t="shared" si="189"/>
        <v>0.28707266194410563</v>
      </c>
      <c r="M1114">
        <f>IF(AND(MOD(C1114,12)=1,D1114&lt;='[1]Product parameters'!$C$2),I1113*[1]model_point!$G$2,0)</f>
        <v>0</v>
      </c>
      <c r="N1114">
        <f t="shared" si="190"/>
        <v>0</v>
      </c>
      <c r="O1114">
        <f>[2]results_sample_product_cf!G1113</f>
        <v>0</v>
      </c>
      <c r="P1114">
        <f>[2]results_sample_product_cf!H1113</f>
        <v>0</v>
      </c>
      <c r="Q1114">
        <f t="shared" si="191"/>
        <v>0</v>
      </c>
      <c r="R1114">
        <f t="shared" si="187"/>
        <v>0</v>
      </c>
    </row>
    <row r="1115" spans="1:18" x14ac:dyDescent="0.3">
      <c r="A1115">
        <f t="shared" si="192"/>
        <v>1112</v>
      </c>
      <c r="B1115">
        <f t="shared" si="193"/>
        <v>93</v>
      </c>
      <c r="C1115">
        <f t="shared" si="194"/>
        <v>1117</v>
      </c>
      <c r="D1115">
        <f t="shared" si="188"/>
        <v>94</v>
      </c>
      <c r="E1115">
        <f>[1]model_point!$C$2+D1115-1</f>
        <v>98</v>
      </c>
      <c r="F1115">
        <f>VLOOKUP(E1115,'[1]202512 BE mortality'!$A:$C,3,0)</f>
        <v>4.9715658653762488E-3</v>
      </c>
      <c r="G1115">
        <f>VLOOKUP(D1115,'[1]202512 BE lapse'!$C:$D,2,0)</f>
        <v>9.9913801652712752E-3</v>
      </c>
      <c r="H1115">
        <f>VLOOKUP($B1115,'[1]202512 RFR'!$A:$B,2,0)</f>
        <v>1.2E-2</v>
      </c>
      <c r="I1115">
        <f t="shared" si="195"/>
        <v>0.75620999586639315</v>
      </c>
      <c r="J1115">
        <f t="shared" si="196"/>
        <v>3.1414225794352413E-4</v>
      </c>
      <c r="K1115">
        <f t="shared" si="197"/>
        <v>0</v>
      </c>
      <c r="L1115">
        <f t="shared" si="189"/>
        <v>0.28678743984713495</v>
      </c>
      <c r="M1115">
        <f>IF(AND(MOD(C1115,12)=1,D1115&lt;='[1]Product parameters'!$C$2),I1114*[1]model_point!$G$2,0)</f>
        <v>0</v>
      </c>
      <c r="N1115">
        <f t="shared" si="190"/>
        <v>0</v>
      </c>
      <c r="O1115">
        <f>[2]results_sample_product_cf!G1114</f>
        <v>0</v>
      </c>
      <c r="P1115">
        <f>[2]results_sample_product_cf!H1114</f>
        <v>0</v>
      </c>
      <c r="Q1115">
        <f t="shared" si="191"/>
        <v>0</v>
      </c>
      <c r="R1115">
        <f t="shared" si="187"/>
        <v>0</v>
      </c>
    </row>
    <row r="1116" spans="1:18" x14ac:dyDescent="0.3">
      <c r="A1116">
        <f t="shared" si="192"/>
        <v>1113</v>
      </c>
      <c r="B1116">
        <f t="shared" si="193"/>
        <v>93</v>
      </c>
      <c r="C1116">
        <f t="shared" si="194"/>
        <v>1118</v>
      </c>
      <c r="D1116">
        <f t="shared" si="188"/>
        <v>94</v>
      </c>
      <c r="E1116">
        <f>[1]model_point!$C$2+D1116-1</f>
        <v>98</v>
      </c>
      <c r="F1116">
        <f>VLOOKUP(E1116,'[1]202512 BE mortality'!$A:$C,3,0)</f>
        <v>4.9715658653762488E-3</v>
      </c>
      <c r="G1116">
        <f>VLOOKUP(D1116,'[1]202512 BE lapse'!$C:$D,2,0)</f>
        <v>9.9913801652712752E-3</v>
      </c>
      <c r="H1116">
        <f>VLOOKUP($B1116,'[1]202512 RFR'!$A:$B,2,0)</f>
        <v>1.2E-2</v>
      </c>
      <c r="I1116">
        <f t="shared" si="195"/>
        <v>0.75589598405419911</v>
      </c>
      <c r="J1116">
        <f t="shared" si="196"/>
        <v>3.1401181219400644E-4</v>
      </c>
      <c r="K1116">
        <f t="shared" si="197"/>
        <v>0</v>
      </c>
      <c r="L1116">
        <f t="shared" si="189"/>
        <v>0.28650250113362563</v>
      </c>
      <c r="M1116">
        <f>IF(AND(MOD(C1116,12)=1,D1116&lt;='[1]Product parameters'!$C$2),I1115*[1]model_point!$G$2,0)</f>
        <v>0</v>
      </c>
      <c r="N1116">
        <f t="shared" si="190"/>
        <v>0</v>
      </c>
      <c r="O1116">
        <f>[2]results_sample_product_cf!G1115</f>
        <v>0</v>
      </c>
      <c r="P1116">
        <f>[2]results_sample_product_cf!H1115</f>
        <v>0</v>
      </c>
      <c r="Q1116">
        <f t="shared" si="191"/>
        <v>0</v>
      </c>
      <c r="R1116">
        <f t="shared" si="187"/>
        <v>0</v>
      </c>
    </row>
    <row r="1117" spans="1:18" x14ac:dyDescent="0.3">
      <c r="A1117">
        <f t="shared" si="192"/>
        <v>1114</v>
      </c>
      <c r="B1117">
        <f t="shared" si="193"/>
        <v>93</v>
      </c>
      <c r="C1117">
        <f t="shared" si="194"/>
        <v>1119</v>
      </c>
      <c r="D1117">
        <f t="shared" si="188"/>
        <v>94</v>
      </c>
      <c r="E1117">
        <f>[1]model_point!$C$2+D1117-1</f>
        <v>98</v>
      </c>
      <c r="F1117">
        <f>VLOOKUP(E1117,'[1]202512 BE mortality'!$A:$C,3,0)</f>
        <v>4.9715658653762488E-3</v>
      </c>
      <c r="G1117">
        <f>VLOOKUP(D1117,'[1]202512 BE lapse'!$C:$D,2,0)</f>
        <v>9.9913801652712752E-3</v>
      </c>
      <c r="H1117">
        <f>VLOOKUP($B1117,'[1]202512 RFR'!$A:$B,2,0)</f>
        <v>1.2E-2</v>
      </c>
      <c r="I1117">
        <f t="shared" si="195"/>
        <v>0.75558210263358783</v>
      </c>
      <c r="J1117">
        <f t="shared" si="196"/>
        <v>3.138814206113292E-4</v>
      </c>
      <c r="K1117">
        <f t="shared" si="197"/>
        <v>0</v>
      </c>
      <c r="L1117">
        <f t="shared" si="189"/>
        <v>0.28621784552202095</v>
      </c>
      <c r="M1117">
        <f>IF(AND(MOD(C1117,12)=1,D1117&lt;='[1]Product parameters'!$C$2),I1116*[1]model_point!$G$2,0)</f>
        <v>0</v>
      </c>
      <c r="N1117">
        <f t="shared" si="190"/>
        <v>0</v>
      </c>
      <c r="O1117">
        <f>[2]results_sample_product_cf!G1116</f>
        <v>0</v>
      </c>
      <c r="P1117">
        <f>[2]results_sample_product_cf!H1116</f>
        <v>0</v>
      </c>
      <c r="Q1117">
        <f t="shared" si="191"/>
        <v>0</v>
      </c>
      <c r="R1117">
        <f t="shared" si="187"/>
        <v>0</v>
      </c>
    </row>
    <row r="1118" spans="1:18" x14ac:dyDescent="0.3">
      <c r="A1118">
        <f t="shared" si="192"/>
        <v>1115</v>
      </c>
      <c r="B1118">
        <f t="shared" si="193"/>
        <v>93</v>
      </c>
      <c r="C1118">
        <f t="shared" si="194"/>
        <v>1120</v>
      </c>
      <c r="D1118">
        <f t="shared" si="188"/>
        <v>94</v>
      </c>
      <c r="E1118">
        <f>[1]model_point!$C$2+D1118-1</f>
        <v>98</v>
      </c>
      <c r="F1118">
        <f>VLOOKUP(E1118,'[1]202512 BE mortality'!$A:$C,3,0)</f>
        <v>4.9715658653762488E-3</v>
      </c>
      <c r="G1118">
        <f>VLOOKUP(D1118,'[1]202512 BE lapse'!$C:$D,2,0)</f>
        <v>9.9913801652712752E-3</v>
      </c>
      <c r="H1118">
        <f>VLOOKUP($B1118,'[1]202512 RFR'!$A:$B,2,0)</f>
        <v>1.2E-2</v>
      </c>
      <c r="I1118">
        <f t="shared" si="195"/>
        <v>0.75526835155041483</v>
      </c>
      <c r="J1118">
        <f t="shared" si="196"/>
        <v>3.1375108317299998E-4</v>
      </c>
      <c r="K1118">
        <f t="shared" si="197"/>
        <v>0</v>
      </c>
      <c r="L1118">
        <f t="shared" si="189"/>
        <v>0.28593347273104402</v>
      </c>
      <c r="M1118">
        <f>IF(AND(MOD(C1118,12)=1,D1118&lt;='[1]Product parameters'!$C$2),I1117*[1]model_point!$G$2,0)</f>
        <v>0</v>
      </c>
      <c r="N1118">
        <f t="shared" si="190"/>
        <v>0</v>
      </c>
      <c r="O1118">
        <f>[2]results_sample_product_cf!G1117</f>
        <v>0</v>
      </c>
      <c r="P1118">
        <f>[2]results_sample_product_cf!H1117</f>
        <v>0</v>
      </c>
      <c r="Q1118">
        <f t="shared" si="191"/>
        <v>0</v>
      </c>
      <c r="R1118">
        <f t="shared" si="187"/>
        <v>0</v>
      </c>
    </row>
    <row r="1119" spans="1:18" x14ac:dyDescent="0.3">
      <c r="A1119">
        <f t="shared" si="192"/>
        <v>1116</v>
      </c>
      <c r="B1119">
        <f t="shared" si="193"/>
        <v>93</v>
      </c>
      <c r="C1119">
        <f t="shared" si="194"/>
        <v>1121</v>
      </c>
      <c r="D1119">
        <f t="shared" si="188"/>
        <v>94</v>
      </c>
      <c r="E1119">
        <f>[1]model_point!$C$2+D1119-1</f>
        <v>98</v>
      </c>
      <c r="F1119">
        <f>VLOOKUP(E1119,'[1]202512 BE mortality'!$A:$C,3,0)</f>
        <v>4.9715658653762488E-3</v>
      </c>
      <c r="G1119">
        <f>VLOOKUP(D1119,'[1]202512 BE lapse'!$C:$D,2,0)</f>
        <v>9.9913801652712752E-3</v>
      </c>
      <c r="H1119">
        <f>VLOOKUP($B1119,'[1]202512 RFR'!$A:$B,2,0)</f>
        <v>1.2E-2</v>
      </c>
      <c r="I1119">
        <f t="shared" si="195"/>
        <v>0.7549547307505583</v>
      </c>
      <c r="J1119">
        <f t="shared" si="196"/>
        <v>3.1362079985653557E-4</v>
      </c>
      <c r="K1119">
        <f t="shared" si="197"/>
        <v>0</v>
      </c>
      <c r="L1119">
        <f t="shared" si="189"/>
        <v>0.28564938247969734</v>
      </c>
      <c r="M1119">
        <f>IF(AND(MOD(C1119,12)=1,D1119&lt;='[1]Product parameters'!$C$2),I1118*[1]model_point!$G$2,0)</f>
        <v>0</v>
      </c>
      <c r="N1119">
        <f t="shared" si="190"/>
        <v>0</v>
      </c>
      <c r="O1119">
        <f>[2]results_sample_product_cf!G1118</f>
        <v>0</v>
      </c>
      <c r="P1119">
        <f>[2]results_sample_product_cf!H1118</f>
        <v>0</v>
      </c>
      <c r="Q1119">
        <f t="shared" si="191"/>
        <v>0</v>
      </c>
      <c r="R1119">
        <f t="shared" si="187"/>
        <v>0</v>
      </c>
    </row>
    <row r="1120" spans="1:18" x14ac:dyDescent="0.3">
      <c r="A1120">
        <f t="shared" si="192"/>
        <v>1117</v>
      </c>
      <c r="B1120">
        <f t="shared" si="193"/>
        <v>94</v>
      </c>
      <c r="C1120">
        <f t="shared" si="194"/>
        <v>1122</v>
      </c>
      <c r="D1120">
        <f t="shared" si="188"/>
        <v>94</v>
      </c>
      <c r="E1120">
        <f>[1]model_point!$C$2+D1120-1</f>
        <v>98</v>
      </c>
      <c r="F1120">
        <f>VLOOKUP(E1120,'[1]202512 BE mortality'!$A:$C,3,0)</f>
        <v>4.9715658653762488E-3</v>
      </c>
      <c r="G1120">
        <f>VLOOKUP(D1120,'[1]202512 BE lapse'!$C:$D,2,0)</f>
        <v>9.9913801652712752E-3</v>
      </c>
      <c r="H1120">
        <f>VLOOKUP($B1120,'[1]202512 RFR'!$A:$B,2,0)</f>
        <v>1.2E-2</v>
      </c>
      <c r="I1120">
        <f t="shared" si="195"/>
        <v>0.75464124017991885</v>
      </c>
      <c r="J1120">
        <f t="shared" si="196"/>
        <v>3.1349057063946231E-4</v>
      </c>
      <c r="K1120">
        <f t="shared" si="197"/>
        <v>0</v>
      </c>
      <c r="L1120">
        <f t="shared" si="189"/>
        <v>0.28536557448726263</v>
      </c>
      <c r="M1120">
        <f>IF(AND(MOD(C1120,12)=1,D1120&lt;='[1]Product parameters'!$C$2),I1119*[1]model_point!$G$2,0)</f>
        <v>0</v>
      </c>
      <c r="N1120">
        <f t="shared" si="190"/>
        <v>0</v>
      </c>
      <c r="O1120">
        <f>[2]results_sample_product_cf!G1119</f>
        <v>0</v>
      </c>
      <c r="P1120">
        <f>[2]results_sample_product_cf!H1119</f>
        <v>0</v>
      </c>
      <c r="Q1120">
        <f t="shared" si="191"/>
        <v>0</v>
      </c>
      <c r="R1120">
        <f t="shared" si="187"/>
        <v>0</v>
      </c>
    </row>
    <row r="1121" spans="1:18" x14ac:dyDescent="0.3">
      <c r="A1121">
        <f t="shared" si="192"/>
        <v>1118</v>
      </c>
      <c r="B1121">
        <f t="shared" si="193"/>
        <v>94</v>
      </c>
      <c r="C1121">
        <f t="shared" si="194"/>
        <v>1123</v>
      </c>
      <c r="D1121">
        <f t="shared" si="188"/>
        <v>94</v>
      </c>
      <c r="E1121">
        <f>[1]model_point!$C$2+D1121-1</f>
        <v>98</v>
      </c>
      <c r="F1121">
        <f>VLOOKUP(E1121,'[1]202512 BE mortality'!$A:$C,3,0)</f>
        <v>4.9715658653762488E-3</v>
      </c>
      <c r="G1121">
        <f>VLOOKUP(D1121,'[1]202512 BE lapse'!$C:$D,2,0)</f>
        <v>9.9913801652712752E-3</v>
      </c>
      <c r="H1121">
        <f>VLOOKUP($B1121,'[1]202512 RFR'!$A:$B,2,0)</f>
        <v>1.2E-2</v>
      </c>
      <c r="I1121">
        <f t="shared" si="195"/>
        <v>0.75432787978441951</v>
      </c>
      <c r="J1121">
        <f t="shared" si="196"/>
        <v>3.1336039549931564E-4</v>
      </c>
      <c r="K1121">
        <f t="shared" si="197"/>
        <v>0</v>
      </c>
      <c r="L1121">
        <f t="shared" si="189"/>
        <v>0.28508204847330054</v>
      </c>
      <c r="M1121">
        <f>IF(AND(MOD(C1121,12)=1,D1121&lt;='[1]Product parameters'!$C$2),I1120*[1]model_point!$G$2,0)</f>
        <v>0</v>
      </c>
      <c r="N1121">
        <f t="shared" si="190"/>
        <v>0</v>
      </c>
      <c r="O1121">
        <f>[2]results_sample_product_cf!G1120</f>
        <v>0</v>
      </c>
      <c r="P1121">
        <f>[2]results_sample_product_cf!H1120</f>
        <v>0</v>
      </c>
      <c r="Q1121">
        <f t="shared" si="191"/>
        <v>0</v>
      </c>
      <c r="R1121">
        <f t="shared" si="187"/>
        <v>0</v>
      </c>
    </row>
    <row r="1122" spans="1:18" x14ac:dyDescent="0.3">
      <c r="A1122">
        <f t="shared" si="192"/>
        <v>1119</v>
      </c>
      <c r="B1122">
        <f t="shared" si="193"/>
        <v>94</v>
      </c>
      <c r="C1122">
        <f t="shared" si="194"/>
        <v>1124</v>
      </c>
      <c r="D1122">
        <f t="shared" si="188"/>
        <v>94</v>
      </c>
      <c r="E1122">
        <f>[1]model_point!$C$2+D1122-1</f>
        <v>98</v>
      </c>
      <c r="F1122">
        <f>VLOOKUP(E1122,'[1]202512 BE mortality'!$A:$C,3,0)</f>
        <v>4.9715658653762488E-3</v>
      </c>
      <c r="G1122">
        <f>VLOOKUP(D1122,'[1]202512 BE lapse'!$C:$D,2,0)</f>
        <v>9.9913801652712752E-3</v>
      </c>
      <c r="H1122">
        <f>VLOOKUP($B1122,'[1]202512 RFR'!$A:$B,2,0)</f>
        <v>1.2E-2</v>
      </c>
      <c r="I1122">
        <f t="shared" si="195"/>
        <v>0.75401464951000585</v>
      </c>
      <c r="J1122">
        <f t="shared" si="196"/>
        <v>3.1323027441364042E-4</v>
      </c>
      <c r="K1122">
        <f t="shared" si="197"/>
        <v>0</v>
      </c>
      <c r="L1122">
        <f t="shared" si="189"/>
        <v>0.2847988041576503</v>
      </c>
      <c r="M1122">
        <f>IF(AND(MOD(C1122,12)=1,D1122&lt;='[1]Product parameters'!$C$2),I1121*[1]model_point!$G$2,0)</f>
        <v>0</v>
      </c>
      <c r="N1122">
        <f t="shared" si="190"/>
        <v>0</v>
      </c>
      <c r="O1122">
        <f>[2]results_sample_product_cf!G1121</f>
        <v>0</v>
      </c>
      <c r="P1122">
        <f>[2]results_sample_product_cf!H1121</f>
        <v>0</v>
      </c>
      <c r="Q1122">
        <f t="shared" si="191"/>
        <v>0</v>
      </c>
      <c r="R1122">
        <f t="shared" si="187"/>
        <v>0</v>
      </c>
    </row>
    <row r="1123" spans="1:18" x14ac:dyDescent="0.3">
      <c r="A1123">
        <f t="shared" si="192"/>
        <v>1120</v>
      </c>
      <c r="B1123">
        <f t="shared" si="193"/>
        <v>94</v>
      </c>
      <c r="C1123">
        <f t="shared" si="194"/>
        <v>1125</v>
      </c>
      <c r="D1123">
        <f t="shared" si="188"/>
        <v>94</v>
      </c>
      <c r="E1123">
        <f>[1]model_point!$C$2+D1123-1</f>
        <v>98</v>
      </c>
      <c r="F1123">
        <f>VLOOKUP(E1123,'[1]202512 BE mortality'!$A:$C,3,0)</f>
        <v>4.9715658653762488E-3</v>
      </c>
      <c r="G1123">
        <f>VLOOKUP(D1123,'[1]202512 BE lapse'!$C:$D,2,0)</f>
        <v>9.9913801652712752E-3</v>
      </c>
      <c r="H1123">
        <f>VLOOKUP($B1123,'[1]202512 RFR'!$A:$B,2,0)</f>
        <v>1.2E-2</v>
      </c>
      <c r="I1123">
        <f t="shared" si="195"/>
        <v>0.75370154930264588</v>
      </c>
      <c r="J1123">
        <f t="shared" si="196"/>
        <v>3.1310020735999091E-4</v>
      </c>
      <c r="K1123">
        <f t="shared" si="197"/>
        <v>0</v>
      </c>
      <c r="L1123">
        <f t="shared" si="189"/>
        <v>0.2845158412604295</v>
      </c>
      <c r="M1123">
        <f>IF(AND(MOD(C1123,12)=1,D1123&lt;='[1]Product parameters'!$C$2),I1122*[1]model_point!$G$2,0)</f>
        <v>0</v>
      </c>
      <c r="N1123">
        <f t="shared" si="190"/>
        <v>0</v>
      </c>
      <c r="O1123">
        <f>[2]results_sample_product_cf!G1122</f>
        <v>0</v>
      </c>
      <c r="P1123">
        <f>[2]results_sample_product_cf!H1122</f>
        <v>0</v>
      </c>
      <c r="Q1123">
        <f t="shared" si="191"/>
        <v>0</v>
      </c>
      <c r="R1123">
        <f t="shared" si="187"/>
        <v>0</v>
      </c>
    </row>
    <row r="1124" spans="1:18" x14ac:dyDescent="0.3">
      <c r="A1124">
        <f t="shared" si="192"/>
        <v>1121</v>
      </c>
      <c r="B1124">
        <f t="shared" si="193"/>
        <v>94</v>
      </c>
      <c r="C1124">
        <f t="shared" si="194"/>
        <v>1126</v>
      </c>
      <c r="D1124">
        <f t="shared" si="188"/>
        <v>94</v>
      </c>
      <c r="E1124">
        <f>[1]model_point!$C$2+D1124-1</f>
        <v>98</v>
      </c>
      <c r="F1124">
        <f>VLOOKUP(E1124,'[1]202512 BE mortality'!$A:$C,3,0)</f>
        <v>4.9715658653762488E-3</v>
      </c>
      <c r="G1124">
        <f>VLOOKUP(D1124,'[1]202512 BE lapse'!$C:$D,2,0)</f>
        <v>9.9913801652712752E-3</v>
      </c>
      <c r="H1124">
        <f>VLOOKUP($B1124,'[1]202512 RFR'!$A:$B,2,0)</f>
        <v>1.2E-2</v>
      </c>
      <c r="I1124">
        <f t="shared" si="195"/>
        <v>0.7533885791083299</v>
      </c>
      <c r="J1124">
        <f t="shared" si="196"/>
        <v>3.1297019431593057E-4</v>
      </c>
      <c r="K1124">
        <f t="shared" si="197"/>
        <v>0</v>
      </c>
      <c r="L1124">
        <f t="shared" si="189"/>
        <v>0.28423315950203387</v>
      </c>
      <c r="M1124">
        <f>IF(AND(MOD(C1124,12)=1,D1124&lt;='[1]Product parameters'!$C$2),I1123*[1]model_point!$G$2,0)</f>
        <v>0</v>
      </c>
      <c r="N1124">
        <f t="shared" si="190"/>
        <v>0</v>
      </c>
      <c r="O1124">
        <f>[2]results_sample_product_cf!G1123</f>
        <v>0</v>
      </c>
      <c r="P1124">
        <f>[2]results_sample_product_cf!H1123</f>
        <v>0</v>
      </c>
      <c r="Q1124">
        <f t="shared" si="191"/>
        <v>0</v>
      </c>
      <c r="R1124">
        <f t="shared" si="187"/>
        <v>0</v>
      </c>
    </row>
    <row r="1125" spans="1:18" x14ac:dyDescent="0.3">
      <c r="A1125">
        <f t="shared" si="192"/>
        <v>1122</v>
      </c>
      <c r="B1125">
        <f t="shared" si="193"/>
        <v>94</v>
      </c>
      <c r="C1125">
        <f t="shared" si="194"/>
        <v>1127</v>
      </c>
      <c r="D1125">
        <f t="shared" si="188"/>
        <v>94</v>
      </c>
      <c r="E1125">
        <f>[1]model_point!$C$2+D1125-1</f>
        <v>98</v>
      </c>
      <c r="F1125">
        <f>VLOOKUP(E1125,'[1]202512 BE mortality'!$A:$C,3,0)</f>
        <v>4.9715658653762488E-3</v>
      </c>
      <c r="G1125">
        <f>VLOOKUP(D1125,'[1]202512 BE lapse'!$C:$D,2,0)</f>
        <v>9.9913801652712752E-3</v>
      </c>
      <c r="H1125">
        <f>VLOOKUP($B1125,'[1]202512 RFR'!$A:$B,2,0)</f>
        <v>1.2E-2</v>
      </c>
      <c r="I1125">
        <f t="shared" si="195"/>
        <v>0.75307573887307089</v>
      </c>
      <c r="J1125">
        <f t="shared" si="196"/>
        <v>3.1284023525903225E-4</v>
      </c>
      <c r="K1125">
        <f t="shared" si="197"/>
        <v>0</v>
      </c>
      <c r="L1125">
        <f t="shared" si="189"/>
        <v>0.28395075860313684</v>
      </c>
      <c r="M1125">
        <f>IF(AND(MOD(C1125,12)=1,D1125&lt;='[1]Product parameters'!$C$2),I1124*[1]model_point!$G$2,0)</f>
        <v>0</v>
      </c>
      <c r="N1125">
        <f t="shared" si="190"/>
        <v>0</v>
      </c>
      <c r="O1125">
        <f>[2]results_sample_product_cf!G1124</f>
        <v>0</v>
      </c>
      <c r="P1125">
        <f>[2]results_sample_product_cf!H1124</f>
        <v>0</v>
      </c>
      <c r="Q1125">
        <f t="shared" si="191"/>
        <v>0</v>
      </c>
      <c r="R1125">
        <f t="shared" si="187"/>
        <v>0</v>
      </c>
    </row>
    <row r="1126" spans="1:18" x14ac:dyDescent="0.3">
      <c r="A1126">
        <f t="shared" si="192"/>
        <v>1123</v>
      </c>
      <c r="B1126">
        <f t="shared" si="193"/>
        <v>94</v>
      </c>
      <c r="C1126">
        <f t="shared" si="194"/>
        <v>1128</v>
      </c>
      <c r="D1126">
        <f t="shared" si="188"/>
        <v>94</v>
      </c>
      <c r="E1126">
        <f>[1]model_point!$C$2+D1126-1</f>
        <v>98</v>
      </c>
      <c r="F1126">
        <f>VLOOKUP(E1126,'[1]202512 BE mortality'!$A:$C,3,0)</f>
        <v>4.9715658653762488E-3</v>
      </c>
      <c r="G1126">
        <f>VLOOKUP(D1126,'[1]202512 BE lapse'!$C:$D,2,0)</f>
        <v>9.9913801652712752E-3</v>
      </c>
      <c r="H1126">
        <f>VLOOKUP($B1126,'[1]202512 RFR'!$A:$B,2,0)</f>
        <v>1.2E-2</v>
      </c>
      <c r="I1126">
        <f t="shared" si="195"/>
        <v>0.74524188695037086</v>
      </c>
      <c r="J1126">
        <f t="shared" si="196"/>
        <v>3.1271033016687816E-4</v>
      </c>
      <c r="K1126">
        <f t="shared" si="197"/>
        <v>7.5211415925331062E-3</v>
      </c>
      <c r="L1126">
        <f t="shared" si="189"/>
        <v>0.28366863828468947</v>
      </c>
      <c r="M1126">
        <f>IF(AND(MOD(C1126,12)=1,D1126&lt;='[1]Product parameters'!$C$2),I1125*[1]model_point!$G$2,0)</f>
        <v>0</v>
      </c>
      <c r="N1126">
        <f t="shared" si="190"/>
        <v>0</v>
      </c>
      <c r="O1126">
        <f>[2]results_sample_product_cf!G1125</f>
        <v>0</v>
      </c>
      <c r="P1126">
        <f>[2]results_sample_product_cf!H1125</f>
        <v>0</v>
      </c>
      <c r="Q1126">
        <f t="shared" si="191"/>
        <v>0</v>
      </c>
      <c r="R1126">
        <f t="shared" si="187"/>
        <v>0</v>
      </c>
    </row>
    <row r="1127" spans="1:18" x14ac:dyDescent="0.3">
      <c r="A1127">
        <f t="shared" si="192"/>
        <v>1124</v>
      </c>
      <c r="B1127">
        <f t="shared" si="193"/>
        <v>94</v>
      </c>
      <c r="C1127">
        <f t="shared" si="194"/>
        <v>1129</v>
      </c>
      <c r="D1127">
        <f t="shared" si="188"/>
        <v>95</v>
      </c>
      <c r="E1127">
        <f>[1]model_point!$C$2+D1127-1</f>
        <v>99</v>
      </c>
      <c r="F1127">
        <f>VLOOKUP(E1127,'[1]202512 BE mortality'!$A:$C,3,0)</f>
        <v>2.3828835858238895E-3</v>
      </c>
      <c r="G1127">
        <f>VLOOKUP(D1127,'[1]202512 BE lapse'!$C:$D,2,0)</f>
        <v>6.6183178297361924E-3</v>
      </c>
      <c r="H1127">
        <f>VLOOKUP($B1127,'[1]202512 RFR'!$A:$B,2,0)</f>
        <v>1.2E-2</v>
      </c>
      <c r="I1127">
        <f t="shared" si="195"/>
        <v>0.74509373969258619</v>
      </c>
      <c r="J1127">
        <f t="shared" si="196"/>
        <v>1.4814725778472011E-4</v>
      </c>
      <c r="K1127">
        <f t="shared" si="197"/>
        <v>0</v>
      </c>
      <c r="L1127">
        <f t="shared" si="189"/>
        <v>0.28338679826792001</v>
      </c>
      <c r="M1127">
        <f>IF(AND(MOD(C1127,12)=1,D1127&lt;='[1]Product parameters'!$C$2),I1126*[1]model_point!$G$2,0)</f>
        <v>0</v>
      </c>
      <c r="N1127">
        <f t="shared" si="190"/>
        <v>0</v>
      </c>
      <c r="O1127">
        <f>[2]results_sample_product_cf!G1126</f>
        <v>0</v>
      </c>
      <c r="P1127">
        <f>[2]results_sample_product_cf!H1126</f>
        <v>0</v>
      </c>
      <c r="Q1127">
        <f t="shared" si="191"/>
        <v>0</v>
      </c>
      <c r="R1127">
        <f t="shared" si="187"/>
        <v>0</v>
      </c>
    </row>
    <row r="1128" spans="1:18" x14ac:dyDescent="0.3">
      <c r="A1128">
        <f t="shared" si="192"/>
        <v>1125</v>
      </c>
      <c r="B1128">
        <f t="shared" si="193"/>
        <v>94</v>
      </c>
      <c r="C1128">
        <f t="shared" si="194"/>
        <v>1130</v>
      </c>
      <c r="D1128">
        <f t="shared" si="188"/>
        <v>95</v>
      </c>
      <c r="E1128">
        <f>[1]model_point!$C$2+D1128-1</f>
        <v>99</v>
      </c>
      <c r="F1128">
        <f>VLOOKUP(E1128,'[1]202512 BE mortality'!$A:$C,3,0)</f>
        <v>2.3828835858238895E-3</v>
      </c>
      <c r="G1128">
        <f>VLOOKUP(D1128,'[1]202512 BE lapse'!$C:$D,2,0)</f>
        <v>6.6183178297361924E-3</v>
      </c>
      <c r="H1128">
        <f>VLOOKUP($B1128,'[1]202512 RFR'!$A:$B,2,0)</f>
        <v>1.2E-2</v>
      </c>
      <c r="I1128">
        <f t="shared" si="195"/>
        <v>0.7449456218851187</v>
      </c>
      <c r="J1128">
        <f t="shared" si="196"/>
        <v>1.4811780746748295E-4</v>
      </c>
      <c r="K1128">
        <f t="shared" si="197"/>
        <v>0</v>
      </c>
      <c r="L1128">
        <f t="shared" si="189"/>
        <v>0.2831052382743337</v>
      </c>
      <c r="M1128">
        <f>IF(AND(MOD(C1128,12)=1,D1128&lt;='[1]Product parameters'!$C$2),I1127*[1]model_point!$G$2,0)</f>
        <v>0</v>
      </c>
      <c r="N1128">
        <f t="shared" si="190"/>
        <v>0</v>
      </c>
      <c r="O1128">
        <f>[2]results_sample_product_cf!G1127</f>
        <v>0</v>
      </c>
      <c r="P1128">
        <f>[2]results_sample_product_cf!H1127</f>
        <v>0</v>
      </c>
      <c r="Q1128">
        <f t="shared" si="191"/>
        <v>0</v>
      </c>
      <c r="R1128">
        <f t="shared" si="187"/>
        <v>0</v>
      </c>
    </row>
    <row r="1129" spans="1:18" x14ac:dyDescent="0.3">
      <c r="A1129">
        <f t="shared" si="192"/>
        <v>1126</v>
      </c>
      <c r="B1129">
        <f t="shared" si="193"/>
        <v>94</v>
      </c>
      <c r="C1129">
        <f t="shared" si="194"/>
        <v>1131</v>
      </c>
      <c r="D1129">
        <f t="shared" si="188"/>
        <v>95</v>
      </c>
      <c r="E1129">
        <f>[1]model_point!$C$2+D1129-1</f>
        <v>99</v>
      </c>
      <c r="F1129">
        <f>VLOOKUP(E1129,'[1]202512 BE mortality'!$A:$C,3,0)</f>
        <v>2.3828835858238895E-3</v>
      </c>
      <c r="G1129">
        <f>VLOOKUP(D1129,'[1]202512 BE lapse'!$C:$D,2,0)</f>
        <v>6.6183178297361924E-3</v>
      </c>
      <c r="H1129">
        <f>VLOOKUP($B1129,'[1]202512 RFR'!$A:$B,2,0)</f>
        <v>1.2E-2</v>
      </c>
      <c r="I1129">
        <f t="shared" si="195"/>
        <v>0.74479753352211397</v>
      </c>
      <c r="J1129">
        <f t="shared" si="196"/>
        <v>1.4808836300469894E-4</v>
      </c>
      <c r="K1129">
        <f t="shared" si="197"/>
        <v>0</v>
      </c>
      <c r="L1129">
        <f t="shared" si="189"/>
        <v>0.28282395802571247</v>
      </c>
      <c r="M1129">
        <f>IF(AND(MOD(C1129,12)=1,D1129&lt;='[1]Product parameters'!$C$2),I1128*[1]model_point!$G$2,0)</f>
        <v>0</v>
      </c>
      <c r="N1129">
        <f t="shared" si="190"/>
        <v>0</v>
      </c>
      <c r="O1129">
        <f>[2]results_sample_product_cf!G1128</f>
        <v>0</v>
      </c>
      <c r="P1129">
        <f>[2]results_sample_product_cf!H1128</f>
        <v>0</v>
      </c>
      <c r="Q1129">
        <f t="shared" si="191"/>
        <v>0</v>
      </c>
      <c r="R1129">
        <f t="shared" si="187"/>
        <v>0</v>
      </c>
    </row>
    <row r="1130" spans="1:18" x14ac:dyDescent="0.3">
      <c r="A1130">
        <f t="shared" si="192"/>
        <v>1127</v>
      </c>
      <c r="B1130">
        <f t="shared" si="193"/>
        <v>94</v>
      </c>
      <c r="C1130">
        <f t="shared" si="194"/>
        <v>1132</v>
      </c>
      <c r="D1130">
        <f t="shared" si="188"/>
        <v>95</v>
      </c>
      <c r="E1130">
        <f>[1]model_point!$C$2+D1130-1</f>
        <v>99</v>
      </c>
      <c r="F1130">
        <f>VLOOKUP(E1130,'[1]202512 BE mortality'!$A:$C,3,0)</f>
        <v>2.3828835858238895E-3</v>
      </c>
      <c r="G1130">
        <f>VLOOKUP(D1130,'[1]202512 BE lapse'!$C:$D,2,0)</f>
        <v>6.6183178297361924E-3</v>
      </c>
      <c r="H1130">
        <f>VLOOKUP($B1130,'[1]202512 RFR'!$A:$B,2,0)</f>
        <v>1.2E-2</v>
      </c>
      <c r="I1130">
        <f t="shared" si="195"/>
        <v>0.7446494745977188</v>
      </c>
      <c r="J1130">
        <f t="shared" si="196"/>
        <v>1.480589243952043E-4</v>
      </c>
      <c r="K1130">
        <f t="shared" si="197"/>
        <v>0</v>
      </c>
      <c r="L1130">
        <f t="shared" si="189"/>
        <v>0.28254295724411471</v>
      </c>
      <c r="M1130">
        <f>IF(AND(MOD(C1130,12)=1,D1130&lt;='[1]Product parameters'!$C$2),I1129*[1]model_point!$G$2,0)</f>
        <v>0</v>
      </c>
      <c r="N1130">
        <f t="shared" si="190"/>
        <v>0</v>
      </c>
      <c r="O1130">
        <f>[2]results_sample_product_cf!G1129</f>
        <v>0</v>
      </c>
      <c r="P1130">
        <f>[2]results_sample_product_cf!H1129</f>
        <v>0</v>
      </c>
      <c r="Q1130">
        <f t="shared" si="191"/>
        <v>0</v>
      </c>
      <c r="R1130">
        <f t="shared" si="187"/>
        <v>0</v>
      </c>
    </row>
    <row r="1131" spans="1:18" x14ac:dyDescent="0.3">
      <c r="A1131">
        <f t="shared" si="192"/>
        <v>1128</v>
      </c>
      <c r="B1131">
        <f t="shared" si="193"/>
        <v>94</v>
      </c>
      <c r="C1131">
        <f t="shared" si="194"/>
        <v>1133</v>
      </c>
      <c r="D1131">
        <f t="shared" si="188"/>
        <v>95</v>
      </c>
      <c r="E1131">
        <f>[1]model_point!$C$2+D1131-1</f>
        <v>99</v>
      </c>
      <c r="F1131">
        <f>VLOOKUP(E1131,'[1]202512 BE mortality'!$A:$C,3,0)</f>
        <v>2.3828835858238895E-3</v>
      </c>
      <c r="G1131">
        <f>VLOOKUP(D1131,'[1]202512 BE lapse'!$C:$D,2,0)</f>
        <v>6.6183178297361924E-3</v>
      </c>
      <c r="H1131">
        <f>VLOOKUP($B1131,'[1]202512 RFR'!$A:$B,2,0)</f>
        <v>1.2E-2</v>
      </c>
      <c r="I1131">
        <f t="shared" si="195"/>
        <v>0.74450144510608096</v>
      </c>
      <c r="J1131">
        <f t="shared" si="196"/>
        <v>1.4802949163783547E-4</v>
      </c>
      <c r="K1131">
        <f t="shared" si="197"/>
        <v>0</v>
      </c>
      <c r="L1131">
        <f t="shared" si="189"/>
        <v>0.28226223565187492</v>
      </c>
      <c r="M1131">
        <f>IF(AND(MOD(C1131,12)=1,D1131&lt;='[1]Product parameters'!$C$2),I1130*[1]model_point!$G$2,0)</f>
        <v>0</v>
      </c>
      <c r="N1131">
        <f t="shared" si="190"/>
        <v>0</v>
      </c>
      <c r="O1131">
        <f>[2]results_sample_product_cf!G1130</f>
        <v>0</v>
      </c>
      <c r="P1131">
        <f>[2]results_sample_product_cf!H1130</f>
        <v>0</v>
      </c>
      <c r="Q1131">
        <f t="shared" si="191"/>
        <v>0</v>
      </c>
      <c r="R1131">
        <f t="shared" si="187"/>
        <v>0</v>
      </c>
    </row>
    <row r="1132" spans="1:18" x14ac:dyDescent="0.3">
      <c r="A1132">
        <f t="shared" si="192"/>
        <v>1129</v>
      </c>
      <c r="B1132">
        <f t="shared" si="193"/>
        <v>95</v>
      </c>
      <c r="C1132">
        <f t="shared" si="194"/>
        <v>1134</v>
      </c>
      <c r="D1132">
        <f t="shared" si="188"/>
        <v>95</v>
      </c>
      <c r="E1132">
        <f>[1]model_point!$C$2+D1132-1</f>
        <v>99</v>
      </c>
      <c r="F1132">
        <f>VLOOKUP(E1132,'[1]202512 BE mortality'!$A:$C,3,0)</f>
        <v>2.3828835858238895E-3</v>
      </c>
      <c r="G1132">
        <f>VLOOKUP(D1132,'[1]202512 BE lapse'!$C:$D,2,0)</f>
        <v>6.6183178297361924E-3</v>
      </c>
      <c r="H1132">
        <f>VLOOKUP($B1132,'[1]202512 RFR'!$A:$B,2,0)</f>
        <v>1.2E-2</v>
      </c>
      <c r="I1132">
        <f t="shared" si="195"/>
        <v>0.74435344504134948</v>
      </c>
      <c r="J1132">
        <f t="shared" si="196"/>
        <v>1.4800006473142909E-4</v>
      </c>
      <c r="K1132">
        <f t="shared" si="197"/>
        <v>0</v>
      </c>
      <c r="L1132">
        <f t="shared" si="189"/>
        <v>0.28198179297160347</v>
      </c>
      <c r="M1132">
        <f>IF(AND(MOD(C1132,12)=1,D1132&lt;='[1]Product parameters'!$C$2),I1131*[1]model_point!$G$2,0)</f>
        <v>0</v>
      </c>
      <c r="N1132">
        <f t="shared" si="190"/>
        <v>0</v>
      </c>
      <c r="O1132">
        <f>[2]results_sample_product_cf!G1131</f>
        <v>0</v>
      </c>
      <c r="P1132">
        <f>[2]results_sample_product_cf!H1131</f>
        <v>0</v>
      </c>
      <c r="Q1132">
        <f t="shared" si="191"/>
        <v>0</v>
      </c>
      <c r="R1132">
        <f t="shared" si="187"/>
        <v>0</v>
      </c>
    </row>
    <row r="1133" spans="1:18" x14ac:dyDescent="0.3">
      <c r="A1133">
        <f t="shared" si="192"/>
        <v>1130</v>
      </c>
      <c r="B1133">
        <f t="shared" si="193"/>
        <v>95</v>
      </c>
      <c r="C1133">
        <f t="shared" si="194"/>
        <v>1135</v>
      </c>
      <c r="D1133">
        <f t="shared" si="188"/>
        <v>95</v>
      </c>
      <c r="E1133">
        <f>[1]model_point!$C$2+D1133-1</f>
        <v>99</v>
      </c>
      <c r="F1133">
        <f>VLOOKUP(E1133,'[1]202512 BE mortality'!$A:$C,3,0)</f>
        <v>2.3828835858238895E-3</v>
      </c>
      <c r="G1133">
        <f>VLOOKUP(D1133,'[1]202512 BE lapse'!$C:$D,2,0)</f>
        <v>6.6183178297361924E-3</v>
      </c>
      <c r="H1133">
        <f>VLOOKUP($B1133,'[1]202512 RFR'!$A:$B,2,0)</f>
        <v>1.2E-2</v>
      </c>
      <c r="I1133">
        <f t="shared" si="195"/>
        <v>0.7442054743976747</v>
      </c>
      <c r="J1133">
        <f t="shared" si="196"/>
        <v>1.47970643674822E-4</v>
      </c>
      <c r="K1133">
        <f t="shared" si="197"/>
        <v>0</v>
      </c>
      <c r="L1133">
        <f t="shared" si="189"/>
        <v>0.28170162892618639</v>
      </c>
      <c r="M1133">
        <f>IF(AND(MOD(C1133,12)=1,D1133&lt;='[1]Product parameters'!$C$2),I1132*[1]model_point!$G$2,0)</f>
        <v>0</v>
      </c>
      <c r="N1133">
        <f t="shared" si="190"/>
        <v>0</v>
      </c>
      <c r="O1133">
        <f>[2]results_sample_product_cf!G1132</f>
        <v>0</v>
      </c>
      <c r="P1133">
        <f>[2]results_sample_product_cf!H1132</f>
        <v>0</v>
      </c>
      <c r="Q1133">
        <f t="shared" si="191"/>
        <v>0</v>
      </c>
      <c r="R1133">
        <f t="shared" si="187"/>
        <v>0</v>
      </c>
    </row>
    <row r="1134" spans="1:18" x14ac:dyDescent="0.3">
      <c r="A1134">
        <f t="shared" si="192"/>
        <v>1131</v>
      </c>
      <c r="B1134">
        <f t="shared" si="193"/>
        <v>95</v>
      </c>
      <c r="C1134">
        <f t="shared" si="194"/>
        <v>1136</v>
      </c>
      <c r="D1134">
        <f t="shared" si="188"/>
        <v>95</v>
      </c>
      <c r="E1134">
        <f>[1]model_point!$C$2+D1134-1</f>
        <v>99</v>
      </c>
      <c r="F1134">
        <f>VLOOKUP(E1134,'[1]202512 BE mortality'!$A:$C,3,0)</f>
        <v>2.3828835858238895E-3</v>
      </c>
      <c r="G1134">
        <f>VLOOKUP(D1134,'[1]202512 BE lapse'!$C:$D,2,0)</f>
        <v>6.6183178297361924E-3</v>
      </c>
      <c r="H1134">
        <f>VLOOKUP($B1134,'[1]202512 RFR'!$A:$B,2,0)</f>
        <v>1.2E-2</v>
      </c>
      <c r="I1134">
        <f t="shared" si="195"/>
        <v>0.74405753316920786</v>
      </c>
      <c r="J1134">
        <f t="shared" si="196"/>
        <v>1.4794122846685138E-4</v>
      </c>
      <c r="K1134">
        <f t="shared" si="197"/>
        <v>0</v>
      </c>
      <c r="L1134">
        <f t="shared" si="189"/>
        <v>0.28142174323878494</v>
      </c>
      <c r="M1134">
        <f>IF(AND(MOD(C1134,12)=1,D1134&lt;='[1]Product parameters'!$C$2),I1133*[1]model_point!$G$2,0)</f>
        <v>0</v>
      </c>
      <c r="N1134">
        <f t="shared" si="190"/>
        <v>0</v>
      </c>
      <c r="O1134">
        <f>[2]results_sample_product_cf!G1133</f>
        <v>0</v>
      </c>
      <c r="P1134">
        <f>[2]results_sample_product_cf!H1133</f>
        <v>0</v>
      </c>
      <c r="Q1134">
        <f t="shared" si="191"/>
        <v>0</v>
      </c>
      <c r="R1134">
        <f t="shared" si="187"/>
        <v>0</v>
      </c>
    </row>
    <row r="1135" spans="1:18" x14ac:dyDescent="0.3">
      <c r="A1135">
        <f t="shared" si="192"/>
        <v>1132</v>
      </c>
      <c r="B1135">
        <f t="shared" si="193"/>
        <v>95</v>
      </c>
      <c r="C1135">
        <f t="shared" si="194"/>
        <v>1137</v>
      </c>
      <c r="D1135">
        <f t="shared" si="188"/>
        <v>95</v>
      </c>
      <c r="E1135">
        <f>[1]model_point!$C$2+D1135-1</f>
        <v>99</v>
      </c>
      <c r="F1135">
        <f>VLOOKUP(E1135,'[1]202512 BE mortality'!$A:$C,3,0)</f>
        <v>2.3828835858238895E-3</v>
      </c>
      <c r="G1135">
        <f>VLOOKUP(D1135,'[1]202512 BE lapse'!$C:$D,2,0)</f>
        <v>6.6183178297361924E-3</v>
      </c>
      <c r="H1135">
        <f>VLOOKUP($B1135,'[1]202512 RFR'!$A:$B,2,0)</f>
        <v>1.2E-2</v>
      </c>
      <c r="I1135">
        <f t="shared" si="195"/>
        <v>0.74390962135010152</v>
      </c>
      <c r="J1135">
        <f t="shared" si="196"/>
        <v>1.4791181910635455E-4</v>
      </c>
      <c r="K1135">
        <f t="shared" si="197"/>
        <v>0</v>
      </c>
      <c r="L1135">
        <f t="shared" si="189"/>
        <v>0.28114213563283552</v>
      </c>
      <c r="M1135">
        <f>IF(AND(MOD(C1135,12)=1,D1135&lt;='[1]Product parameters'!$C$2),I1134*[1]model_point!$G$2,0)</f>
        <v>0</v>
      </c>
      <c r="N1135">
        <f t="shared" si="190"/>
        <v>0</v>
      </c>
      <c r="O1135">
        <f>[2]results_sample_product_cf!G1134</f>
        <v>0</v>
      </c>
      <c r="P1135">
        <f>[2]results_sample_product_cf!H1134</f>
        <v>0</v>
      </c>
      <c r="Q1135">
        <f t="shared" si="191"/>
        <v>0</v>
      </c>
      <c r="R1135">
        <f t="shared" si="187"/>
        <v>0</v>
      </c>
    </row>
    <row r="1136" spans="1:18" x14ac:dyDescent="0.3">
      <c r="A1136">
        <f t="shared" si="192"/>
        <v>1133</v>
      </c>
      <c r="B1136">
        <f t="shared" si="193"/>
        <v>95</v>
      </c>
      <c r="C1136">
        <f t="shared" si="194"/>
        <v>1138</v>
      </c>
      <c r="D1136">
        <f t="shared" si="188"/>
        <v>95</v>
      </c>
      <c r="E1136">
        <f>[1]model_point!$C$2+D1136-1</f>
        <v>99</v>
      </c>
      <c r="F1136">
        <f>VLOOKUP(E1136,'[1]202512 BE mortality'!$A:$C,3,0)</f>
        <v>2.3828835858238895E-3</v>
      </c>
      <c r="G1136">
        <f>VLOOKUP(D1136,'[1]202512 BE lapse'!$C:$D,2,0)</f>
        <v>6.6183178297361924E-3</v>
      </c>
      <c r="H1136">
        <f>VLOOKUP($B1136,'[1]202512 RFR'!$A:$B,2,0)</f>
        <v>1.2E-2</v>
      </c>
      <c r="I1136">
        <f t="shared" si="195"/>
        <v>0.74376173893450936</v>
      </c>
      <c r="J1136">
        <f t="shared" si="196"/>
        <v>1.4788241559216908E-4</v>
      </c>
      <c r="K1136">
        <f t="shared" si="197"/>
        <v>0</v>
      </c>
      <c r="L1136">
        <f t="shared" si="189"/>
        <v>0.28086280583204931</v>
      </c>
      <c r="M1136">
        <f>IF(AND(MOD(C1136,12)=1,D1136&lt;='[1]Product parameters'!$C$2),I1135*[1]model_point!$G$2,0)</f>
        <v>0</v>
      </c>
      <c r="N1136">
        <f t="shared" si="190"/>
        <v>0</v>
      </c>
      <c r="O1136">
        <f>[2]results_sample_product_cf!G1135</f>
        <v>0</v>
      </c>
      <c r="P1136">
        <f>[2]results_sample_product_cf!H1135</f>
        <v>0</v>
      </c>
      <c r="Q1136">
        <f t="shared" si="191"/>
        <v>0</v>
      </c>
      <c r="R1136">
        <f t="shared" si="187"/>
        <v>0</v>
      </c>
    </row>
    <row r="1137" spans="1:18" x14ac:dyDescent="0.3">
      <c r="A1137">
        <f t="shared" si="192"/>
        <v>1134</v>
      </c>
      <c r="B1137">
        <f t="shared" si="193"/>
        <v>95</v>
      </c>
      <c r="C1137">
        <f t="shared" si="194"/>
        <v>1139</v>
      </c>
      <c r="D1137">
        <f t="shared" si="188"/>
        <v>95</v>
      </c>
      <c r="E1137">
        <f>[1]model_point!$C$2+D1137-1</f>
        <v>99</v>
      </c>
      <c r="F1137">
        <f>VLOOKUP(E1137,'[1]202512 BE mortality'!$A:$C,3,0)</f>
        <v>2.3828835858238895E-3</v>
      </c>
      <c r="G1137">
        <f>VLOOKUP(D1137,'[1]202512 BE lapse'!$C:$D,2,0)</f>
        <v>6.6183178297361924E-3</v>
      </c>
      <c r="H1137">
        <f>VLOOKUP($B1137,'[1]202512 RFR'!$A:$B,2,0)</f>
        <v>1.2E-2</v>
      </c>
      <c r="I1137">
        <f t="shared" si="195"/>
        <v>0.74361388591658628</v>
      </c>
      <c r="J1137">
        <f t="shared" si="196"/>
        <v>1.4785301792313277E-4</v>
      </c>
      <c r="K1137">
        <f t="shared" si="197"/>
        <v>0</v>
      </c>
      <c r="L1137">
        <f t="shared" si="189"/>
        <v>0.28058375356041193</v>
      </c>
      <c r="M1137">
        <f>IF(AND(MOD(C1137,12)=1,D1137&lt;='[1]Product parameters'!$C$2),I1136*[1]model_point!$G$2,0)</f>
        <v>0</v>
      </c>
      <c r="N1137">
        <f t="shared" si="190"/>
        <v>0</v>
      </c>
      <c r="O1137">
        <f>[2]results_sample_product_cf!G1136</f>
        <v>0</v>
      </c>
      <c r="P1137">
        <f>[2]results_sample_product_cf!H1136</f>
        <v>0</v>
      </c>
      <c r="Q1137">
        <f t="shared" si="191"/>
        <v>0</v>
      </c>
      <c r="R1137">
        <f t="shared" si="187"/>
        <v>0</v>
      </c>
    </row>
    <row r="1138" spans="1:18" x14ac:dyDescent="0.3">
      <c r="A1138">
        <f t="shared" si="192"/>
        <v>1135</v>
      </c>
      <c r="B1138">
        <f t="shared" si="193"/>
        <v>95</v>
      </c>
      <c r="C1138">
        <f t="shared" si="194"/>
        <v>1140</v>
      </c>
      <c r="D1138">
        <f t="shared" si="188"/>
        <v>95</v>
      </c>
      <c r="E1138">
        <f>[1]model_point!$C$2+D1138-1</f>
        <v>99</v>
      </c>
      <c r="F1138">
        <f>VLOOKUP(E1138,'[1]202512 BE mortality'!$A:$C,3,0)</f>
        <v>2.3828835858238895E-3</v>
      </c>
      <c r="G1138">
        <f>VLOOKUP(D1138,'[1]202512 BE lapse'!$C:$D,2,0)</f>
        <v>6.6183178297361924E-3</v>
      </c>
      <c r="H1138">
        <f>VLOOKUP($B1138,'[1]202512 RFR'!$A:$B,2,0)</f>
        <v>1.2E-2</v>
      </c>
      <c r="I1138">
        <f t="shared" si="195"/>
        <v>0.73854556759462731</v>
      </c>
      <c r="J1138">
        <f t="shared" si="196"/>
        <v>1.4782362609808369E-4</v>
      </c>
      <c r="K1138">
        <f t="shared" si="197"/>
        <v>4.9204946958608968E-3</v>
      </c>
      <c r="L1138">
        <f t="shared" si="189"/>
        <v>0.28030497854218328</v>
      </c>
      <c r="M1138">
        <f>IF(AND(MOD(C1138,12)=1,D1138&lt;='[1]Product parameters'!$C$2),I1137*[1]model_point!$G$2,0)</f>
        <v>0</v>
      </c>
      <c r="N1138">
        <f t="shared" si="190"/>
        <v>0</v>
      </c>
      <c r="O1138">
        <f>[2]results_sample_product_cf!G1137</f>
        <v>0</v>
      </c>
      <c r="P1138">
        <f>[2]results_sample_product_cf!H1137</f>
        <v>0</v>
      </c>
      <c r="Q1138">
        <f t="shared" si="191"/>
        <v>0</v>
      </c>
      <c r="R1138">
        <f t="shared" si="187"/>
        <v>0</v>
      </c>
    </row>
    <row r="1139" spans="1:18" x14ac:dyDescent="0.3">
      <c r="A1139">
        <f t="shared" si="192"/>
        <v>1136</v>
      </c>
      <c r="B1139">
        <f t="shared" si="193"/>
        <v>95</v>
      </c>
      <c r="C1139">
        <f t="shared" si="194"/>
        <v>1141</v>
      </c>
      <c r="D1139">
        <f t="shared" si="188"/>
        <v>96</v>
      </c>
      <c r="E1139">
        <f>[1]model_point!$C$2+D1139-1</f>
        <v>100</v>
      </c>
      <c r="F1139">
        <f>VLOOKUP(E1139,'[1]202512 BE mortality'!$A:$C,3,0)</f>
        <v>4.668267174587082E-3</v>
      </c>
      <c r="G1139">
        <f>VLOOKUP(D1139,'[1]202512 BE lapse'!$C:$D,2,0)</f>
        <v>1.0121367184921881E-3</v>
      </c>
      <c r="H1139">
        <f>VLOOKUP($B1139,'[1]202512 RFR'!$A:$B,2,0)</f>
        <v>1.2E-2</v>
      </c>
      <c r="I1139">
        <f t="shared" si="195"/>
        <v>0.73825764034937214</v>
      </c>
      <c r="J1139">
        <f t="shared" si="196"/>
        <v>2.8792724525516486E-4</v>
      </c>
      <c r="K1139">
        <f t="shared" si="197"/>
        <v>0</v>
      </c>
      <c r="L1139">
        <f t="shared" si="189"/>
        <v>0.28002648050189727</v>
      </c>
      <c r="M1139">
        <f>IF(AND(MOD(C1139,12)=1,D1139&lt;='[1]Product parameters'!$C$2),I1138*[1]model_point!$G$2,0)</f>
        <v>0</v>
      </c>
      <c r="N1139">
        <f t="shared" si="190"/>
        <v>0</v>
      </c>
      <c r="O1139">
        <f>[2]results_sample_product_cf!G1138</f>
        <v>0</v>
      </c>
      <c r="P1139">
        <f>[2]results_sample_product_cf!H1138</f>
        <v>0</v>
      </c>
      <c r="Q1139">
        <f t="shared" si="191"/>
        <v>0</v>
      </c>
      <c r="R1139">
        <f t="shared" si="187"/>
        <v>0</v>
      </c>
    </row>
    <row r="1140" spans="1:18" x14ac:dyDescent="0.3">
      <c r="A1140">
        <f t="shared" si="192"/>
        <v>1137</v>
      </c>
      <c r="B1140">
        <f t="shared" si="193"/>
        <v>95</v>
      </c>
      <c r="C1140">
        <f t="shared" si="194"/>
        <v>1142</v>
      </c>
      <c r="D1140">
        <f t="shared" si="188"/>
        <v>96</v>
      </c>
      <c r="E1140">
        <f>[1]model_point!$C$2+D1140-1</f>
        <v>100</v>
      </c>
      <c r="F1140">
        <f>VLOOKUP(E1140,'[1]202512 BE mortality'!$A:$C,3,0)</f>
        <v>4.668267174587082E-3</v>
      </c>
      <c r="G1140">
        <f>VLOOKUP(D1140,'[1]202512 BE lapse'!$C:$D,2,0)</f>
        <v>1.0121367184921881E-3</v>
      </c>
      <c r="H1140">
        <f>VLOOKUP($B1140,'[1]202512 RFR'!$A:$B,2,0)</f>
        <v>1.2E-2</v>
      </c>
      <c r="I1140">
        <f t="shared" si="195"/>
        <v>0.73796982535460254</v>
      </c>
      <c r="J1140">
        <f t="shared" si="196"/>
        <v>2.8781499476961906E-4</v>
      </c>
      <c r="K1140">
        <f t="shared" si="197"/>
        <v>0</v>
      </c>
      <c r="L1140">
        <f t="shared" si="189"/>
        <v>0.27974825916436141</v>
      </c>
      <c r="M1140">
        <f>IF(AND(MOD(C1140,12)=1,D1140&lt;='[1]Product parameters'!$C$2),I1139*[1]model_point!$G$2,0)</f>
        <v>0</v>
      </c>
      <c r="N1140">
        <f t="shared" si="190"/>
        <v>0</v>
      </c>
      <c r="O1140">
        <f>[2]results_sample_product_cf!G1139</f>
        <v>0</v>
      </c>
      <c r="P1140">
        <f>[2]results_sample_product_cf!H1139</f>
        <v>0</v>
      </c>
      <c r="Q1140">
        <f t="shared" si="191"/>
        <v>0</v>
      </c>
      <c r="R1140">
        <f t="shared" si="187"/>
        <v>0</v>
      </c>
    </row>
    <row r="1141" spans="1:18" x14ac:dyDescent="0.3">
      <c r="A1141">
        <f t="shared" si="192"/>
        <v>1138</v>
      </c>
      <c r="B1141">
        <f t="shared" si="193"/>
        <v>95</v>
      </c>
      <c r="C1141">
        <f t="shared" si="194"/>
        <v>1143</v>
      </c>
      <c r="D1141">
        <f t="shared" si="188"/>
        <v>96</v>
      </c>
      <c r="E1141">
        <f>[1]model_point!$C$2+D1141-1</f>
        <v>100</v>
      </c>
      <c r="F1141">
        <f>VLOOKUP(E1141,'[1]202512 BE mortality'!$A:$C,3,0)</f>
        <v>4.668267174587082E-3</v>
      </c>
      <c r="G1141">
        <f>VLOOKUP(D1141,'[1]202512 BE lapse'!$C:$D,2,0)</f>
        <v>1.0121367184921881E-3</v>
      </c>
      <c r="H1141">
        <f>VLOOKUP($B1141,'[1]202512 RFR'!$A:$B,2,0)</f>
        <v>1.2E-2</v>
      </c>
      <c r="I1141">
        <f t="shared" si="195"/>
        <v>0.73768212256655685</v>
      </c>
      <c r="J1141">
        <f t="shared" si="196"/>
        <v>2.8770278804572381E-4</v>
      </c>
      <c r="K1141">
        <f t="shared" si="197"/>
        <v>0</v>
      </c>
      <c r="L1141">
        <f t="shared" si="189"/>
        <v>0.27947031425465663</v>
      </c>
      <c r="M1141">
        <f>IF(AND(MOD(C1141,12)=1,D1141&lt;='[1]Product parameters'!$C$2),I1140*[1]model_point!$G$2,0)</f>
        <v>0</v>
      </c>
      <c r="N1141">
        <f t="shared" si="190"/>
        <v>0</v>
      </c>
      <c r="O1141">
        <f>[2]results_sample_product_cf!G1140</f>
        <v>0</v>
      </c>
      <c r="P1141">
        <f>[2]results_sample_product_cf!H1140</f>
        <v>0</v>
      </c>
      <c r="Q1141">
        <f t="shared" si="191"/>
        <v>0</v>
      </c>
      <c r="R1141">
        <f t="shared" si="187"/>
        <v>0</v>
      </c>
    </row>
    <row r="1142" spans="1:18" x14ac:dyDescent="0.3">
      <c r="A1142">
        <f t="shared" si="192"/>
        <v>1139</v>
      </c>
      <c r="B1142">
        <f t="shared" si="193"/>
        <v>95</v>
      </c>
      <c r="C1142">
        <f t="shared" si="194"/>
        <v>1144</v>
      </c>
      <c r="D1142">
        <f t="shared" si="188"/>
        <v>96</v>
      </c>
      <c r="E1142">
        <f>[1]model_point!$C$2+D1142-1</f>
        <v>100</v>
      </c>
      <c r="F1142">
        <f>VLOOKUP(E1142,'[1]202512 BE mortality'!$A:$C,3,0)</f>
        <v>4.668267174587082E-3</v>
      </c>
      <c r="G1142">
        <f>VLOOKUP(D1142,'[1]202512 BE lapse'!$C:$D,2,0)</f>
        <v>1.0121367184921881E-3</v>
      </c>
      <c r="H1142">
        <f>VLOOKUP($B1142,'[1]202512 RFR'!$A:$B,2,0)</f>
        <v>1.2E-2</v>
      </c>
      <c r="I1142">
        <f t="shared" si="195"/>
        <v>0.73739453194149041</v>
      </c>
      <c r="J1142">
        <f t="shared" si="196"/>
        <v>2.8759062506641839E-4</v>
      </c>
      <c r="K1142">
        <f t="shared" si="197"/>
        <v>0</v>
      </c>
      <c r="L1142">
        <f t="shared" si="189"/>
        <v>0.2791926454981371</v>
      </c>
      <c r="M1142">
        <f>IF(AND(MOD(C1142,12)=1,D1142&lt;='[1]Product parameters'!$C$2),I1141*[1]model_point!$G$2,0)</f>
        <v>0</v>
      </c>
      <c r="N1142">
        <f t="shared" si="190"/>
        <v>0</v>
      </c>
      <c r="O1142">
        <f>[2]results_sample_product_cf!G1141</f>
        <v>0</v>
      </c>
      <c r="P1142">
        <f>[2]results_sample_product_cf!H1141</f>
        <v>0</v>
      </c>
      <c r="Q1142">
        <f t="shared" si="191"/>
        <v>0</v>
      </c>
      <c r="R1142">
        <f t="shared" si="187"/>
        <v>0</v>
      </c>
    </row>
    <row r="1143" spans="1:18" x14ac:dyDescent="0.3">
      <c r="A1143">
        <f t="shared" si="192"/>
        <v>1140</v>
      </c>
      <c r="B1143">
        <f t="shared" si="193"/>
        <v>95</v>
      </c>
      <c r="C1143">
        <f t="shared" si="194"/>
        <v>1145</v>
      </c>
      <c r="D1143">
        <f t="shared" si="188"/>
        <v>96</v>
      </c>
      <c r="E1143">
        <f>[1]model_point!$C$2+D1143-1</f>
        <v>100</v>
      </c>
      <c r="F1143">
        <f>VLOOKUP(E1143,'[1]202512 BE mortality'!$A:$C,3,0)</f>
        <v>4.668267174587082E-3</v>
      </c>
      <c r="G1143">
        <f>VLOOKUP(D1143,'[1]202512 BE lapse'!$C:$D,2,0)</f>
        <v>1.0121367184921881E-3</v>
      </c>
      <c r="H1143">
        <f>VLOOKUP($B1143,'[1]202512 RFR'!$A:$B,2,0)</f>
        <v>1.2E-2</v>
      </c>
      <c r="I1143">
        <f t="shared" si="195"/>
        <v>0.73710705343567573</v>
      </c>
      <c r="J1143">
        <f t="shared" si="196"/>
        <v>2.874785058146486E-4</v>
      </c>
      <c r="K1143">
        <f t="shared" si="197"/>
        <v>0</v>
      </c>
      <c r="L1143">
        <f t="shared" si="189"/>
        <v>0.27891525262042977</v>
      </c>
      <c r="M1143">
        <f>IF(AND(MOD(C1143,12)=1,D1143&lt;='[1]Product parameters'!$C$2),I1142*[1]model_point!$G$2,0)</f>
        <v>0</v>
      </c>
      <c r="N1143">
        <f t="shared" si="190"/>
        <v>0</v>
      </c>
      <c r="O1143">
        <f>[2]results_sample_product_cf!G1142</f>
        <v>0</v>
      </c>
      <c r="P1143">
        <f>[2]results_sample_product_cf!H1142</f>
        <v>0</v>
      </c>
      <c r="Q1143">
        <f t="shared" si="191"/>
        <v>0</v>
      </c>
      <c r="R1143">
        <f t="shared" si="187"/>
        <v>0</v>
      </c>
    </row>
    <row r="1144" spans="1:18" x14ac:dyDescent="0.3">
      <c r="A1144">
        <f t="shared" si="192"/>
        <v>1141</v>
      </c>
      <c r="B1144">
        <f t="shared" si="193"/>
        <v>96</v>
      </c>
      <c r="C1144">
        <f t="shared" si="194"/>
        <v>1146</v>
      </c>
      <c r="D1144">
        <f t="shared" si="188"/>
        <v>96</v>
      </c>
      <c r="E1144">
        <f>[1]model_point!$C$2+D1144-1</f>
        <v>100</v>
      </c>
      <c r="F1144">
        <f>VLOOKUP(E1144,'[1]202512 BE mortality'!$A:$C,3,0)</f>
        <v>4.668267174587082E-3</v>
      </c>
      <c r="G1144">
        <f>VLOOKUP(D1144,'[1]202512 BE lapse'!$C:$D,2,0)</f>
        <v>1.0121367184921881E-3</v>
      </c>
      <c r="H1144">
        <f>VLOOKUP($B1144,'[1]202512 RFR'!$A:$B,2,0)</f>
        <v>1.2E-2</v>
      </c>
      <c r="I1144">
        <f t="shared" si="195"/>
        <v>0.73681968700540235</v>
      </c>
      <c r="J1144">
        <f t="shared" si="196"/>
        <v>2.8736643027336701E-4</v>
      </c>
      <c r="K1144">
        <f t="shared" si="197"/>
        <v>0</v>
      </c>
      <c r="L1144">
        <f t="shared" si="189"/>
        <v>0.27863813534743426</v>
      </c>
      <c r="M1144">
        <f>IF(AND(MOD(C1144,12)=1,D1144&lt;='[1]Product parameters'!$C$2),I1143*[1]model_point!$G$2,0)</f>
        <v>0</v>
      </c>
      <c r="N1144">
        <f t="shared" si="190"/>
        <v>0</v>
      </c>
      <c r="O1144">
        <f>[2]results_sample_product_cf!G1143</f>
        <v>0</v>
      </c>
      <c r="P1144">
        <f>[2]results_sample_product_cf!H1143</f>
        <v>0</v>
      </c>
      <c r="Q1144">
        <f t="shared" si="191"/>
        <v>0</v>
      </c>
      <c r="R1144">
        <f t="shared" si="187"/>
        <v>0</v>
      </c>
    </row>
    <row r="1145" spans="1:18" x14ac:dyDescent="0.3">
      <c r="A1145">
        <f t="shared" si="192"/>
        <v>1142</v>
      </c>
      <c r="B1145">
        <f t="shared" si="193"/>
        <v>96</v>
      </c>
      <c r="C1145">
        <f t="shared" si="194"/>
        <v>1147</v>
      </c>
      <c r="D1145">
        <f t="shared" si="188"/>
        <v>96</v>
      </c>
      <c r="E1145">
        <f>[1]model_point!$C$2+D1145-1</f>
        <v>100</v>
      </c>
      <c r="F1145">
        <f>VLOOKUP(E1145,'[1]202512 BE mortality'!$A:$C,3,0)</f>
        <v>4.668267174587082E-3</v>
      </c>
      <c r="G1145">
        <f>VLOOKUP(D1145,'[1]202512 BE lapse'!$C:$D,2,0)</f>
        <v>1.0121367184921881E-3</v>
      </c>
      <c r="H1145">
        <f>VLOOKUP($B1145,'[1]202512 RFR'!$A:$B,2,0)</f>
        <v>1.2E-2</v>
      </c>
      <c r="I1145">
        <f t="shared" si="195"/>
        <v>0.73653243260697676</v>
      </c>
      <c r="J1145">
        <f t="shared" si="196"/>
        <v>2.8725439842553277E-4</v>
      </c>
      <c r="K1145">
        <f t="shared" si="197"/>
        <v>0</v>
      </c>
      <c r="L1145">
        <f t="shared" si="189"/>
        <v>0.27836129340532251</v>
      </c>
      <c r="M1145">
        <f>IF(AND(MOD(C1145,12)=1,D1145&lt;='[1]Product parameters'!$C$2),I1144*[1]model_point!$G$2,0)</f>
        <v>0</v>
      </c>
      <c r="N1145">
        <f t="shared" si="190"/>
        <v>0</v>
      </c>
      <c r="O1145">
        <f>[2]results_sample_product_cf!G1144</f>
        <v>0</v>
      </c>
      <c r="P1145">
        <f>[2]results_sample_product_cf!H1144</f>
        <v>0</v>
      </c>
      <c r="Q1145">
        <f t="shared" si="191"/>
        <v>0</v>
      </c>
      <c r="R1145">
        <f t="shared" si="187"/>
        <v>0</v>
      </c>
    </row>
    <row r="1146" spans="1:18" x14ac:dyDescent="0.3">
      <c r="A1146">
        <f t="shared" si="192"/>
        <v>1143</v>
      </c>
      <c r="B1146">
        <f t="shared" si="193"/>
        <v>96</v>
      </c>
      <c r="C1146">
        <f t="shared" si="194"/>
        <v>1148</v>
      </c>
      <c r="D1146">
        <f t="shared" si="188"/>
        <v>96</v>
      </c>
      <c r="E1146">
        <f>[1]model_point!$C$2+D1146-1</f>
        <v>100</v>
      </c>
      <c r="F1146">
        <f>VLOOKUP(E1146,'[1]202512 BE mortality'!$A:$C,3,0)</f>
        <v>4.668267174587082E-3</v>
      </c>
      <c r="G1146">
        <f>VLOOKUP(D1146,'[1]202512 BE lapse'!$C:$D,2,0)</f>
        <v>1.0121367184921881E-3</v>
      </c>
      <c r="H1146">
        <f>VLOOKUP($B1146,'[1]202512 RFR'!$A:$B,2,0)</f>
        <v>1.2E-2</v>
      </c>
      <c r="I1146">
        <f t="shared" si="195"/>
        <v>0.73624529019672269</v>
      </c>
      <c r="J1146">
        <f t="shared" si="196"/>
        <v>2.871424102541116E-4</v>
      </c>
      <c r="K1146">
        <f t="shared" si="197"/>
        <v>0</v>
      </c>
      <c r="L1146">
        <f t="shared" si="189"/>
        <v>0.27808472652053845</v>
      </c>
      <c r="M1146">
        <f>IF(AND(MOD(C1146,12)=1,D1146&lt;='[1]Product parameters'!$C$2),I1145*[1]model_point!$G$2,0)</f>
        <v>0</v>
      </c>
      <c r="N1146">
        <f t="shared" si="190"/>
        <v>0</v>
      </c>
      <c r="O1146">
        <f>[2]results_sample_product_cf!G1145</f>
        <v>0</v>
      </c>
      <c r="P1146">
        <f>[2]results_sample_product_cf!H1145</f>
        <v>0</v>
      </c>
      <c r="Q1146">
        <f t="shared" si="191"/>
        <v>0</v>
      </c>
      <c r="R1146">
        <f t="shared" si="187"/>
        <v>0</v>
      </c>
    </row>
    <row r="1147" spans="1:18" x14ac:dyDescent="0.3">
      <c r="A1147">
        <f t="shared" si="192"/>
        <v>1144</v>
      </c>
      <c r="B1147">
        <f t="shared" si="193"/>
        <v>96</v>
      </c>
      <c r="C1147">
        <f t="shared" si="194"/>
        <v>1149</v>
      </c>
      <c r="D1147">
        <f t="shared" si="188"/>
        <v>96</v>
      </c>
      <c r="E1147">
        <f>[1]model_point!$C$2+D1147-1</f>
        <v>100</v>
      </c>
      <c r="F1147">
        <f>VLOOKUP(E1147,'[1]202512 BE mortality'!$A:$C,3,0)</f>
        <v>4.668267174587082E-3</v>
      </c>
      <c r="G1147">
        <f>VLOOKUP(D1147,'[1]202512 BE lapse'!$C:$D,2,0)</f>
        <v>1.0121367184921881E-3</v>
      </c>
      <c r="H1147">
        <f>VLOOKUP($B1147,'[1]202512 RFR'!$A:$B,2,0)</f>
        <v>1.2E-2</v>
      </c>
      <c r="I1147">
        <f t="shared" si="195"/>
        <v>0.73595825973098061</v>
      </c>
      <c r="J1147">
        <f t="shared" si="196"/>
        <v>2.8703046574207611E-4</v>
      </c>
      <c r="K1147">
        <f t="shared" si="197"/>
        <v>0</v>
      </c>
      <c r="L1147">
        <f t="shared" si="189"/>
        <v>0.27780843441979791</v>
      </c>
      <c r="M1147">
        <f>IF(AND(MOD(C1147,12)=1,D1147&lt;='[1]Product parameters'!$C$2),I1146*[1]model_point!$G$2,0)</f>
        <v>0</v>
      </c>
      <c r="N1147">
        <f t="shared" si="190"/>
        <v>0</v>
      </c>
      <c r="O1147">
        <f>[2]results_sample_product_cf!G1146</f>
        <v>0</v>
      </c>
      <c r="P1147">
        <f>[2]results_sample_product_cf!H1146</f>
        <v>0</v>
      </c>
      <c r="Q1147">
        <f t="shared" si="191"/>
        <v>0</v>
      </c>
      <c r="R1147">
        <f t="shared" si="187"/>
        <v>0</v>
      </c>
    </row>
    <row r="1148" spans="1:18" x14ac:dyDescent="0.3">
      <c r="A1148">
        <f t="shared" si="192"/>
        <v>1145</v>
      </c>
      <c r="B1148">
        <f t="shared" si="193"/>
        <v>96</v>
      </c>
      <c r="C1148">
        <f t="shared" si="194"/>
        <v>1150</v>
      </c>
      <c r="D1148">
        <f t="shared" si="188"/>
        <v>96</v>
      </c>
      <c r="E1148">
        <f>[1]model_point!$C$2+D1148-1</f>
        <v>100</v>
      </c>
      <c r="F1148">
        <f>VLOOKUP(E1148,'[1]202512 BE mortality'!$A:$C,3,0)</f>
        <v>4.668267174587082E-3</v>
      </c>
      <c r="G1148">
        <f>VLOOKUP(D1148,'[1]202512 BE lapse'!$C:$D,2,0)</f>
        <v>1.0121367184921881E-3</v>
      </c>
      <c r="H1148">
        <f>VLOOKUP($B1148,'[1]202512 RFR'!$A:$B,2,0)</f>
        <v>1.2E-2</v>
      </c>
      <c r="I1148">
        <f t="shared" si="195"/>
        <v>0.73567134116610822</v>
      </c>
      <c r="J1148">
        <f t="shared" si="196"/>
        <v>2.8691856487240519E-4</v>
      </c>
      <c r="K1148">
        <f t="shared" si="197"/>
        <v>0</v>
      </c>
      <c r="L1148">
        <f t="shared" si="189"/>
        <v>0.27753241683008822</v>
      </c>
      <c r="M1148">
        <f>IF(AND(MOD(C1148,12)=1,D1148&lt;='[1]Product parameters'!$C$2),I1147*[1]model_point!$G$2,0)</f>
        <v>0</v>
      </c>
      <c r="N1148">
        <f t="shared" si="190"/>
        <v>0</v>
      </c>
      <c r="O1148">
        <f>[2]results_sample_product_cf!G1147</f>
        <v>0</v>
      </c>
      <c r="P1148">
        <f>[2]results_sample_product_cf!H1147</f>
        <v>0</v>
      </c>
      <c r="Q1148">
        <f t="shared" si="191"/>
        <v>0</v>
      </c>
      <c r="R1148">
        <f t="shared" si="187"/>
        <v>0</v>
      </c>
    </row>
    <row r="1149" spans="1:18" x14ac:dyDescent="0.3">
      <c r="A1149">
        <f t="shared" si="192"/>
        <v>1146</v>
      </c>
      <c r="B1149">
        <f t="shared" si="193"/>
        <v>96</v>
      </c>
      <c r="C1149">
        <f t="shared" si="194"/>
        <v>1151</v>
      </c>
      <c r="D1149">
        <f t="shared" si="188"/>
        <v>96</v>
      </c>
      <c r="E1149">
        <f>[1]model_point!$C$2+D1149-1</f>
        <v>100</v>
      </c>
      <c r="F1149">
        <f>VLOOKUP(E1149,'[1]202512 BE mortality'!$A:$C,3,0)</f>
        <v>4.668267174587082E-3</v>
      </c>
      <c r="G1149">
        <f>VLOOKUP(D1149,'[1]202512 BE lapse'!$C:$D,2,0)</f>
        <v>1.0121367184921881E-3</v>
      </c>
      <c r="H1149">
        <f>VLOOKUP($B1149,'[1]202512 RFR'!$A:$B,2,0)</f>
        <v>1.2E-2</v>
      </c>
      <c r="I1149">
        <f t="shared" si="195"/>
        <v>0.73538453445848018</v>
      </c>
      <c r="J1149">
        <f t="shared" si="196"/>
        <v>2.8680670762808467E-4</v>
      </c>
      <c r="K1149">
        <f t="shared" si="197"/>
        <v>0</v>
      </c>
      <c r="L1149">
        <f t="shared" si="189"/>
        <v>0.27725667347866789</v>
      </c>
      <c r="M1149">
        <f>IF(AND(MOD(C1149,12)=1,D1149&lt;='[1]Product parameters'!$C$2),I1148*[1]model_point!$G$2,0)</f>
        <v>0</v>
      </c>
      <c r="N1149">
        <f t="shared" si="190"/>
        <v>0</v>
      </c>
      <c r="O1149">
        <f>[2]results_sample_product_cf!G1148</f>
        <v>0</v>
      </c>
      <c r="P1149">
        <f>[2]results_sample_product_cf!H1148</f>
        <v>0</v>
      </c>
      <c r="Q1149">
        <f t="shared" si="191"/>
        <v>0</v>
      </c>
      <c r="R1149">
        <f t="shared" si="187"/>
        <v>0</v>
      </c>
    </row>
    <row r="1150" spans="1:18" x14ac:dyDescent="0.3">
      <c r="A1150">
        <f t="shared" si="192"/>
        <v>1147</v>
      </c>
      <c r="B1150">
        <f t="shared" si="193"/>
        <v>96</v>
      </c>
      <c r="C1150">
        <f t="shared" si="194"/>
        <v>1152</v>
      </c>
      <c r="D1150">
        <f t="shared" si="188"/>
        <v>96</v>
      </c>
      <c r="E1150">
        <f>[1]model_point!$C$2+D1150-1</f>
        <v>100</v>
      </c>
      <c r="F1150">
        <f>VLOOKUP(E1150,'[1]202512 BE mortality'!$A:$C,3,0)</f>
        <v>4.668267174587082E-3</v>
      </c>
      <c r="G1150">
        <f>VLOOKUP(D1150,'[1]202512 BE lapse'!$C:$D,2,0)</f>
        <v>1.0121367184921881E-3</v>
      </c>
      <c r="H1150">
        <f>VLOOKUP($B1150,'[1]202512 RFR'!$A:$B,2,0)</f>
        <v>1.2E-2</v>
      </c>
      <c r="I1150">
        <f t="shared" si="195"/>
        <v>0.73435382004938055</v>
      </c>
      <c r="J1150">
        <f t="shared" si="196"/>
        <v>2.8669489399210684E-4</v>
      </c>
      <c r="K1150">
        <f t="shared" si="197"/>
        <v>7.4401951510749795E-4</v>
      </c>
      <c r="L1150">
        <f t="shared" si="189"/>
        <v>0.27698120409306648</v>
      </c>
      <c r="M1150">
        <f>IF(AND(MOD(C1150,12)=1,D1150&lt;='[1]Product parameters'!$C$2),I1149*[1]model_point!$G$2,0)</f>
        <v>0</v>
      </c>
      <c r="N1150">
        <f t="shared" si="190"/>
        <v>0</v>
      </c>
      <c r="O1150">
        <f>[2]results_sample_product_cf!G1149</f>
        <v>0</v>
      </c>
      <c r="P1150">
        <f>[2]results_sample_product_cf!H1149</f>
        <v>0</v>
      </c>
      <c r="Q1150">
        <f t="shared" si="191"/>
        <v>0</v>
      </c>
      <c r="R1150">
        <f t="shared" si="187"/>
        <v>0</v>
      </c>
    </row>
    <row r="1151" spans="1:18" x14ac:dyDescent="0.3">
      <c r="A1151">
        <f t="shared" si="192"/>
        <v>1148</v>
      </c>
      <c r="B1151">
        <f t="shared" si="193"/>
        <v>96</v>
      </c>
      <c r="C1151">
        <f t="shared" si="194"/>
        <v>1153</v>
      </c>
      <c r="D1151">
        <f t="shared" si="188"/>
        <v>97</v>
      </c>
      <c r="E1151">
        <f>[1]model_point!$C$2+D1151-1</f>
        <v>101</v>
      </c>
      <c r="F1151">
        <f>VLOOKUP(E1151,'[1]202512 BE mortality'!$A:$C,3,0)</f>
        <v>2.5963606107009662E-3</v>
      </c>
      <c r="G1151">
        <f>VLOOKUP(D1151,'[1]202512 BE lapse'!$C:$D,2,0)</f>
        <v>9.3777034683024049E-3</v>
      </c>
      <c r="H1151">
        <f>VLOOKUP($B1151,'[1]202512 RFR'!$A:$B,2,0)</f>
        <v>1.2E-2</v>
      </c>
      <c r="I1151">
        <f t="shared" si="195"/>
        <v>0.73419474338178492</v>
      </c>
      <c r="J1151">
        <f t="shared" si="196"/>
        <v>1.5907666759562878E-4</v>
      </c>
      <c r="K1151">
        <f t="shared" si="197"/>
        <v>0</v>
      </c>
      <c r="L1151">
        <f t="shared" si="189"/>
        <v>0.27670600840108422</v>
      </c>
      <c r="M1151">
        <f>IF(AND(MOD(C1151,12)=1,D1151&lt;='[1]Product parameters'!$C$2),I1150*[1]model_point!$G$2,0)</f>
        <v>0</v>
      </c>
      <c r="N1151">
        <f t="shared" si="190"/>
        <v>0</v>
      </c>
      <c r="O1151">
        <f>[2]results_sample_product_cf!G1150</f>
        <v>0</v>
      </c>
      <c r="P1151">
        <f>[2]results_sample_product_cf!H1150</f>
        <v>0</v>
      </c>
      <c r="Q1151">
        <f t="shared" si="191"/>
        <v>0</v>
      </c>
      <c r="R1151">
        <f t="shared" si="187"/>
        <v>0</v>
      </c>
    </row>
    <row r="1152" spans="1:18" x14ac:dyDescent="0.3">
      <c r="A1152">
        <f t="shared" si="192"/>
        <v>1149</v>
      </c>
      <c r="B1152">
        <f t="shared" si="193"/>
        <v>96</v>
      </c>
      <c r="C1152">
        <f t="shared" si="194"/>
        <v>1154</v>
      </c>
      <c r="D1152">
        <f t="shared" si="188"/>
        <v>97</v>
      </c>
      <c r="E1152">
        <f>[1]model_point!$C$2+D1152-1</f>
        <v>101</v>
      </c>
      <c r="F1152">
        <f>VLOOKUP(E1152,'[1]202512 BE mortality'!$A:$C,3,0)</f>
        <v>2.5963606107009662E-3</v>
      </c>
      <c r="G1152">
        <f>VLOOKUP(D1152,'[1]202512 BE lapse'!$C:$D,2,0)</f>
        <v>9.3777034683024049E-3</v>
      </c>
      <c r="H1152">
        <f>VLOOKUP($B1152,'[1]202512 RFR'!$A:$B,2,0)</f>
        <v>1.2E-2</v>
      </c>
      <c r="I1152">
        <f t="shared" si="195"/>
        <v>0.7340357011735813</v>
      </c>
      <c r="J1152">
        <f t="shared" si="196"/>
        <v>1.5904220820359943E-4</v>
      </c>
      <c r="K1152">
        <f t="shared" si="197"/>
        <v>0</v>
      </c>
      <c r="L1152">
        <f t="shared" si="189"/>
        <v>0.27643108613079187</v>
      </c>
      <c r="M1152">
        <f>IF(AND(MOD(C1152,12)=1,D1152&lt;='[1]Product parameters'!$C$2),I1151*[1]model_point!$G$2,0)</f>
        <v>0</v>
      </c>
      <c r="N1152">
        <f t="shared" si="190"/>
        <v>0</v>
      </c>
      <c r="O1152">
        <f>[2]results_sample_product_cf!G1151</f>
        <v>0</v>
      </c>
      <c r="P1152">
        <f>[2]results_sample_product_cf!H1151</f>
        <v>0</v>
      </c>
      <c r="Q1152">
        <f t="shared" si="191"/>
        <v>0</v>
      </c>
      <c r="R1152">
        <f t="shared" si="187"/>
        <v>0</v>
      </c>
    </row>
    <row r="1153" spans="1:18" x14ac:dyDescent="0.3">
      <c r="A1153">
        <f t="shared" si="192"/>
        <v>1150</v>
      </c>
      <c r="B1153">
        <f t="shared" si="193"/>
        <v>96</v>
      </c>
      <c r="C1153">
        <f t="shared" si="194"/>
        <v>1155</v>
      </c>
      <c r="D1153">
        <f t="shared" si="188"/>
        <v>97</v>
      </c>
      <c r="E1153">
        <f>[1]model_point!$C$2+D1153-1</f>
        <v>101</v>
      </c>
      <c r="F1153">
        <f>VLOOKUP(E1153,'[1]202512 BE mortality'!$A:$C,3,0)</f>
        <v>2.5963606107009662E-3</v>
      </c>
      <c r="G1153">
        <f>VLOOKUP(D1153,'[1]202512 BE lapse'!$C:$D,2,0)</f>
        <v>9.3777034683024049E-3</v>
      </c>
      <c r="H1153">
        <f>VLOOKUP($B1153,'[1]202512 RFR'!$A:$B,2,0)</f>
        <v>1.2E-2</v>
      </c>
      <c r="I1153">
        <f t="shared" si="195"/>
        <v>0.7338766934173051</v>
      </c>
      <c r="J1153">
        <f t="shared" si="196"/>
        <v>1.5900775627620785E-4</v>
      </c>
      <c r="K1153">
        <f t="shared" si="197"/>
        <v>0</v>
      </c>
      <c r="L1153">
        <f t="shared" si="189"/>
        <v>0.27615643701053022</v>
      </c>
      <c r="M1153">
        <f>IF(AND(MOD(C1153,12)=1,D1153&lt;='[1]Product parameters'!$C$2),I1152*[1]model_point!$G$2,0)</f>
        <v>0</v>
      </c>
      <c r="N1153">
        <f t="shared" si="190"/>
        <v>0</v>
      </c>
      <c r="O1153">
        <f>[2]results_sample_product_cf!G1152</f>
        <v>0</v>
      </c>
      <c r="P1153">
        <f>[2]results_sample_product_cf!H1152</f>
        <v>0</v>
      </c>
      <c r="Q1153">
        <f t="shared" si="191"/>
        <v>0</v>
      </c>
      <c r="R1153">
        <f t="shared" si="187"/>
        <v>0</v>
      </c>
    </row>
    <row r="1154" spans="1:18" x14ac:dyDescent="0.3">
      <c r="A1154">
        <f t="shared" si="192"/>
        <v>1151</v>
      </c>
      <c r="B1154">
        <f t="shared" si="193"/>
        <v>96</v>
      </c>
      <c r="C1154">
        <f t="shared" si="194"/>
        <v>1156</v>
      </c>
      <c r="D1154">
        <f t="shared" si="188"/>
        <v>97</v>
      </c>
      <c r="E1154">
        <f>[1]model_point!$C$2+D1154-1</f>
        <v>101</v>
      </c>
      <c r="F1154">
        <f>VLOOKUP(E1154,'[1]202512 BE mortality'!$A:$C,3,0)</f>
        <v>2.5963606107009662E-3</v>
      </c>
      <c r="G1154">
        <f>VLOOKUP(D1154,'[1]202512 BE lapse'!$C:$D,2,0)</f>
        <v>9.3777034683024049E-3</v>
      </c>
      <c r="H1154">
        <f>VLOOKUP($B1154,'[1]202512 RFR'!$A:$B,2,0)</f>
        <v>1.2E-2</v>
      </c>
      <c r="I1154">
        <f t="shared" si="195"/>
        <v>0.7337177201054933</v>
      </c>
      <c r="J1154">
        <f t="shared" si="196"/>
        <v>1.5897331181183701E-4</v>
      </c>
      <c r="K1154">
        <f t="shared" si="197"/>
        <v>0</v>
      </c>
      <c r="L1154">
        <f t="shared" si="189"/>
        <v>0.27588206076891014</v>
      </c>
      <c r="M1154">
        <f>IF(AND(MOD(C1154,12)=1,D1154&lt;='[1]Product parameters'!$C$2),I1153*[1]model_point!$G$2,0)</f>
        <v>0</v>
      </c>
      <c r="N1154">
        <f t="shared" si="190"/>
        <v>0</v>
      </c>
      <c r="O1154">
        <f>[2]results_sample_product_cf!G1153</f>
        <v>0</v>
      </c>
      <c r="P1154">
        <f>[2]results_sample_product_cf!H1153</f>
        <v>0</v>
      </c>
      <c r="Q1154">
        <f t="shared" si="191"/>
        <v>0</v>
      </c>
      <c r="R1154">
        <f t="shared" si="187"/>
        <v>0</v>
      </c>
    </row>
    <row r="1155" spans="1:18" x14ac:dyDescent="0.3">
      <c r="A1155">
        <f t="shared" si="192"/>
        <v>1152</v>
      </c>
      <c r="B1155">
        <f t="shared" si="193"/>
        <v>96</v>
      </c>
      <c r="C1155">
        <f t="shared" si="194"/>
        <v>1157</v>
      </c>
      <c r="D1155">
        <f t="shared" si="188"/>
        <v>97</v>
      </c>
      <c r="E1155">
        <f>[1]model_point!$C$2+D1155-1</f>
        <v>101</v>
      </c>
      <c r="F1155">
        <f>VLOOKUP(E1155,'[1]202512 BE mortality'!$A:$C,3,0)</f>
        <v>2.5963606107009662E-3</v>
      </c>
      <c r="G1155">
        <f>VLOOKUP(D1155,'[1]202512 BE lapse'!$C:$D,2,0)</f>
        <v>9.3777034683024049E-3</v>
      </c>
      <c r="H1155">
        <f>VLOOKUP($B1155,'[1]202512 RFR'!$A:$B,2,0)</f>
        <v>1.2E-2</v>
      </c>
      <c r="I1155">
        <f t="shared" si="195"/>
        <v>0.73355878123068441</v>
      </c>
      <c r="J1155">
        <f t="shared" si="196"/>
        <v>1.589388748088703E-4</v>
      </c>
      <c r="K1155">
        <f t="shared" si="197"/>
        <v>0</v>
      </c>
      <c r="L1155">
        <f t="shared" si="189"/>
        <v>0.27560795713481201</v>
      </c>
      <c r="M1155">
        <f>IF(AND(MOD(C1155,12)=1,D1155&lt;='[1]Product parameters'!$C$2),I1154*[1]model_point!$G$2,0)</f>
        <v>0</v>
      </c>
      <c r="N1155">
        <f t="shared" si="190"/>
        <v>0</v>
      </c>
      <c r="O1155">
        <f>[2]results_sample_product_cf!G1154</f>
        <v>0</v>
      </c>
      <c r="P1155">
        <f>[2]results_sample_product_cf!H1154</f>
        <v>0</v>
      </c>
      <c r="Q1155">
        <f t="shared" si="191"/>
        <v>0</v>
      </c>
      <c r="R1155">
        <f t="shared" ref="R1155:R1203" si="198">ROUND(N1155-P1155,6)</f>
        <v>0</v>
      </c>
    </row>
    <row r="1156" spans="1:18" x14ac:dyDescent="0.3">
      <c r="A1156">
        <f t="shared" si="192"/>
        <v>1153</v>
      </c>
      <c r="B1156">
        <f t="shared" si="193"/>
        <v>97</v>
      </c>
      <c r="C1156">
        <f t="shared" si="194"/>
        <v>1158</v>
      </c>
      <c r="D1156">
        <f t="shared" ref="D1156:D1203" si="199">TRUNC((C1156-1)/12,0)+1</f>
        <v>97</v>
      </c>
      <c r="E1156">
        <f>[1]model_point!$C$2+D1156-1</f>
        <v>101</v>
      </c>
      <c r="F1156">
        <f>VLOOKUP(E1156,'[1]202512 BE mortality'!$A:$C,3,0)</f>
        <v>2.5963606107009662E-3</v>
      </c>
      <c r="G1156">
        <f>VLOOKUP(D1156,'[1]202512 BE lapse'!$C:$D,2,0)</f>
        <v>9.3777034683024049E-3</v>
      </c>
      <c r="H1156">
        <f>VLOOKUP($B1156,'[1]202512 RFR'!$A:$B,2,0)</f>
        <v>1.2E-2</v>
      </c>
      <c r="I1156">
        <f t="shared" si="195"/>
        <v>0.73339987678541874</v>
      </c>
      <c r="J1156">
        <f t="shared" si="196"/>
        <v>1.5890444526569136E-4</v>
      </c>
      <c r="K1156">
        <f t="shared" si="197"/>
        <v>0</v>
      </c>
      <c r="L1156">
        <f t="shared" ref="L1156:L1203" si="200">L1155/(1+H1156)^(1/12)</f>
        <v>0.27533412583738565</v>
      </c>
      <c r="M1156">
        <f>IF(AND(MOD(C1156,12)=1,D1156&lt;='[1]Product parameters'!$C$2),I1155*[1]model_point!$G$2,0)</f>
        <v>0</v>
      </c>
      <c r="N1156">
        <f t="shared" ref="N1156:N1203" si="201">SUMPRODUCT(L1156:L2355,M1157:M2356)/L1156</f>
        <v>0</v>
      </c>
      <c r="O1156">
        <f>[2]results_sample_product_cf!G1155</f>
        <v>0</v>
      </c>
      <c r="P1156">
        <f>[2]results_sample_product_cf!H1155</f>
        <v>0</v>
      </c>
      <c r="Q1156">
        <f t="shared" ref="Q1156:Q1203" si="202">ROUND(M1156-O1156,6)</f>
        <v>0</v>
      </c>
      <c r="R1156">
        <f t="shared" si="198"/>
        <v>0</v>
      </c>
    </row>
    <row r="1157" spans="1:18" x14ac:dyDescent="0.3">
      <c r="A1157">
        <f t="shared" ref="A1157:A1203" si="203">A1156+1</f>
        <v>1154</v>
      </c>
      <c r="B1157">
        <f t="shared" ref="B1157:B1203" si="204">INT((A1157-1)/12)+1</f>
        <v>97</v>
      </c>
      <c r="C1157">
        <f t="shared" ref="C1157:C1203" si="205">C1156+1</f>
        <v>1159</v>
      </c>
      <c r="D1157">
        <f t="shared" si="199"/>
        <v>97</v>
      </c>
      <c r="E1157">
        <f>[1]model_point!$C$2+D1157-1</f>
        <v>101</v>
      </c>
      <c r="F1157">
        <f>VLOOKUP(E1157,'[1]202512 BE mortality'!$A:$C,3,0)</f>
        <v>2.5963606107009662E-3</v>
      </c>
      <c r="G1157">
        <f>VLOOKUP(D1157,'[1]202512 BE lapse'!$C:$D,2,0)</f>
        <v>9.3777034683024049E-3</v>
      </c>
      <c r="H1157">
        <f>VLOOKUP($B1157,'[1]202512 RFR'!$A:$B,2,0)</f>
        <v>1.2E-2</v>
      </c>
      <c r="I1157">
        <f t="shared" ref="I1157:I1203" si="206">I1156-J1157-K1157</f>
        <v>0.73324100676223802</v>
      </c>
      <c r="J1157">
        <f t="shared" ref="J1157:J1203" si="207">I1156*(1-(1-F1157)^(1/12))</f>
        <v>1.5887002318068432E-4</v>
      </c>
      <c r="K1157">
        <f t="shared" ref="K1157:K1203" si="208">(I1156-J1157)*IF(MOD(C1157,12)=0,G1157,0)</f>
        <v>0</v>
      </c>
      <c r="L1157">
        <f t="shared" si="200"/>
        <v>0.27506056660604994</v>
      </c>
      <c r="M1157">
        <f>IF(AND(MOD(C1157,12)=1,D1157&lt;='[1]Product parameters'!$C$2),I1156*[1]model_point!$G$2,0)</f>
        <v>0</v>
      </c>
      <c r="N1157">
        <f t="shared" si="201"/>
        <v>0</v>
      </c>
      <c r="O1157">
        <f>[2]results_sample_product_cf!G1156</f>
        <v>0</v>
      </c>
      <c r="P1157">
        <f>[2]results_sample_product_cf!H1156</f>
        <v>0</v>
      </c>
      <c r="Q1157">
        <f t="shared" si="202"/>
        <v>0</v>
      </c>
      <c r="R1157">
        <f t="shared" si="198"/>
        <v>0</v>
      </c>
    </row>
    <row r="1158" spans="1:18" x14ac:dyDescent="0.3">
      <c r="A1158">
        <f t="shared" si="203"/>
        <v>1155</v>
      </c>
      <c r="B1158">
        <f t="shared" si="204"/>
        <v>97</v>
      </c>
      <c r="C1158">
        <f t="shared" si="205"/>
        <v>1160</v>
      </c>
      <c r="D1158">
        <f t="shared" si="199"/>
        <v>97</v>
      </c>
      <c r="E1158">
        <f>[1]model_point!$C$2+D1158-1</f>
        <v>101</v>
      </c>
      <c r="F1158">
        <f>VLOOKUP(E1158,'[1]202512 BE mortality'!$A:$C,3,0)</f>
        <v>2.5963606107009662E-3</v>
      </c>
      <c r="G1158">
        <f>VLOOKUP(D1158,'[1]202512 BE lapse'!$C:$D,2,0)</f>
        <v>9.3777034683024049E-3</v>
      </c>
      <c r="H1158">
        <f>VLOOKUP($B1158,'[1]202512 RFR'!$A:$B,2,0)</f>
        <v>1.2E-2</v>
      </c>
      <c r="I1158">
        <f t="shared" si="206"/>
        <v>0.73308217115368579</v>
      </c>
      <c r="J1158">
        <f t="shared" si="207"/>
        <v>1.5883560855223353E-4</v>
      </c>
      <c r="K1158">
        <f t="shared" si="208"/>
        <v>0</v>
      </c>
      <c r="L1158">
        <f t="shared" si="200"/>
        <v>0.27478727917049262</v>
      </c>
      <c r="M1158">
        <f>IF(AND(MOD(C1158,12)=1,D1158&lt;='[1]Product parameters'!$C$2),I1157*[1]model_point!$G$2,0)</f>
        <v>0</v>
      </c>
      <c r="N1158">
        <f t="shared" si="201"/>
        <v>0</v>
      </c>
      <c r="O1158">
        <f>[2]results_sample_product_cf!G1157</f>
        <v>0</v>
      </c>
      <c r="P1158">
        <f>[2]results_sample_product_cf!H1157</f>
        <v>0</v>
      </c>
      <c r="Q1158">
        <f t="shared" si="202"/>
        <v>0</v>
      </c>
      <c r="R1158">
        <f t="shared" si="198"/>
        <v>0</v>
      </c>
    </row>
    <row r="1159" spans="1:18" x14ac:dyDescent="0.3">
      <c r="A1159">
        <f t="shared" si="203"/>
        <v>1156</v>
      </c>
      <c r="B1159">
        <f t="shared" si="204"/>
        <v>97</v>
      </c>
      <c r="C1159">
        <f t="shared" si="205"/>
        <v>1161</v>
      </c>
      <c r="D1159">
        <f t="shared" si="199"/>
        <v>97</v>
      </c>
      <c r="E1159">
        <f>[1]model_point!$C$2+D1159-1</f>
        <v>101</v>
      </c>
      <c r="F1159">
        <f>VLOOKUP(E1159,'[1]202512 BE mortality'!$A:$C,3,0)</f>
        <v>2.5963606107009662E-3</v>
      </c>
      <c r="G1159">
        <f>VLOOKUP(D1159,'[1]202512 BE lapse'!$C:$D,2,0)</f>
        <v>9.3777034683024049E-3</v>
      </c>
      <c r="H1159">
        <f>VLOOKUP($B1159,'[1]202512 RFR'!$A:$B,2,0)</f>
        <v>1.2E-2</v>
      </c>
      <c r="I1159">
        <f t="shared" si="206"/>
        <v>0.73292336995230711</v>
      </c>
      <c r="J1159">
        <f t="shared" si="207"/>
        <v>1.5880120137872373E-4</v>
      </c>
      <c r="K1159">
        <f t="shared" si="208"/>
        <v>0</v>
      </c>
      <c r="L1159">
        <f t="shared" si="200"/>
        <v>0.27451426326066997</v>
      </c>
      <c r="M1159">
        <f>IF(AND(MOD(C1159,12)=1,D1159&lt;='[1]Product parameters'!$C$2),I1158*[1]model_point!$G$2,0)</f>
        <v>0</v>
      </c>
      <c r="N1159">
        <f t="shared" si="201"/>
        <v>0</v>
      </c>
      <c r="O1159">
        <f>[2]results_sample_product_cf!G1158</f>
        <v>0</v>
      </c>
      <c r="P1159">
        <f>[2]results_sample_product_cf!H1158</f>
        <v>0</v>
      </c>
      <c r="Q1159">
        <f t="shared" si="202"/>
        <v>0</v>
      </c>
      <c r="R1159">
        <f t="shared" si="198"/>
        <v>0</v>
      </c>
    </row>
    <row r="1160" spans="1:18" x14ac:dyDescent="0.3">
      <c r="A1160">
        <f t="shared" si="203"/>
        <v>1157</v>
      </c>
      <c r="B1160">
        <f t="shared" si="204"/>
        <v>97</v>
      </c>
      <c r="C1160">
        <f t="shared" si="205"/>
        <v>1162</v>
      </c>
      <c r="D1160">
        <f t="shared" si="199"/>
        <v>97</v>
      </c>
      <c r="E1160">
        <f>[1]model_point!$C$2+D1160-1</f>
        <v>101</v>
      </c>
      <c r="F1160">
        <f>VLOOKUP(E1160,'[1]202512 BE mortality'!$A:$C,3,0)</f>
        <v>2.5963606107009662E-3</v>
      </c>
      <c r="G1160">
        <f>VLOOKUP(D1160,'[1]202512 BE lapse'!$C:$D,2,0)</f>
        <v>9.3777034683024049E-3</v>
      </c>
      <c r="H1160">
        <f>VLOOKUP($B1160,'[1]202512 RFR'!$A:$B,2,0)</f>
        <v>1.2E-2</v>
      </c>
      <c r="I1160">
        <f t="shared" si="206"/>
        <v>0.73276460315064862</v>
      </c>
      <c r="J1160">
        <f t="shared" si="207"/>
        <v>1.5876680165854008E-4</v>
      </c>
      <c r="K1160">
        <f t="shared" si="208"/>
        <v>0</v>
      </c>
      <c r="L1160">
        <f t="shared" si="200"/>
        <v>0.27424151860680662</v>
      </c>
      <c r="M1160">
        <f>IF(AND(MOD(C1160,12)=1,D1160&lt;='[1]Product parameters'!$C$2),I1159*[1]model_point!$G$2,0)</f>
        <v>0</v>
      </c>
      <c r="N1160">
        <f t="shared" si="201"/>
        <v>0</v>
      </c>
      <c r="O1160">
        <f>[2]results_sample_product_cf!G1159</f>
        <v>0</v>
      </c>
      <c r="P1160">
        <f>[2]results_sample_product_cf!H1159</f>
        <v>0</v>
      </c>
      <c r="Q1160">
        <f t="shared" si="202"/>
        <v>0</v>
      </c>
      <c r="R1160">
        <f t="shared" si="198"/>
        <v>0</v>
      </c>
    </row>
    <row r="1161" spans="1:18" x14ac:dyDescent="0.3">
      <c r="A1161">
        <f t="shared" si="203"/>
        <v>1158</v>
      </c>
      <c r="B1161">
        <f t="shared" si="204"/>
        <v>97</v>
      </c>
      <c r="C1161">
        <f t="shared" si="205"/>
        <v>1163</v>
      </c>
      <c r="D1161">
        <f t="shared" si="199"/>
        <v>97</v>
      </c>
      <c r="E1161">
        <f>[1]model_point!$C$2+D1161-1</f>
        <v>101</v>
      </c>
      <c r="F1161">
        <f>VLOOKUP(E1161,'[1]202512 BE mortality'!$A:$C,3,0)</f>
        <v>2.5963606107009662E-3</v>
      </c>
      <c r="G1161">
        <f>VLOOKUP(D1161,'[1]202512 BE lapse'!$C:$D,2,0)</f>
        <v>9.3777034683024049E-3</v>
      </c>
      <c r="H1161">
        <f>VLOOKUP($B1161,'[1]202512 RFR'!$A:$B,2,0)</f>
        <v>1.2E-2</v>
      </c>
      <c r="I1161">
        <f t="shared" si="206"/>
        <v>0.7326058707412586</v>
      </c>
      <c r="J1161">
        <f t="shared" si="207"/>
        <v>1.5873240939006796E-4</v>
      </c>
      <c r="K1161">
        <f t="shared" si="208"/>
        <v>0</v>
      </c>
      <c r="L1161">
        <f t="shared" si="200"/>
        <v>0.27396904493939522</v>
      </c>
      <c r="M1161">
        <f>IF(AND(MOD(C1161,12)=1,D1161&lt;='[1]Product parameters'!$C$2),I1160*[1]model_point!$G$2,0)</f>
        <v>0</v>
      </c>
      <c r="N1161">
        <f t="shared" si="201"/>
        <v>0</v>
      </c>
      <c r="O1161">
        <f>[2]results_sample_product_cf!G1160</f>
        <v>0</v>
      </c>
      <c r="P1161">
        <f>[2]results_sample_product_cf!H1160</f>
        <v>0</v>
      </c>
      <c r="Q1161">
        <f t="shared" si="202"/>
        <v>0</v>
      </c>
      <c r="R1161">
        <f t="shared" si="198"/>
        <v>0</v>
      </c>
    </row>
    <row r="1162" spans="1:18" x14ac:dyDescent="0.3">
      <c r="A1162">
        <f t="shared" si="203"/>
        <v>1159</v>
      </c>
      <c r="B1162">
        <f t="shared" si="204"/>
        <v>97</v>
      </c>
      <c r="C1162">
        <f t="shared" si="205"/>
        <v>1164</v>
      </c>
      <c r="D1162">
        <f t="shared" si="199"/>
        <v>97</v>
      </c>
      <c r="E1162">
        <f>[1]model_point!$C$2+D1162-1</f>
        <v>101</v>
      </c>
      <c r="F1162">
        <f>VLOOKUP(E1162,'[1]202512 BE mortality'!$A:$C,3,0)</f>
        <v>2.5963606107009662E-3</v>
      </c>
      <c r="G1162">
        <f>VLOOKUP(D1162,'[1]202512 BE lapse'!$C:$D,2,0)</f>
        <v>9.3777034683024049E-3</v>
      </c>
      <c r="H1162">
        <f>VLOOKUP($B1162,'[1]202512 RFR'!$A:$B,2,0)</f>
        <v>1.2E-2</v>
      </c>
      <c r="I1162">
        <f t="shared" si="206"/>
        <v>0.72557850032475335</v>
      </c>
      <c r="J1162">
        <f t="shared" si="207"/>
        <v>1.5869802457169324E-4</v>
      </c>
      <c r="K1162">
        <f t="shared" si="208"/>
        <v>6.8686723919335656E-3</v>
      </c>
      <c r="L1162">
        <f t="shared" si="200"/>
        <v>0.27369684198919619</v>
      </c>
      <c r="M1162">
        <f>IF(AND(MOD(C1162,12)=1,D1162&lt;='[1]Product parameters'!$C$2),I1161*[1]model_point!$G$2,0)</f>
        <v>0</v>
      </c>
      <c r="N1162">
        <f t="shared" si="201"/>
        <v>0</v>
      </c>
      <c r="O1162">
        <f>[2]results_sample_product_cf!G1161</f>
        <v>0</v>
      </c>
      <c r="P1162">
        <f>[2]results_sample_product_cf!H1161</f>
        <v>0</v>
      </c>
      <c r="Q1162">
        <f t="shared" si="202"/>
        <v>0</v>
      </c>
      <c r="R1162">
        <f t="shared" si="198"/>
        <v>0</v>
      </c>
    </row>
    <row r="1163" spans="1:18" x14ac:dyDescent="0.3">
      <c r="A1163">
        <f t="shared" si="203"/>
        <v>1160</v>
      </c>
      <c r="B1163">
        <f t="shared" si="204"/>
        <v>97</v>
      </c>
      <c r="C1163">
        <f t="shared" si="205"/>
        <v>1165</v>
      </c>
      <c r="D1163">
        <f t="shared" si="199"/>
        <v>98</v>
      </c>
      <c r="E1163">
        <f>[1]model_point!$C$2+D1163-1</f>
        <v>102</v>
      </c>
      <c r="F1163">
        <f>VLOOKUP(E1163,'[1]202512 BE mortality'!$A:$C,3,0)</f>
        <v>4.3278984905831073E-3</v>
      </c>
      <c r="G1163">
        <f>VLOOKUP(D1163,'[1]202512 BE lapse'!$C:$D,2,0)</f>
        <v>1.3602291381663734E-3</v>
      </c>
      <c r="H1163">
        <f>VLOOKUP($B1163,'[1]202512 RFR'!$A:$B,2,0)</f>
        <v>1.2E-2</v>
      </c>
      <c r="I1163">
        <f t="shared" si="206"/>
        <v>0.72531629395824504</v>
      </c>
      <c r="J1163">
        <f t="shared" si="207"/>
        <v>2.6220636650833233E-4</v>
      </c>
      <c r="K1163">
        <f t="shared" si="208"/>
        <v>0</v>
      </c>
      <c r="L1163">
        <f t="shared" si="200"/>
        <v>0.27342490948723747</v>
      </c>
      <c r="M1163">
        <f>IF(AND(MOD(C1163,12)=1,D1163&lt;='[1]Product parameters'!$C$2),I1162*[1]model_point!$G$2,0)</f>
        <v>0</v>
      </c>
      <c r="N1163">
        <f t="shared" si="201"/>
        <v>0</v>
      </c>
      <c r="O1163">
        <f>[2]results_sample_product_cf!G1162</f>
        <v>0</v>
      </c>
      <c r="P1163">
        <f>[2]results_sample_product_cf!H1162</f>
        <v>0</v>
      </c>
      <c r="Q1163">
        <f t="shared" si="202"/>
        <v>0</v>
      </c>
      <c r="R1163">
        <f t="shared" si="198"/>
        <v>0</v>
      </c>
    </row>
    <row r="1164" spans="1:18" x14ac:dyDescent="0.3">
      <c r="A1164">
        <f t="shared" si="203"/>
        <v>1161</v>
      </c>
      <c r="B1164">
        <f t="shared" si="204"/>
        <v>97</v>
      </c>
      <c r="C1164">
        <f t="shared" si="205"/>
        <v>1166</v>
      </c>
      <c r="D1164">
        <f t="shared" si="199"/>
        <v>98</v>
      </c>
      <c r="E1164">
        <f>[1]model_point!$C$2+D1164-1</f>
        <v>102</v>
      </c>
      <c r="F1164">
        <f>VLOOKUP(E1164,'[1]202512 BE mortality'!$A:$C,3,0)</f>
        <v>4.3278984905831073E-3</v>
      </c>
      <c r="G1164">
        <f>VLOOKUP(D1164,'[1]202512 BE lapse'!$C:$D,2,0)</f>
        <v>1.3602291381663734E-3</v>
      </c>
      <c r="H1164">
        <f>VLOOKUP($B1164,'[1]202512 RFR'!$A:$B,2,0)</f>
        <v>1.2E-2</v>
      </c>
      <c r="I1164">
        <f t="shared" si="206"/>
        <v>0.72505418234671992</v>
      </c>
      <c r="J1164">
        <f t="shared" si="207"/>
        <v>2.6211161152509243E-4</v>
      </c>
      <c r="K1164">
        <f t="shared" si="208"/>
        <v>0</v>
      </c>
      <c r="L1164">
        <f t="shared" si="200"/>
        <v>0.27315324716481415</v>
      </c>
      <c r="M1164">
        <f>IF(AND(MOD(C1164,12)=1,D1164&lt;='[1]Product parameters'!$C$2),I1163*[1]model_point!$G$2,0)</f>
        <v>0</v>
      </c>
      <c r="N1164">
        <f t="shared" si="201"/>
        <v>0</v>
      </c>
      <c r="O1164">
        <f>[2]results_sample_product_cf!G1163</f>
        <v>0</v>
      </c>
      <c r="P1164">
        <f>[2]results_sample_product_cf!H1163</f>
        <v>0</v>
      </c>
      <c r="Q1164">
        <f t="shared" si="202"/>
        <v>0</v>
      </c>
      <c r="R1164">
        <f t="shared" si="198"/>
        <v>0</v>
      </c>
    </row>
    <row r="1165" spans="1:18" x14ac:dyDescent="0.3">
      <c r="A1165">
        <f t="shared" si="203"/>
        <v>1162</v>
      </c>
      <c r="B1165">
        <f t="shared" si="204"/>
        <v>97</v>
      </c>
      <c r="C1165">
        <f t="shared" si="205"/>
        <v>1167</v>
      </c>
      <c r="D1165">
        <f t="shared" si="199"/>
        <v>98</v>
      </c>
      <c r="E1165">
        <f>[1]model_point!$C$2+D1165-1</f>
        <v>102</v>
      </c>
      <c r="F1165">
        <f>VLOOKUP(E1165,'[1]202512 BE mortality'!$A:$C,3,0)</f>
        <v>4.3278984905831073E-3</v>
      </c>
      <c r="G1165">
        <f>VLOOKUP(D1165,'[1]202512 BE lapse'!$C:$D,2,0)</f>
        <v>1.3602291381663734E-3</v>
      </c>
      <c r="H1165">
        <f>VLOOKUP($B1165,'[1]202512 RFR'!$A:$B,2,0)</f>
        <v>1.2E-2</v>
      </c>
      <c r="I1165">
        <f t="shared" si="206"/>
        <v>0.72479216545593594</v>
      </c>
      <c r="J1165">
        <f t="shared" si="207"/>
        <v>2.6201689078399155E-4</v>
      </c>
      <c r="K1165">
        <f t="shared" si="208"/>
        <v>0</v>
      </c>
      <c r="L1165">
        <f t="shared" si="200"/>
        <v>0.27288185475348842</v>
      </c>
      <c r="M1165">
        <f>IF(AND(MOD(C1165,12)=1,D1165&lt;='[1]Product parameters'!$C$2),I1164*[1]model_point!$G$2,0)</f>
        <v>0</v>
      </c>
      <c r="N1165">
        <f t="shared" si="201"/>
        <v>0</v>
      </c>
      <c r="O1165">
        <f>[2]results_sample_product_cf!G1164</f>
        <v>0</v>
      </c>
      <c r="P1165">
        <f>[2]results_sample_product_cf!H1164</f>
        <v>0</v>
      </c>
      <c r="Q1165">
        <f t="shared" si="202"/>
        <v>0</v>
      </c>
      <c r="R1165">
        <f t="shared" si="198"/>
        <v>0</v>
      </c>
    </row>
    <row r="1166" spans="1:18" x14ac:dyDescent="0.3">
      <c r="A1166">
        <f t="shared" si="203"/>
        <v>1163</v>
      </c>
      <c r="B1166">
        <f t="shared" si="204"/>
        <v>97</v>
      </c>
      <c r="C1166">
        <f t="shared" si="205"/>
        <v>1168</v>
      </c>
      <c r="D1166">
        <f t="shared" si="199"/>
        <v>98</v>
      </c>
      <c r="E1166">
        <f>[1]model_point!$C$2+D1166-1</f>
        <v>102</v>
      </c>
      <c r="F1166">
        <f>VLOOKUP(E1166,'[1]202512 BE mortality'!$A:$C,3,0)</f>
        <v>4.3278984905831073E-3</v>
      </c>
      <c r="G1166">
        <f>VLOOKUP(D1166,'[1]202512 BE lapse'!$C:$D,2,0)</f>
        <v>1.3602291381663734E-3</v>
      </c>
      <c r="H1166">
        <f>VLOOKUP($B1166,'[1]202512 RFR'!$A:$B,2,0)</f>
        <v>1.2E-2</v>
      </c>
      <c r="I1166">
        <f t="shared" si="206"/>
        <v>0.72453024325166326</v>
      </c>
      <c r="J1166">
        <f t="shared" si="207"/>
        <v>2.6192220427265537E-4</v>
      </c>
      <c r="K1166">
        <f t="shared" si="208"/>
        <v>0</v>
      </c>
      <c r="L1166">
        <f t="shared" si="200"/>
        <v>0.27261073198508912</v>
      </c>
      <c r="M1166">
        <f>IF(AND(MOD(C1166,12)=1,D1166&lt;='[1]Product parameters'!$C$2),I1165*[1]model_point!$G$2,0)</f>
        <v>0</v>
      </c>
      <c r="N1166">
        <f t="shared" si="201"/>
        <v>0</v>
      </c>
      <c r="O1166">
        <f>[2]results_sample_product_cf!G1165</f>
        <v>0</v>
      </c>
      <c r="P1166">
        <f>[2]results_sample_product_cf!H1165</f>
        <v>0</v>
      </c>
      <c r="Q1166">
        <f t="shared" si="202"/>
        <v>0</v>
      </c>
      <c r="R1166">
        <f t="shared" si="198"/>
        <v>0</v>
      </c>
    </row>
    <row r="1167" spans="1:18" x14ac:dyDescent="0.3">
      <c r="A1167">
        <f t="shared" si="203"/>
        <v>1164</v>
      </c>
      <c r="B1167">
        <f t="shared" si="204"/>
        <v>97</v>
      </c>
      <c r="C1167">
        <f t="shared" si="205"/>
        <v>1169</v>
      </c>
      <c r="D1167">
        <f t="shared" si="199"/>
        <v>98</v>
      </c>
      <c r="E1167">
        <f>[1]model_point!$C$2+D1167-1</f>
        <v>102</v>
      </c>
      <c r="F1167">
        <f>VLOOKUP(E1167,'[1]202512 BE mortality'!$A:$C,3,0)</f>
        <v>4.3278984905831073E-3</v>
      </c>
      <c r="G1167">
        <f>VLOOKUP(D1167,'[1]202512 BE lapse'!$C:$D,2,0)</f>
        <v>1.3602291381663734E-3</v>
      </c>
      <c r="H1167">
        <f>VLOOKUP($B1167,'[1]202512 RFR'!$A:$B,2,0)</f>
        <v>1.2E-2</v>
      </c>
      <c r="I1167">
        <f t="shared" si="206"/>
        <v>0.72426841569968459</v>
      </c>
      <c r="J1167">
        <f t="shared" si="207"/>
        <v>2.618275519787141E-4</v>
      </c>
      <c r="K1167">
        <f t="shared" si="208"/>
        <v>0</v>
      </c>
      <c r="L1167">
        <f t="shared" si="200"/>
        <v>0.27233987859171149</v>
      </c>
      <c r="M1167">
        <f>IF(AND(MOD(C1167,12)=1,D1167&lt;='[1]Product parameters'!$C$2),I1166*[1]model_point!$G$2,0)</f>
        <v>0</v>
      </c>
      <c r="N1167">
        <f t="shared" si="201"/>
        <v>0</v>
      </c>
      <c r="O1167">
        <f>[2]results_sample_product_cf!G1166</f>
        <v>0</v>
      </c>
      <c r="P1167">
        <f>[2]results_sample_product_cf!H1166</f>
        <v>0</v>
      </c>
      <c r="Q1167">
        <f t="shared" si="202"/>
        <v>0</v>
      </c>
      <c r="R1167">
        <f t="shared" si="198"/>
        <v>0</v>
      </c>
    </row>
    <row r="1168" spans="1:18" x14ac:dyDescent="0.3">
      <c r="A1168">
        <f t="shared" si="203"/>
        <v>1165</v>
      </c>
      <c r="B1168">
        <f t="shared" si="204"/>
        <v>98</v>
      </c>
      <c r="C1168">
        <f t="shared" si="205"/>
        <v>1170</v>
      </c>
      <c r="D1168">
        <f t="shared" si="199"/>
        <v>98</v>
      </c>
      <c r="E1168">
        <f>[1]model_point!$C$2+D1168-1</f>
        <v>102</v>
      </c>
      <c r="F1168">
        <f>VLOOKUP(E1168,'[1]202512 BE mortality'!$A:$C,3,0)</f>
        <v>4.3278984905831073E-3</v>
      </c>
      <c r="G1168">
        <f>VLOOKUP(D1168,'[1]202512 BE lapse'!$C:$D,2,0)</f>
        <v>1.3602291381663734E-3</v>
      </c>
      <c r="H1168">
        <f>VLOOKUP($B1168,'[1]202512 RFR'!$A:$B,2,0)</f>
        <v>1.2E-2</v>
      </c>
      <c r="I1168">
        <f t="shared" si="206"/>
        <v>0.72400668276579483</v>
      </c>
      <c r="J1168">
        <f t="shared" si="207"/>
        <v>2.6173293388980249E-4</v>
      </c>
      <c r="K1168">
        <f t="shared" si="208"/>
        <v>0</v>
      </c>
      <c r="L1168">
        <f t="shared" si="200"/>
        <v>0.27206929430571702</v>
      </c>
      <c r="M1168">
        <f>IF(AND(MOD(C1168,12)=1,D1168&lt;='[1]Product parameters'!$C$2),I1167*[1]model_point!$G$2,0)</f>
        <v>0</v>
      </c>
      <c r="N1168">
        <f t="shared" si="201"/>
        <v>0</v>
      </c>
      <c r="O1168">
        <f>[2]results_sample_product_cf!G1167</f>
        <v>0</v>
      </c>
      <c r="P1168">
        <f>[2]results_sample_product_cf!H1167</f>
        <v>0</v>
      </c>
      <c r="Q1168">
        <f t="shared" si="202"/>
        <v>0</v>
      </c>
      <c r="R1168">
        <f t="shared" si="198"/>
        <v>0</v>
      </c>
    </row>
    <row r="1169" spans="1:18" x14ac:dyDescent="0.3">
      <c r="A1169">
        <f t="shared" si="203"/>
        <v>1166</v>
      </c>
      <c r="B1169">
        <f t="shared" si="204"/>
        <v>98</v>
      </c>
      <c r="C1169">
        <f t="shared" si="205"/>
        <v>1171</v>
      </c>
      <c r="D1169">
        <f t="shared" si="199"/>
        <v>98</v>
      </c>
      <c r="E1169">
        <f>[1]model_point!$C$2+D1169-1</f>
        <v>102</v>
      </c>
      <c r="F1169">
        <f>VLOOKUP(E1169,'[1]202512 BE mortality'!$A:$C,3,0)</f>
        <v>4.3278984905831073E-3</v>
      </c>
      <c r="G1169">
        <f>VLOOKUP(D1169,'[1]202512 BE lapse'!$C:$D,2,0)</f>
        <v>1.3602291381663734E-3</v>
      </c>
      <c r="H1169">
        <f>VLOOKUP($B1169,'[1]202512 RFR'!$A:$B,2,0)</f>
        <v>1.2E-2</v>
      </c>
      <c r="I1169">
        <f t="shared" si="206"/>
        <v>0.72374504441580123</v>
      </c>
      <c r="J1169">
        <f t="shared" si="207"/>
        <v>2.616383499935596E-4</v>
      </c>
      <c r="K1169">
        <f t="shared" si="208"/>
        <v>0</v>
      </c>
      <c r="L1169">
        <f t="shared" si="200"/>
        <v>0.27179897885973309</v>
      </c>
      <c r="M1169">
        <f>IF(AND(MOD(C1169,12)=1,D1169&lt;='[1]Product parameters'!$C$2),I1168*[1]model_point!$G$2,0)</f>
        <v>0</v>
      </c>
      <c r="N1169">
        <f t="shared" si="201"/>
        <v>0</v>
      </c>
      <c r="O1169">
        <f>[2]results_sample_product_cf!G1168</f>
        <v>0</v>
      </c>
      <c r="P1169">
        <f>[2]results_sample_product_cf!H1168</f>
        <v>0</v>
      </c>
      <c r="Q1169">
        <f t="shared" si="202"/>
        <v>0</v>
      </c>
      <c r="R1169">
        <f t="shared" si="198"/>
        <v>0</v>
      </c>
    </row>
    <row r="1170" spans="1:18" x14ac:dyDescent="0.3">
      <c r="A1170">
        <f t="shared" si="203"/>
        <v>1167</v>
      </c>
      <c r="B1170">
        <f t="shared" si="204"/>
        <v>98</v>
      </c>
      <c r="C1170">
        <f t="shared" si="205"/>
        <v>1172</v>
      </c>
      <c r="D1170">
        <f t="shared" si="199"/>
        <v>98</v>
      </c>
      <c r="E1170">
        <f>[1]model_point!$C$2+D1170-1</f>
        <v>102</v>
      </c>
      <c r="F1170">
        <f>VLOOKUP(E1170,'[1]202512 BE mortality'!$A:$C,3,0)</f>
        <v>4.3278984905831073E-3</v>
      </c>
      <c r="G1170">
        <f>VLOOKUP(D1170,'[1]202512 BE lapse'!$C:$D,2,0)</f>
        <v>1.3602291381663734E-3</v>
      </c>
      <c r="H1170">
        <f>VLOOKUP($B1170,'[1]202512 RFR'!$A:$B,2,0)</f>
        <v>1.2E-2</v>
      </c>
      <c r="I1170">
        <f t="shared" si="206"/>
        <v>0.72348350061552358</v>
      </c>
      <c r="J1170">
        <f t="shared" si="207"/>
        <v>2.6154380027762898E-4</v>
      </c>
      <c r="K1170">
        <f t="shared" si="208"/>
        <v>0</v>
      </c>
      <c r="L1170">
        <f t="shared" si="200"/>
        <v>0.27152893198665273</v>
      </c>
      <c r="M1170">
        <f>IF(AND(MOD(C1170,12)=1,D1170&lt;='[1]Product parameters'!$C$2),I1169*[1]model_point!$G$2,0)</f>
        <v>0</v>
      </c>
      <c r="N1170">
        <f t="shared" si="201"/>
        <v>0</v>
      </c>
      <c r="O1170">
        <f>[2]results_sample_product_cf!G1169</f>
        <v>0</v>
      </c>
      <c r="P1170">
        <f>[2]results_sample_product_cf!H1169</f>
        <v>0</v>
      </c>
      <c r="Q1170">
        <f t="shared" si="202"/>
        <v>0</v>
      </c>
      <c r="R1170">
        <f t="shared" si="198"/>
        <v>0</v>
      </c>
    </row>
    <row r="1171" spans="1:18" x14ac:dyDescent="0.3">
      <c r="A1171">
        <f t="shared" si="203"/>
        <v>1168</v>
      </c>
      <c r="B1171">
        <f t="shared" si="204"/>
        <v>98</v>
      </c>
      <c r="C1171">
        <f t="shared" si="205"/>
        <v>1173</v>
      </c>
      <c r="D1171">
        <f t="shared" si="199"/>
        <v>98</v>
      </c>
      <c r="E1171">
        <f>[1]model_point!$C$2+D1171-1</f>
        <v>102</v>
      </c>
      <c r="F1171">
        <f>VLOOKUP(E1171,'[1]202512 BE mortality'!$A:$C,3,0)</f>
        <v>4.3278984905831073E-3</v>
      </c>
      <c r="G1171">
        <f>VLOOKUP(D1171,'[1]202512 BE lapse'!$C:$D,2,0)</f>
        <v>1.3602291381663734E-3</v>
      </c>
      <c r="H1171">
        <f>VLOOKUP($B1171,'[1]202512 RFR'!$A:$B,2,0)</f>
        <v>1.2E-2</v>
      </c>
      <c r="I1171">
        <f t="shared" si="206"/>
        <v>0.72322205133079387</v>
      </c>
      <c r="J1171">
        <f t="shared" si="207"/>
        <v>2.6144928472965877E-4</v>
      </c>
      <c r="K1171">
        <f t="shared" si="208"/>
        <v>0</v>
      </c>
      <c r="L1171">
        <f t="shared" si="200"/>
        <v>0.2712591534196343</v>
      </c>
      <c r="M1171">
        <f>IF(AND(MOD(C1171,12)=1,D1171&lt;='[1]Product parameters'!$C$2),I1170*[1]model_point!$G$2,0)</f>
        <v>0</v>
      </c>
      <c r="N1171">
        <f t="shared" si="201"/>
        <v>0</v>
      </c>
      <c r="O1171">
        <f>[2]results_sample_product_cf!G1170</f>
        <v>0</v>
      </c>
      <c r="P1171">
        <f>[2]results_sample_product_cf!H1170</f>
        <v>0</v>
      </c>
      <c r="Q1171">
        <f t="shared" si="202"/>
        <v>0</v>
      </c>
      <c r="R1171">
        <f t="shared" si="198"/>
        <v>0</v>
      </c>
    </row>
    <row r="1172" spans="1:18" x14ac:dyDescent="0.3">
      <c r="A1172">
        <f t="shared" si="203"/>
        <v>1169</v>
      </c>
      <c r="B1172">
        <f t="shared" si="204"/>
        <v>98</v>
      </c>
      <c r="C1172">
        <f t="shared" si="205"/>
        <v>1174</v>
      </c>
      <c r="D1172">
        <f t="shared" si="199"/>
        <v>98</v>
      </c>
      <c r="E1172">
        <f>[1]model_point!$C$2+D1172-1</f>
        <v>102</v>
      </c>
      <c r="F1172">
        <f>VLOOKUP(E1172,'[1]202512 BE mortality'!$A:$C,3,0)</f>
        <v>4.3278984905831073E-3</v>
      </c>
      <c r="G1172">
        <f>VLOOKUP(D1172,'[1]202512 BE lapse'!$C:$D,2,0)</f>
        <v>1.3602291381663734E-3</v>
      </c>
      <c r="H1172">
        <f>VLOOKUP($B1172,'[1]202512 RFR'!$A:$B,2,0)</f>
        <v>1.2E-2</v>
      </c>
      <c r="I1172">
        <f t="shared" si="206"/>
        <v>0.72296069652745654</v>
      </c>
      <c r="J1172">
        <f t="shared" si="207"/>
        <v>2.6135480333730151E-4</v>
      </c>
      <c r="K1172">
        <f t="shared" si="208"/>
        <v>0</v>
      </c>
      <c r="L1172">
        <f t="shared" si="200"/>
        <v>0.27098964289210137</v>
      </c>
      <c r="M1172">
        <f>IF(AND(MOD(C1172,12)=1,D1172&lt;='[1]Product parameters'!$C$2),I1171*[1]model_point!$G$2,0)</f>
        <v>0</v>
      </c>
      <c r="N1172">
        <f t="shared" si="201"/>
        <v>0</v>
      </c>
      <c r="O1172">
        <f>[2]results_sample_product_cf!G1171</f>
        <v>0</v>
      </c>
      <c r="P1172">
        <f>[2]results_sample_product_cf!H1171</f>
        <v>0</v>
      </c>
      <c r="Q1172">
        <f t="shared" si="202"/>
        <v>0</v>
      </c>
      <c r="R1172">
        <f t="shared" si="198"/>
        <v>0</v>
      </c>
    </row>
    <row r="1173" spans="1:18" x14ac:dyDescent="0.3">
      <c r="A1173">
        <f t="shared" si="203"/>
        <v>1170</v>
      </c>
      <c r="B1173">
        <f t="shared" si="204"/>
        <v>98</v>
      </c>
      <c r="C1173">
        <f t="shared" si="205"/>
        <v>1175</v>
      </c>
      <c r="D1173">
        <f t="shared" si="199"/>
        <v>98</v>
      </c>
      <c r="E1173">
        <f>[1]model_point!$C$2+D1173-1</f>
        <v>102</v>
      </c>
      <c r="F1173">
        <f>VLOOKUP(E1173,'[1]202512 BE mortality'!$A:$C,3,0)</f>
        <v>4.3278984905831073E-3</v>
      </c>
      <c r="G1173">
        <f>VLOOKUP(D1173,'[1]202512 BE lapse'!$C:$D,2,0)</f>
        <v>1.3602291381663734E-3</v>
      </c>
      <c r="H1173">
        <f>VLOOKUP($B1173,'[1]202512 RFR'!$A:$B,2,0)</f>
        <v>1.2E-2</v>
      </c>
      <c r="I1173">
        <f t="shared" si="206"/>
        <v>0.72269943617136834</v>
      </c>
      <c r="J1173">
        <f t="shared" si="207"/>
        <v>2.6126035608821417E-4</v>
      </c>
      <c r="K1173">
        <f t="shared" si="208"/>
        <v>0</v>
      </c>
      <c r="L1173">
        <f t="shared" si="200"/>
        <v>0.27072040013774229</v>
      </c>
      <c r="M1173">
        <f>IF(AND(MOD(C1173,12)=1,D1173&lt;='[1]Product parameters'!$C$2),I1172*[1]model_point!$G$2,0)</f>
        <v>0</v>
      </c>
      <c r="N1173">
        <f t="shared" si="201"/>
        <v>0</v>
      </c>
      <c r="O1173">
        <f>[2]results_sample_product_cf!G1172</f>
        <v>0</v>
      </c>
      <c r="P1173">
        <f>[2]results_sample_product_cf!H1172</f>
        <v>0</v>
      </c>
      <c r="Q1173">
        <f t="shared" si="202"/>
        <v>0</v>
      </c>
      <c r="R1173">
        <f t="shared" si="198"/>
        <v>0</v>
      </c>
    </row>
    <row r="1174" spans="1:18" x14ac:dyDescent="0.3">
      <c r="A1174">
        <f t="shared" si="203"/>
        <v>1171</v>
      </c>
      <c r="B1174">
        <f t="shared" si="204"/>
        <v>98</v>
      </c>
      <c r="C1174">
        <f t="shared" si="205"/>
        <v>1176</v>
      </c>
      <c r="D1174">
        <f t="shared" si="199"/>
        <v>98</v>
      </c>
      <c r="E1174">
        <f>[1]model_point!$C$2+D1174-1</f>
        <v>102</v>
      </c>
      <c r="F1174">
        <f>VLOOKUP(E1174,'[1]202512 BE mortality'!$A:$C,3,0)</f>
        <v>4.3278984905831073E-3</v>
      </c>
      <c r="G1174">
        <f>VLOOKUP(D1174,'[1]202512 BE lapse'!$C:$D,2,0)</f>
        <v>1.3602291381663734E-3</v>
      </c>
      <c r="H1174">
        <f>VLOOKUP($B1174,'[1]202512 RFR'!$A:$B,2,0)</f>
        <v>1.2E-2</v>
      </c>
      <c r="I1174">
        <f t="shared" si="206"/>
        <v>0.72145558864270709</v>
      </c>
      <c r="J1174">
        <f t="shared" si="207"/>
        <v>2.6116594297005826E-4</v>
      </c>
      <c r="K1174">
        <f t="shared" si="208"/>
        <v>9.8268158569117981E-4</v>
      </c>
      <c r="L1174">
        <f t="shared" si="200"/>
        <v>0.27045142489051005</v>
      </c>
      <c r="M1174">
        <f>IF(AND(MOD(C1174,12)=1,D1174&lt;='[1]Product parameters'!$C$2),I1173*[1]model_point!$G$2,0)</f>
        <v>0</v>
      </c>
      <c r="N1174">
        <f t="shared" si="201"/>
        <v>0</v>
      </c>
      <c r="O1174">
        <f>[2]results_sample_product_cf!G1173</f>
        <v>0</v>
      </c>
      <c r="P1174">
        <f>[2]results_sample_product_cf!H1173</f>
        <v>0</v>
      </c>
      <c r="Q1174">
        <f t="shared" si="202"/>
        <v>0</v>
      </c>
      <c r="R1174">
        <f t="shared" si="198"/>
        <v>0</v>
      </c>
    </row>
    <row r="1175" spans="1:18" x14ac:dyDescent="0.3">
      <c r="A1175">
        <f t="shared" si="203"/>
        <v>1172</v>
      </c>
      <c r="B1175">
        <f t="shared" si="204"/>
        <v>98</v>
      </c>
      <c r="C1175">
        <f t="shared" si="205"/>
        <v>1177</v>
      </c>
      <c r="D1175">
        <f t="shared" si="199"/>
        <v>99</v>
      </c>
      <c r="E1175">
        <f>[1]model_point!$C$2+D1175-1</f>
        <v>103</v>
      </c>
      <c r="F1175">
        <f>VLOOKUP(E1175,'[1]202512 BE mortality'!$A:$C,3,0)</f>
        <v>4.204886615024727E-3</v>
      </c>
      <c r="G1175">
        <f>VLOOKUP(D1175,'[1]202512 BE lapse'!$C:$D,2,0)</f>
        <v>7.2939998316704866E-3</v>
      </c>
      <c r="H1175">
        <f>VLOOKUP($B1175,'[1]202512 RFR'!$A:$B,2,0)</f>
        <v>1.2E-2</v>
      </c>
      <c r="I1175">
        <f t="shared" si="206"/>
        <v>0.72120229687168702</v>
      </c>
      <c r="J1175">
        <f t="shared" si="207"/>
        <v>2.5329177102003639E-4</v>
      </c>
      <c r="K1175">
        <f t="shared" si="208"/>
        <v>0</v>
      </c>
      <c r="L1175">
        <f t="shared" si="200"/>
        <v>0.27018271688462198</v>
      </c>
      <c r="M1175">
        <f>IF(AND(MOD(C1175,12)=1,D1175&lt;='[1]Product parameters'!$C$2),I1174*[1]model_point!$G$2,0)</f>
        <v>0</v>
      </c>
      <c r="N1175">
        <f t="shared" si="201"/>
        <v>0</v>
      </c>
      <c r="O1175">
        <f>[2]results_sample_product_cf!G1174</f>
        <v>0</v>
      </c>
      <c r="P1175">
        <f>[2]results_sample_product_cf!H1174</f>
        <v>0</v>
      </c>
      <c r="Q1175">
        <f t="shared" si="202"/>
        <v>0</v>
      </c>
      <c r="R1175">
        <f t="shared" si="198"/>
        <v>0</v>
      </c>
    </row>
    <row r="1176" spans="1:18" x14ac:dyDescent="0.3">
      <c r="A1176">
        <f t="shared" si="203"/>
        <v>1173</v>
      </c>
      <c r="B1176">
        <f t="shared" si="204"/>
        <v>98</v>
      </c>
      <c r="C1176">
        <f t="shared" si="205"/>
        <v>1178</v>
      </c>
      <c r="D1176">
        <f t="shared" si="199"/>
        <v>99</v>
      </c>
      <c r="E1176">
        <f>[1]model_point!$C$2+D1176-1</f>
        <v>103</v>
      </c>
      <c r="F1176">
        <f>VLOOKUP(E1176,'[1]202512 BE mortality'!$A:$C,3,0)</f>
        <v>4.204886615024727E-3</v>
      </c>
      <c r="G1176">
        <f>VLOOKUP(D1176,'[1]202512 BE lapse'!$C:$D,2,0)</f>
        <v>7.2939998316704866E-3</v>
      </c>
      <c r="H1176">
        <f>VLOOKUP($B1176,'[1]202512 RFR'!$A:$B,2,0)</f>
        <v>1.2E-2</v>
      </c>
      <c r="I1176">
        <f t="shared" si="206"/>
        <v>0.72094909402744545</v>
      </c>
      <c r="J1176">
        <f t="shared" si="207"/>
        <v>2.532028442416228E-4</v>
      </c>
      <c r="K1176">
        <f t="shared" si="208"/>
        <v>0</v>
      </c>
      <c r="L1176">
        <f t="shared" si="200"/>
        <v>0.26991427585455946</v>
      </c>
      <c r="M1176">
        <f>IF(AND(MOD(C1176,12)=1,D1176&lt;='[1]Product parameters'!$C$2),I1175*[1]model_point!$G$2,0)</f>
        <v>0</v>
      </c>
      <c r="N1176">
        <f t="shared" si="201"/>
        <v>0</v>
      </c>
      <c r="O1176">
        <f>[2]results_sample_product_cf!G1175</f>
        <v>0</v>
      </c>
      <c r="P1176">
        <f>[2]results_sample_product_cf!H1175</f>
        <v>0</v>
      </c>
      <c r="Q1176">
        <f t="shared" si="202"/>
        <v>0</v>
      </c>
      <c r="R1176">
        <f t="shared" si="198"/>
        <v>0</v>
      </c>
    </row>
    <row r="1177" spans="1:18" x14ac:dyDescent="0.3">
      <c r="A1177">
        <f t="shared" si="203"/>
        <v>1174</v>
      </c>
      <c r="B1177">
        <f t="shared" si="204"/>
        <v>98</v>
      </c>
      <c r="C1177">
        <f t="shared" si="205"/>
        <v>1179</v>
      </c>
      <c r="D1177">
        <f t="shared" si="199"/>
        <v>99</v>
      </c>
      <c r="E1177">
        <f>[1]model_point!$C$2+D1177-1</f>
        <v>103</v>
      </c>
      <c r="F1177">
        <f>VLOOKUP(E1177,'[1]202512 BE mortality'!$A:$C,3,0)</f>
        <v>4.204886615024727E-3</v>
      </c>
      <c r="G1177">
        <f>VLOOKUP(D1177,'[1]202512 BE lapse'!$C:$D,2,0)</f>
        <v>7.2939998316704866E-3</v>
      </c>
      <c r="H1177">
        <f>VLOOKUP($B1177,'[1]202512 RFR'!$A:$B,2,0)</f>
        <v>1.2E-2</v>
      </c>
      <c r="I1177">
        <f t="shared" si="206"/>
        <v>0.72069598007876146</v>
      </c>
      <c r="J1177">
        <f t="shared" si="207"/>
        <v>2.5311394868401E-4</v>
      </c>
      <c r="K1177">
        <f t="shared" si="208"/>
        <v>0</v>
      </c>
      <c r="L1177">
        <f t="shared" si="200"/>
        <v>0.26964610153506763</v>
      </c>
      <c r="M1177">
        <f>IF(AND(MOD(C1177,12)=1,D1177&lt;='[1]Product parameters'!$C$2),I1176*[1]model_point!$G$2,0)</f>
        <v>0</v>
      </c>
      <c r="N1177">
        <f t="shared" si="201"/>
        <v>0</v>
      </c>
      <c r="O1177">
        <f>[2]results_sample_product_cf!G1176</f>
        <v>0</v>
      </c>
      <c r="P1177">
        <f>[2]results_sample_product_cf!H1176</f>
        <v>0</v>
      </c>
      <c r="Q1177">
        <f t="shared" si="202"/>
        <v>0</v>
      </c>
      <c r="R1177">
        <f t="shared" si="198"/>
        <v>0</v>
      </c>
    </row>
    <row r="1178" spans="1:18" x14ac:dyDescent="0.3">
      <c r="A1178">
        <f t="shared" si="203"/>
        <v>1175</v>
      </c>
      <c r="B1178">
        <f t="shared" si="204"/>
        <v>98</v>
      </c>
      <c r="C1178">
        <f t="shared" si="205"/>
        <v>1180</v>
      </c>
      <c r="D1178">
        <f t="shared" si="199"/>
        <v>99</v>
      </c>
      <c r="E1178">
        <f>[1]model_point!$C$2+D1178-1</f>
        <v>103</v>
      </c>
      <c r="F1178">
        <f>VLOOKUP(E1178,'[1]202512 BE mortality'!$A:$C,3,0)</f>
        <v>4.204886615024727E-3</v>
      </c>
      <c r="G1178">
        <f>VLOOKUP(D1178,'[1]202512 BE lapse'!$C:$D,2,0)</f>
        <v>7.2939998316704866E-3</v>
      </c>
      <c r="H1178">
        <f>VLOOKUP($B1178,'[1]202512 RFR'!$A:$B,2,0)</f>
        <v>1.2E-2</v>
      </c>
      <c r="I1178">
        <f t="shared" si="206"/>
        <v>0.72044295499442523</v>
      </c>
      <c r="J1178">
        <f t="shared" si="207"/>
        <v>2.5302508433623682E-4</v>
      </c>
      <c r="K1178">
        <f t="shared" si="208"/>
        <v>0</v>
      </c>
      <c r="L1178">
        <f t="shared" si="200"/>
        <v>0.26937819366115529</v>
      </c>
      <c r="M1178">
        <f>IF(AND(MOD(C1178,12)=1,D1178&lt;='[1]Product parameters'!$C$2),I1177*[1]model_point!$G$2,0)</f>
        <v>0</v>
      </c>
      <c r="N1178">
        <f t="shared" si="201"/>
        <v>0</v>
      </c>
      <c r="O1178">
        <f>[2]results_sample_product_cf!G1177</f>
        <v>0</v>
      </c>
      <c r="P1178">
        <f>[2]results_sample_product_cf!H1177</f>
        <v>0</v>
      </c>
      <c r="Q1178">
        <f t="shared" si="202"/>
        <v>0</v>
      </c>
      <c r="R1178">
        <f t="shared" si="198"/>
        <v>0</v>
      </c>
    </row>
    <row r="1179" spans="1:18" x14ac:dyDescent="0.3">
      <c r="A1179">
        <f t="shared" si="203"/>
        <v>1176</v>
      </c>
      <c r="B1179">
        <f t="shared" si="204"/>
        <v>98</v>
      </c>
      <c r="C1179">
        <f t="shared" si="205"/>
        <v>1181</v>
      </c>
      <c r="D1179">
        <f t="shared" si="199"/>
        <v>99</v>
      </c>
      <c r="E1179">
        <f>[1]model_point!$C$2+D1179-1</f>
        <v>103</v>
      </c>
      <c r="F1179">
        <f>VLOOKUP(E1179,'[1]202512 BE mortality'!$A:$C,3,0)</f>
        <v>4.204886615024727E-3</v>
      </c>
      <c r="G1179">
        <f>VLOOKUP(D1179,'[1]202512 BE lapse'!$C:$D,2,0)</f>
        <v>7.2939998316704866E-3</v>
      </c>
      <c r="H1179">
        <f>VLOOKUP($B1179,'[1]202512 RFR'!$A:$B,2,0)</f>
        <v>1.2E-2</v>
      </c>
      <c r="I1179">
        <f t="shared" si="206"/>
        <v>0.72019001874323785</v>
      </c>
      <c r="J1179">
        <f t="shared" si="207"/>
        <v>2.5293625118734598E-4</v>
      </c>
      <c r="K1179">
        <f t="shared" si="208"/>
        <v>0</v>
      </c>
      <c r="L1179">
        <f t="shared" si="200"/>
        <v>0.26911055196809441</v>
      </c>
      <c r="M1179">
        <f>IF(AND(MOD(C1179,12)=1,D1179&lt;='[1]Product parameters'!$C$2),I1178*[1]model_point!$G$2,0)</f>
        <v>0</v>
      </c>
      <c r="N1179">
        <f t="shared" si="201"/>
        <v>0</v>
      </c>
      <c r="O1179">
        <f>[2]results_sample_product_cf!G1178</f>
        <v>0</v>
      </c>
      <c r="P1179">
        <f>[2]results_sample_product_cf!H1178</f>
        <v>0</v>
      </c>
      <c r="Q1179">
        <f t="shared" si="202"/>
        <v>0</v>
      </c>
      <c r="R1179">
        <f t="shared" si="198"/>
        <v>0</v>
      </c>
    </row>
    <row r="1180" spans="1:18" x14ac:dyDescent="0.3">
      <c r="A1180">
        <f t="shared" si="203"/>
        <v>1177</v>
      </c>
      <c r="B1180">
        <f t="shared" si="204"/>
        <v>99</v>
      </c>
      <c r="C1180">
        <f t="shared" si="205"/>
        <v>1182</v>
      </c>
      <c r="D1180">
        <f t="shared" si="199"/>
        <v>99</v>
      </c>
      <c r="E1180">
        <f>[1]model_point!$C$2+D1180-1</f>
        <v>103</v>
      </c>
      <c r="F1180">
        <f>VLOOKUP(E1180,'[1]202512 BE mortality'!$A:$C,3,0)</f>
        <v>4.204886615024727E-3</v>
      </c>
      <c r="G1180">
        <f>VLOOKUP(D1180,'[1]202512 BE lapse'!$C:$D,2,0)</f>
        <v>7.2939998316704866E-3</v>
      </c>
      <c r="H1180">
        <f>VLOOKUP($B1180,'[1]202512 RFR'!$A:$B,2,0)</f>
        <v>1.2E-2</v>
      </c>
      <c r="I1180">
        <f t="shared" si="206"/>
        <v>0.71993717129401147</v>
      </c>
      <c r="J1180">
        <f t="shared" si="207"/>
        <v>2.5284744922638406E-4</v>
      </c>
      <c r="K1180">
        <f t="shared" si="208"/>
        <v>0</v>
      </c>
      <c r="L1180">
        <f t="shared" si="200"/>
        <v>0.26884317619142006</v>
      </c>
      <c r="M1180">
        <f>IF(AND(MOD(C1180,12)=1,D1180&lt;='[1]Product parameters'!$C$2),I1179*[1]model_point!$G$2,0)</f>
        <v>0</v>
      </c>
      <c r="N1180">
        <f t="shared" si="201"/>
        <v>0</v>
      </c>
      <c r="O1180">
        <f>[2]results_sample_product_cf!G1179</f>
        <v>0</v>
      </c>
      <c r="P1180">
        <f>[2]results_sample_product_cf!H1179</f>
        <v>0</v>
      </c>
      <c r="Q1180">
        <f t="shared" si="202"/>
        <v>0</v>
      </c>
      <c r="R1180">
        <f t="shared" si="198"/>
        <v>0</v>
      </c>
    </row>
    <row r="1181" spans="1:18" x14ac:dyDescent="0.3">
      <c r="A1181">
        <f t="shared" si="203"/>
        <v>1178</v>
      </c>
      <c r="B1181">
        <f t="shared" si="204"/>
        <v>99</v>
      </c>
      <c r="C1181">
        <f t="shared" si="205"/>
        <v>1183</v>
      </c>
      <c r="D1181">
        <f t="shared" si="199"/>
        <v>99</v>
      </c>
      <c r="E1181">
        <f>[1]model_point!$C$2+D1181-1</f>
        <v>103</v>
      </c>
      <c r="F1181">
        <f>VLOOKUP(E1181,'[1]202512 BE mortality'!$A:$C,3,0)</f>
        <v>4.204886615024727E-3</v>
      </c>
      <c r="G1181">
        <f>VLOOKUP(D1181,'[1]202512 BE lapse'!$C:$D,2,0)</f>
        <v>7.2939998316704866E-3</v>
      </c>
      <c r="H1181">
        <f>VLOOKUP($B1181,'[1]202512 RFR'!$A:$B,2,0)</f>
        <v>1.2E-2</v>
      </c>
      <c r="I1181">
        <f t="shared" si="206"/>
        <v>0.71968441261556904</v>
      </c>
      <c r="J1181">
        <f t="shared" si="207"/>
        <v>2.5275867844240144E-4</v>
      </c>
      <c r="K1181">
        <f t="shared" si="208"/>
        <v>0</v>
      </c>
      <c r="L1181">
        <f t="shared" si="200"/>
        <v>0.26857606606693002</v>
      </c>
      <c r="M1181">
        <f>IF(AND(MOD(C1181,12)=1,D1181&lt;='[1]Product parameters'!$C$2),I1180*[1]model_point!$G$2,0)</f>
        <v>0</v>
      </c>
      <c r="N1181">
        <f t="shared" si="201"/>
        <v>0</v>
      </c>
      <c r="O1181">
        <f>[2]results_sample_product_cf!G1180</f>
        <v>0</v>
      </c>
      <c r="P1181">
        <f>[2]results_sample_product_cf!H1180</f>
        <v>0</v>
      </c>
      <c r="Q1181">
        <f t="shared" si="202"/>
        <v>0</v>
      </c>
      <c r="R1181">
        <f t="shared" si="198"/>
        <v>0</v>
      </c>
    </row>
    <row r="1182" spans="1:18" x14ac:dyDescent="0.3">
      <c r="A1182">
        <f t="shared" si="203"/>
        <v>1179</v>
      </c>
      <c r="B1182">
        <f t="shared" si="204"/>
        <v>99</v>
      </c>
      <c r="C1182">
        <f t="shared" si="205"/>
        <v>1184</v>
      </c>
      <c r="D1182">
        <f t="shared" si="199"/>
        <v>99</v>
      </c>
      <c r="E1182">
        <f>[1]model_point!$C$2+D1182-1</f>
        <v>103</v>
      </c>
      <c r="F1182">
        <f>VLOOKUP(E1182,'[1]202512 BE mortality'!$A:$C,3,0)</f>
        <v>4.204886615024727E-3</v>
      </c>
      <c r="G1182">
        <f>VLOOKUP(D1182,'[1]202512 BE lapse'!$C:$D,2,0)</f>
        <v>7.2939998316704866E-3</v>
      </c>
      <c r="H1182">
        <f>VLOOKUP($B1182,'[1]202512 RFR'!$A:$B,2,0)</f>
        <v>1.2E-2</v>
      </c>
      <c r="I1182">
        <f t="shared" si="206"/>
        <v>0.71943174267674459</v>
      </c>
      <c r="J1182">
        <f t="shared" si="207"/>
        <v>2.5266993882445239E-4</v>
      </c>
      <c r="K1182">
        <f t="shared" si="208"/>
        <v>0</v>
      </c>
      <c r="L1182">
        <f t="shared" si="200"/>
        <v>0.26830922133068458</v>
      </c>
      <c r="M1182">
        <f>IF(AND(MOD(C1182,12)=1,D1182&lt;='[1]Product parameters'!$C$2),I1181*[1]model_point!$G$2,0)</f>
        <v>0</v>
      </c>
      <c r="N1182">
        <f t="shared" si="201"/>
        <v>0</v>
      </c>
      <c r="O1182">
        <f>[2]results_sample_product_cf!G1181</f>
        <v>0</v>
      </c>
      <c r="P1182">
        <f>[2]results_sample_product_cf!H1181</f>
        <v>0</v>
      </c>
      <c r="Q1182">
        <f t="shared" si="202"/>
        <v>0</v>
      </c>
      <c r="R1182">
        <f t="shared" si="198"/>
        <v>0</v>
      </c>
    </row>
    <row r="1183" spans="1:18" x14ac:dyDescent="0.3">
      <c r="A1183">
        <f t="shared" si="203"/>
        <v>1180</v>
      </c>
      <c r="B1183">
        <f t="shared" si="204"/>
        <v>99</v>
      </c>
      <c r="C1183">
        <f t="shared" si="205"/>
        <v>1185</v>
      </c>
      <c r="D1183">
        <f t="shared" si="199"/>
        <v>99</v>
      </c>
      <c r="E1183">
        <f>[1]model_point!$C$2+D1183-1</f>
        <v>103</v>
      </c>
      <c r="F1183">
        <f>VLOOKUP(E1183,'[1]202512 BE mortality'!$A:$C,3,0)</f>
        <v>4.204886615024727E-3</v>
      </c>
      <c r="G1183">
        <f>VLOOKUP(D1183,'[1]202512 BE lapse'!$C:$D,2,0)</f>
        <v>7.2939998316704866E-3</v>
      </c>
      <c r="H1183">
        <f>VLOOKUP($B1183,'[1]202512 RFR'!$A:$B,2,0)</f>
        <v>1.2E-2</v>
      </c>
      <c r="I1183">
        <f t="shared" si="206"/>
        <v>0.71917916144638294</v>
      </c>
      <c r="J1183">
        <f t="shared" si="207"/>
        <v>2.5258123036159502E-4</v>
      </c>
      <c r="K1183">
        <f t="shared" si="208"/>
        <v>0</v>
      </c>
      <c r="L1183">
        <f t="shared" si="200"/>
        <v>0.26804264171900627</v>
      </c>
      <c r="M1183">
        <f>IF(AND(MOD(C1183,12)=1,D1183&lt;='[1]Product parameters'!$C$2),I1182*[1]model_point!$G$2,0)</f>
        <v>0</v>
      </c>
      <c r="N1183">
        <f t="shared" si="201"/>
        <v>0</v>
      </c>
      <c r="O1183">
        <f>[2]results_sample_product_cf!G1182</f>
        <v>0</v>
      </c>
      <c r="P1183">
        <f>[2]results_sample_product_cf!H1182</f>
        <v>0</v>
      </c>
      <c r="Q1183">
        <f t="shared" si="202"/>
        <v>0</v>
      </c>
      <c r="R1183">
        <f t="shared" si="198"/>
        <v>0</v>
      </c>
    </row>
    <row r="1184" spans="1:18" x14ac:dyDescent="0.3">
      <c r="A1184">
        <f t="shared" si="203"/>
        <v>1181</v>
      </c>
      <c r="B1184">
        <f t="shared" si="204"/>
        <v>99</v>
      </c>
      <c r="C1184">
        <f t="shared" si="205"/>
        <v>1186</v>
      </c>
      <c r="D1184">
        <f t="shared" si="199"/>
        <v>99</v>
      </c>
      <c r="E1184">
        <f>[1]model_point!$C$2+D1184-1</f>
        <v>103</v>
      </c>
      <c r="F1184">
        <f>VLOOKUP(E1184,'[1]202512 BE mortality'!$A:$C,3,0)</f>
        <v>4.204886615024727E-3</v>
      </c>
      <c r="G1184">
        <f>VLOOKUP(D1184,'[1]202512 BE lapse'!$C:$D,2,0)</f>
        <v>7.2939998316704866E-3</v>
      </c>
      <c r="H1184">
        <f>VLOOKUP($B1184,'[1]202512 RFR'!$A:$B,2,0)</f>
        <v>1.2E-2</v>
      </c>
      <c r="I1184">
        <f t="shared" si="206"/>
        <v>0.71892666889334</v>
      </c>
      <c r="J1184">
        <f t="shared" si="207"/>
        <v>2.5249255304289115E-4</v>
      </c>
      <c r="K1184">
        <f t="shared" si="208"/>
        <v>0</v>
      </c>
      <c r="L1184">
        <f t="shared" si="200"/>
        <v>0.26777632696847964</v>
      </c>
      <c r="M1184">
        <f>IF(AND(MOD(C1184,12)=1,D1184&lt;='[1]Product parameters'!$C$2),I1183*[1]model_point!$G$2,0)</f>
        <v>0</v>
      </c>
      <c r="N1184">
        <f t="shared" si="201"/>
        <v>0</v>
      </c>
      <c r="O1184">
        <f>[2]results_sample_product_cf!G1183</f>
        <v>0</v>
      </c>
      <c r="P1184">
        <f>[2]results_sample_product_cf!H1183</f>
        <v>0</v>
      </c>
      <c r="Q1184">
        <f t="shared" si="202"/>
        <v>0</v>
      </c>
      <c r="R1184">
        <f t="shared" si="198"/>
        <v>0</v>
      </c>
    </row>
    <row r="1185" spans="1:18" x14ac:dyDescent="0.3">
      <c r="A1185">
        <f t="shared" si="203"/>
        <v>1182</v>
      </c>
      <c r="B1185">
        <f t="shared" si="204"/>
        <v>99</v>
      </c>
      <c r="C1185">
        <f t="shared" si="205"/>
        <v>1187</v>
      </c>
      <c r="D1185">
        <f t="shared" si="199"/>
        <v>99</v>
      </c>
      <c r="E1185">
        <f>[1]model_point!$C$2+D1185-1</f>
        <v>103</v>
      </c>
      <c r="F1185">
        <f>VLOOKUP(E1185,'[1]202512 BE mortality'!$A:$C,3,0)</f>
        <v>4.204886615024727E-3</v>
      </c>
      <c r="G1185">
        <f>VLOOKUP(D1185,'[1]202512 BE lapse'!$C:$D,2,0)</f>
        <v>7.2939998316704866E-3</v>
      </c>
      <c r="H1185">
        <f>VLOOKUP($B1185,'[1]202512 RFR'!$A:$B,2,0)</f>
        <v>1.2E-2</v>
      </c>
      <c r="I1185">
        <f t="shared" si="206"/>
        <v>0.71867426498648257</v>
      </c>
      <c r="J1185">
        <f t="shared" si="207"/>
        <v>2.5240390685740672E-4</v>
      </c>
      <c r="K1185">
        <f t="shared" si="208"/>
        <v>0</v>
      </c>
      <c r="L1185">
        <f t="shared" si="200"/>
        <v>0.26751027681595091</v>
      </c>
      <c r="M1185">
        <f>IF(AND(MOD(C1185,12)=1,D1185&lt;='[1]Product parameters'!$C$2),I1184*[1]model_point!$G$2,0)</f>
        <v>0</v>
      </c>
      <c r="N1185">
        <f t="shared" si="201"/>
        <v>0</v>
      </c>
      <c r="O1185">
        <f>[2]results_sample_product_cf!G1184</f>
        <v>0</v>
      </c>
      <c r="P1185">
        <f>[2]results_sample_product_cf!H1184</f>
        <v>0</v>
      </c>
      <c r="Q1185">
        <f t="shared" si="202"/>
        <v>0</v>
      </c>
      <c r="R1185">
        <f t="shared" si="198"/>
        <v>0</v>
      </c>
    </row>
    <row r="1186" spans="1:18" x14ac:dyDescent="0.3">
      <c r="A1186">
        <f t="shared" si="203"/>
        <v>1183</v>
      </c>
      <c r="B1186">
        <f t="shared" si="204"/>
        <v>99</v>
      </c>
      <c r="C1186">
        <f t="shared" si="205"/>
        <v>1188</v>
      </c>
      <c r="D1186">
        <f t="shared" si="199"/>
        <v>99</v>
      </c>
      <c r="E1186">
        <f>[1]model_point!$C$2+D1186-1</f>
        <v>103</v>
      </c>
      <c r="F1186">
        <f>VLOOKUP(E1186,'[1]202512 BE mortality'!$A:$C,3,0)</f>
        <v>4.204886615024727E-3</v>
      </c>
      <c r="G1186">
        <f>VLOOKUP(D1186,'[1]202512 BE lapse'!$C:$D,2,0)</f>
        <v>7.2939998316704866E-3</v>
      </c>
      <c r="H1186">
        <f>VLOOKUP($B1186,'[1]202512 RFR'!$A:$B,2,0)</f>
        <v>1.2E-2</v>
      </c>
      <c r="I1186">
        <f t="shared" si="206"/>
        <v>0.71318178011454691</v>
      </c>
      <c r="J1186">
        <f t="shared" si="207"/>
        <v>2.5231529179421127E-4</v>
      </c>
      <c r="K1186">
        <f t="shared" si="208"/>
        <v>5.2401695801414395E-3</v>
      </c>
      <c r="L1186">
        <f t="shared" si="200"/>
        <v>0.26724449099852776</v>
      </c>
      <c r="M1186">
        <f>IF(AND(MOD(C1186,12)=1,D1186&lt;='[1]Product parameters'!$C$2),I1185*[1]model_point!$G$2,0)</f>
        <v>0</v>
      </c>
      <c r="N1186">
        <f t="shared" si="201"/>
        <v>0</v>
      </c>
      <c r="O1186">
        <f>[2]results_sample_product_cf!G1185</f>
        <v>0</v>
      </c>
      <c r="P1186">
        <f>[2]results_sample_product_cf!H1185</f>
        <v>0</v>
      </c>
      <c r="Q1186">
        <f t="shared" si="202"/>
        <v>0</v>
      </c>
      <c r="R1186">
        <f t="shared" si="198"/>
        <v>0</v>
      </c>
    </row>
    <row r="1187" spans="1:18" x14ac:dyDescent="0.3">
      <c r="A1187">
        <f t="shared" si="203"/>
        <v>1184</v>
      </c>
      <c r="B1187">
        <f t="shared" si="204"/>
        <v>99</v>
      </c>
      <c r="C1187">
        <f t="shared" si="205"/>
        <v>1189</v>
      </c>
      <c r="D1187">
        <f t="shared" si="199"/>
        <v>100</v>
      </c>
      <c r="E1187">
        <f>[1]model_point!$C$2+D1187-1</f>
        <v>104</v>
      </c>
      <c r="F1187">
        <f>VLOOKUP(E1187,'[1]202512 BE mortality'!$A:$C,3,0)</f>
        <v>3.7660948612323508E-3</v>
      </c>
      <c r="G1187">
        <f>VLOOKUP(D1187,'[1]202512 BE lapse'!$C:$D,2,0)</f>
        <v>3.5633015525531431E-3</v>
      </c>
      <c r="H1187">
        <f>VLOOKUP($B1187,'[1]202512 RFR'!$A:$B,2,0)</f>
        <v>1.2E-2</v>
      </c>
      <c r="I1187">
        <f t="shared" si="206"/>
        <v>0.71295756697747192</v>
      </c>
      <c r="J1187">
        <f t="shared" si="207"/>
        <v>2.2421313707500338E-4</v>
      </c>
      <c r="K1187">
        <f t="shared" si="208"/>
        <v>0</v>
      </c>
      <c r="L1187">
        <f t="shared" si="200"/>
        <v>0.26697896925357906</v>
      </c>
      <c r="M1187">
        <f>IF(AND(MOD(C1187,12)=1,D1187&lt;='[1]Product parameters'!$C$2),I1186*[1]model_point!$G$2,0)</f>
        <v>0</v>
      </c>
      <c r="N1187">
        <f t="shared" si="201"/>
        <v>0</v>
      </c>
      <c r="O1187">
        <f>[2]results_sample_product_cf!G1186</f>
        <v>0</v>
      </c>
      <c r="P1187">
        <f>[2]results_sample_product_cf!H1186</f>
        <v>0</v>
      </c>
      <c r="Q1187">
        <f t="shared" si="202"/>
        <v>0</v>
      </c>
      <c r="R1187">
        <f t="shared" si="198"/>
        <v>0</v>
      </c>
    </row>
    <row r="1188" spans="1:18" x14ac:dyDescent="0.3">
      <c r="A1188">
        <f t="shared" si="203"/>
        <v>1185</v>
      </c>
      <c r="B1188">
        <f t="shared" si="204"/>
        <v>99</v>
      </c>
      <c r="C1188">
        <f t="shared" si="205"/>
        <v>1190</v>
      </c>
      <c r="D1188">
        <f t="shared" si="199"/>
        <v>100</v>
      </c>
      <c r="E1188">
        <f>[1]model_point!$C$2+D1188-1</f>
        <v>104</v>
      </c>
      <c r="F1188">
        <f>VLOOKUP(E1188,'[1]202512 BE mortality'!$A:$C,3,0)</f>
        <v>3.7660948612323508E-3</v>
      </c>
      <c r="G1188">
        <f>VLOOKUP(D1188,'[1]202512 BE lapse'!$C:$D,2,0)</f>
        <v>3.5633015525531431E-3</v>
      </c>
      <c r="H1188">
        <f>VLOOKUP($B1188,'[1]202512 RFR'!$A:$B,2,0)</f>
        <v>1.2E-2</v>
      </c>
      <c r="I1188">
        <f t="shared" si="206"/>
        <v>0.7127334243294815</v>
      </c>
      <c r="J1188">
        <f t="shared" si="207"/>
        <v>2.2414264799039871E-4</v>
      </c>
      <c r="K1188">
        <f t="shared" si="208"/>
        <v>0</v>
      </c>
      <c r="L1188">
        <f t="shared" si="200"/>
        <v>0.26671371131873467</v>
      </c>
      <c r="M1188">
        <f>IF(AND(MOD(C1188,12)=1,D1188&lt;='[1]Product parameters'!$C$2),I1187*[1]model_point!$G$2,0)</f>
        <v>0</v>
      </c>
      <c r="N1188">
        <f t="shared" si="201"/>
        <v>0</v>
      </c>
      <c r="O1188">
        <f>[2]results_sample_product_cf!G1187</f>
        <v>0</v>
      </c>
      <c r="P1188">
        <f>[2]results_sample_product_cf!H1187</f>
        <v>0</v>
      </c>
      <c r="Q1188">
        <f t="shared" si="202"/>
        <v>0</v>
      </c>
      <c r="R1188">
        <f t="shared" si="198"/>
        <v>0</v>
      </c>
    </row>
    <row r="1189" spans="1:18" x14ac:dyDescent="0.3">
      <c r="A1189">
        <f t="shared" si="203"/>
        <v>1186</v>
      </c>
      <c r="B1189">
        <f t="shared" si="204"/>
        <v>99</v>
      </c>
      <c r="C1189">
        <f t="shared" si="205"/>
        <v>1191</v>
      </c>
      <c r="D1189">
        <f t="shared" si="199"/>
        <v>100</v>
      </c>
      <c r="E1189">
        <f>[1]model_point!$C$2+D1189-1</f>
        <v>104</v>
      </c>
      <c r="F1189">
        <f>VLOOKUP(E1189,'[1]202512 BE mortality'!$A:$C,3,0)</f>
        <v>3.7660948612323508E-3</v>
      </c>
      <c r="G1189">
        <f>VLOOKUP(D1189,'[1]202512 BE lapse'!$C:$D,2,0)</f>
        <v>3.5633015525531431E-3</v>
      </c>
      <c r="H1189">
        <f>VLOOKUP($B1189,'[1]202512 RFR'!$A:$B,2,0)</f>
        <v>1.2E-2</v>
      </c>
      <c r="I1189">
        <f t="shared" si="206"/>
        <v>0.71250935214841504</v>
      </c>
      <c r="J1189">
        <f t="shared" si="207"/>
        <v>2.2407218106645379E-4</v>
      </c>
      <c r="K1189">
        <f t="shared" si="208"/>
        <v>0</v>
      </c>
      <c r="L1189">
        <f t="shared" si="200"/>
        <v>0.26644871693188504</v>
      </c>
      <c r="M1189">
        <f>IF(AND(MOD(C1189,12)=1,D1189&lt;='[1]Product parameters'!$C$2),I1188*[1]model_point!$G$2,0)</f>
        <v>0</v>
      </c>
      <c r="N1189">
        <f t="shared" si="201"/>
        <v>0</v>
      </c>
      <c r="O1189">
        <f>[2]results_sample_product_cf!G1188</f>
        <v>0</v>
      </c>
      <c r="P1189">
        <f>[2]results_sample_product_cf!H1188</f>
        <v>0</v>
      </c>
      <c r="Q1189">
        <f t="shared" si="202"/>
        <v>0</v>
      </c>
      <c r="R1189">
        <f t="shared" si="198"/>
        <v>0</v>
      </c>
    </row>
    <row r="1190" spans="1:18" x14ac:dyDescent="0.3">
      <c r="A1190">
        <f t="shared" si="203"/>
        <v>1187</v>
      </c>
      <c r="B1190">
        <f t="shared" si="204"/>
        <v>99</v>
      </c>
      <c r="C1190">
        <f t="shared" si="205"/>
        <v>1192</v>
      </c>
      <c r="D1190">
        <f t="shared" si="199"/>
        <v>100</v>
      </c>
      <c r="E1190">
        <f>[1]model_point!$C$2+D1190-1</f>
        <v>104</v>
      </c>
      <c r="F1190">
        <f>VLOOKUP(E1190,'[1]202512 BE mortality'!$A:$C,3,0)</f>
        <v>3.7660948612323508E-3</v>
      </c>
      <c r="G1190">
        <f>VLOOKUP(D1190,'[1]202512 BE lapse'!$C:$D,2,0)</f>
        <v>3.5633015525531431E-3</v>
      </c>
      <c r="H1190">
        <f>VLOOKUP($B1190,'[1]202512 RFR'!$A:$B,2,0)</f>
        <v>1.2E-2</v>
      </c>
      <c r="I1190">
        <f t="shared" si="206"/>
        <v>0.71228535041211882</v>
      </c>
      <c r="J1190">
        <f t="shared" si="207"/>
        <v>2.240017362962017E-4</v>
      </c>
      <c r="K1190">
        <f t="shared" si="208"/>
        <v>0</v>
      </c>
      <c r="L1190">
        <f t="shared" si="200"/>
        <v>0.26618398583118114</v>
      </c>
      <c r="M1190">
        <f>IF(AND(MOD(C1190,12)=1,D1190&lt;='[1]Product parameters'!$C$2),I1189*[1]model_point!$G$2,0)</f>
        <v>0</v>
      </c>
      <c r="N1190">
        <f t="shared" si="201"/>
        <v>0</v>
      </c>
      <c r="O1190">
        <f>[2]results_sample_product_cf!G1189</f>
        <v>0</v>
      </c>
      <c r="P1190">
        <f>[2]results_sample_product_cf!H1189</f>
        <v>0</v>
      </c>
      <c r="Q1190">
        <f t="shared" si="202"/>
        <v>0</v>
      </c>
      <c r="R1190">
        <f t="shared" si="198"/>
        <v>0</v>
      </c>
    </row>
    <row r="1191" spans="1:18" x14ac:dyDescent="0.3">
      <c r="A1191">
        <f t="shared" si="203"/>
        <v>1188</v>
      </c>
      <c r="B1191">
        <f t="shared" si="204"/>
        <v>99</v>
      </c>
      <c r="C1191">
        <f t="shared" si="205"/>
        <v>1193</v>
      </c>
      <c r="D1191">
        <f t="shared" si="199"/>
        <v>100</v>
      </c>
      <c r="E1191">
        <f>[1]model_point!$C$2+D1191-1</f>
        <v>104</v>
      </c>
      <c r="F1191">
        <f>VLOOKUP(E1191,'[1]202512 BE mortality'!$A:$C,3,0)</f>
        <v>3.7660948612323508E-3</v>
      </c>
      <c r="G1191">
        <f>VLOOKUP(D1191,'[1]202512 BE lapse'!$C:$D,2,0)</f>
        <v>3.5633015525531431E-3</v>
      </c>
      <c r="H1191">
        <f>VLOOKUP($B1191,'[1]202512 RFR'!$A:$B,2,0)</f>
        <v>1.2E-2</v>
      </c>
      <c r="I1191">
        <f t="shared" si="206"/>
        <v>0.71206141909844611</v>
      </c>
      <c r="J1191">
        <f t="shared" si="207"/>
        <v>2.2393131367267764E-4</v>
      </c>
      <c r="K1191">
        <f t="shared" si="208"/>
        <v>0</v>
      </c>
      <c r="L1191">
        <f t="shared" si="200"/>
        <v>0.26591951775503403</v>
      </c>
      <c r="M1191">
        <f>IF(AND(MOD(C1191,12)=1,D1191&lt;='[1]Product parameters'!$C$2),I1190*[1]model_point!$G$2,0)</f>
        <v>0</v>
      </c>
      <c r="N1191">
        <f t="shared" si="201"/>
        <v>0</v>
      </c>
      <c r="O1191">
        <f>[2]results_sample_product_cf!G1190</f>
        <v>0</v>
      </c>
      <c r="P1191">
        <f>[2]results_sample_product_cf!H1190</f>
        <v>0</v>
      </c>
      <c r="Q1191">
        <f t="shared" si="202"/>
        <v>0</v>
      </c>
      <c r="R1191">
        <f t="shared" si="198"/>
        <v>0</v>
      </c>
    </row>
    <row r="1192" spans="1:18" x14ac:dyDescent="0.3">
      <c r="A1192">
        <f t="shared" si="203"/>
        <v>1189</v>
      </c>
      <c r="B1192">
        <f t="shared" si="204"/>
        <v>100</v>
      </c>
      <c r="C1192">
        <f t="shared" si="205"/>
        <v>1194</v>
      </c>
      <c r="D1192">
        <f t="shared" si="199"/>
        <v>100</v>
      </c>
      <c r="E1192">
        <f>[1]model_point!$C$2+D1192-1</f>
        <v>104</v>
      </c>
      <c r="F1192">
        <f>VLOOKUP(E1192,'[1]202512 BE mortality'!$A:$C,3,0)</f>
        <v>3.7660948612323508E-3</v>
      </c>
      <c r="G1192">
        <f>VLOOKUP(D1192,'[1]202512 BE lapse'!$C:$D,2,0)</f>
        <v>3.5633015525531431E-3</v>
      </c>
      <c r="H1192">
        <f>VLOOKUP($B1192,'[1]202512 RFR'!$A:$B,2,0)</f>
        <v>1.2E-2</v>
      </c>
      <c r="I1192">
        <f t="shared" si="206"/>
        <v>0.71183755818525718</v>
      </c>
      <c r="J1192">
        <f t="shared" si="207"/>
        <v>2.2386091318891906E-4</v>
      </c>
      <c r="K1192">
        <f t="shared" si="208"/>
        <v>0</v>
      </c>
      <c r="L1192">
        <f t="shared" si="200"/>
        <v>0.26565531244211471</v>
      </c>
      <c r="M1192">
        <f>IF(AND(MOD(C1192,12)=1,D1192&lt;='[1]Product parameters'!$C$2),I1191*[1]model_point!$G$2,0)</f>
        <v>0</v>
      </c>
      <c r="N1192">
        <f t="shared" si="201"/>
        <v>0</v>
      </c>
      <c r="O1192">
        <f>[2]results_sample_product_cf!G1191</f>
        <v>0</v>
      </c>
      <c r="P1192">
        <f>[2]results_sample_product_cf!H1191</f>
        <v>0</v>
      </c>
      <c r="Q1192">
        <f t="shared" si="202"/>
        <v>0</v>
      </c>
      <c r="R1192">
        <f t="shared" si="198"/>
        <v>0</v>
      </c>
    </row>
    <row r="1193" spans="1:18" x14ac:dyDescent="0.3">
      <c r="A1193">
        <f t="shared" si="203"/>
        <v>1190</v>
      </c>
      <c r="B1193">
        <f t="shared" si="204"/>
        <v>100</v>
      </c>
      <c r="C1193">
        <f t="shared" si="205"/>
        <v>1195</v>
      </c>
      <c r="D1193">
        <f t="shared" si="199"/>
        <v>100</v>
      </c>
      <c r="E1193">
        <f>[1]model_point!$C$2+D1193-1</f>
        <v>104</v>
      </c>
      <c r="F1193">
        <f>VLOOKUP(E1193,'[1]202512 BE mortality'!$A:$C,3,0)</f>
        <v>3.7660948612323508E-3</v>
      </c>
      <c r="G1193">
        <f>VLOOKUP(D1193,'[1]202512 BE lapse'!$C:$D,2,0)</f>
        <v>3.5633015525531431E-3</v>
      </c>
      <c r="H1193">
        <f>VLOOKUP($B1193,'[1]202512 RFR'!$A:$B,2,0)</f>
        <v>1.2E-2</v>
      </c>
      <c r="I1193">
        <f t="shared" si="206"/>
        <v>0.71161376765041917</v>
      </c>
      <c r="J1193">
        <f t="shared" si="207"/>
        <v>2.2379053483796553E-4</v>
      </c>
      <c r="K1193">
        <f t="shared" si="208"/>
        <v>0</v>
      </c>
      <c r="L1193">
        <f t="shared" si="200"/>
        <v>0.26539136963135379</v>
      </c>
      <c r="M1193">
        <f>IF(AND(MOD(C1193,12)=1,D1193&lt;='[1]Product parameters'!$C$2),I1192*[1]model_point!$G$2,0)</f>
        <v>0</v>
      </c>
      <c r="N1193">
        <f t="shared" si="201"/>
        <v>0</v>
      </c>
      <c r="O1193">
        <f>[2]results_sample_product_cf!G1192</f>
        <v>0</v>
      </c>
      <c r="P1193">
        <f>[2]results_sample_product_cf!H1192</f>
        <v>0</v>
      </c>
      <c r="Q1193">
        <f t="shared" si="202"/>
        <v>0</v>
      </c>
      <c r="R1193">
        <f t="shared" si="198"/>
        <v>0</v>
      </c>
    </row>
    <row r="1194" spans="1:18" x14ac:dyDescent="0.3">
      <c r="A1194">
        <f t="shared" si="203"/>
        <v>1191</v>
      </c>
      <c r="B1194">
        <f t="shared" si="204"/>
        <v>100</v>
      </c>
      <c r="C1194">
        <f t="shared" si="205"/>
        <v>1196</v>
      </c>
      <c r="D1194">
        <f t="shared" si="199"/>
        <v>100</v>
      </c>
      <c r="E1194">
        <f>[1]model_point!$C$2+D1194-1</f>
        <v>104</v>
      </c>
      <c r="F1194">
        <f>VLOOKUP(E1194,'[1]202512 BE mortality'!$A:$C,3,0)</f>
        <v>3.7660948612323508E-3</v>
      </c>
      <c r="G1194">
        <f>VLOOKUP(D1194,'[1]202512 BE lapse'!$C:$D,2,0)</f>
        <v>3.5633015525531431E-3</v>
      </c>
      <c r="H1194">
        <f>VLOOKUP($B1194,'[1]202512 RFR'!$A:$B,2,0)</f>
        <v>1.2E-2</v>
      </c>
      <c r="I1194">
        <f t="shared" si="206"/>
        <v>0.71139004747180634</v>
      </c>
      <c r="J1194">
        <f t="shared" si="207"/>
        <v>2.2372017861285883E-4</v>
      </c>
      <c r="K1194">
        <f t="shared" si="208"/>
        <v>0</v>
      </c>
      <c r="L1194">
        <f t="shared" si="200"/>
        <v>0.26512768906194129</v>
      </c>
      <c r="M1194">
        <f>IF(AND(MOD(C1194,12)=1,D1194&lt;='[1]Product parameters'!$C$2),I1193*[1]model_point!$G$2,0)</f>
        <v>0</v>
      </c>
      <c r="N1194">
        <f t="shared" si="201"/>
        <v>0</v>
      </c>
      <c r="O1194">
        <f>[2]results_sample_product_cf!G1193</f>
        <v>0</v>
      </c>
      <c r="P1194">
        <f>[2]results_sample_product_cf!H1193</f>
        <v>0</v>
      </c>
      <c r="Q1194">
        <f t="shared" si="202"/>
        <v>0</v>
      </c>
      <c r="R1194">
        <f t="shared" si="198"/>
        <v>0</v>
      </c>
    </row>
    <row r="1195" spans="1:18" x14ac:dyDescent="0.3">
      <c r="A1195">
        <f t="shared" si="203"/>
        <v>1192</v>
      </c>
      <c r="B1195">
        <f t="shared" si="204"/>
        <v>100</v>
      </c>
      <c r="C1195">
        <f t="shared" si="205"/>
        <v>1197</v>
      </c>
      <c r="D1195">
        <f t="shared" si="199"/>
        <v>100</v>
      </c>
      <c r="E1195">
        <f>[1]model_point!$C$2+D1195-1</f>
        <v>104</v>
      </c>
      <c r="F1195">
        <f>VLOOKUP(E1195,'[1]202512 BE mortality'!$A:$C,3,0)</f>
        <v>3.7660948612323508E-3</v>
      </c>
      <c r="G1195">
        <f>VLOOKUP(D1195,'[1]202512 BE lapse'!$C:$D,2,0)</f>
        <v>3.5633015525531431E-3</v>
      </c>
      <c r="H1195">
        <f>VLOOKUP($B1195,'[1]202512 RFR'!$A:$B,2,0)</f>
        <v>1.2E-2</v>
      </c>
      <c r="I1195">
        <f t="shared" si="206"/>
        <v>0.71116639762729972</v>
      </c>
      <c r="J1195">
        <f t="shared" si="207"/>
        <v>2.23649844506643E-4</v>
      </c>
      <c r="K1195">
        <f t="shared" si="208"/>
        <v>0</v>
      </c>
      <c r="L1195">
        <f t="shared" si="200"/>
        <v>0.26486427047332639</v>
      </c>
      <c r="M1195">
        <f>IF(AND(MOD(C1195,12)=1,D1195&lt;='[1]Product parameters'!$C$2),I1194*[1]model_point!$G$2,0)</f>
        <v>0</v>
      </c>
      <c r="N1195">
        <f t="shared" si="201"/>
        <v>0</v>
      </c>
      <c r="O1195">
        <f>[2]results_sample_product_cf!G1194</f>
        <v>0</v>
      </c>
      <c r="P1195">
        <f>[2]results_sample_product_cf!H1194</f>
        <v>0</v>
      </c>
      <c r="Q1195">
        <f t="shared" si="202"/>
        <v>0</v>
      </c>
      <c r="R1195">
        <f t="shared" si="198"/>
        <v>0</v>
      </c>
    </row>
    <row r="1196" spans="1:18" x14ac:dyDescent="0.3">
      <c r="A1196">
        <f t="shared" si="203"/>
        <v>1193</v>
      </c>
      <c r="B1196">
        <f t="shared" si="204"/>
        <v>100</v>
      </c>
      <c r="C1196">
        <f t="shared" si="205"/>
        <v>1198</v>
      </c>
      <c r="D1196">
        <f t="shared" si="199"/>
        <v>100</v>
      </c>
      <c r="E1196">
        <f>[1]model_point!$C$2+D1196-1</f>
        <v>104</v>
      </c>
      <c r="F1196">
        <f>VLOOKUP(E1196,'[1]202512 BE mortality'!$A:$C,3,0)</f>
        <v>3.7660948612323508E-3</v>
      </c>
      <c r="G1196">
        <f>VLOOKUP(D1196,'[1]202512 BE lapse'!$C:$D,2,0)</f>
        <v>3.5633015525531431E-3</v>
      </c>
      <c r="H1196">
        <f>VLOOKUP($B1196,'[1]202512 RFR'!$A:$B,2,0)</f>
        <v>1.2E-2</v>
      </c>
      <c r="I1196">
        <f t="shared" si="206"/>
        <v>0.71094281809478732</v>
      </c>
      <c r="J1196">
        <f t="shared" si="207"/>
        <v>2.2357953251236421E-4</v>
      </c>
      <c r="K1196">
        <f t="shared" si="208"/>
        <v>0</v>
      </c>
      <c r="L1196">
        <f t="shared" si="200"/>
        <v>0.2646011136052171</v>
      </c>
      <c r="M1196">
        <f>IF(AND(MOD(C1196,12)=1,D1196&lt;='[1]Product parameters'!$C$2),I1195*[1]model_point!$G$2,0)</f>
        <v>0</v>
      </c>
      <c r="N1196">
        <f t="shared" si="201"/>
        <v>0</v>
      </c>
      <c r="O1196">
        <f>[2]results_sample_product_cf!G1195</f>
        <v>0</v>
      </c>
      <c r="P1196">
        <f>[2]results_sample_product_cf!H1195</f>
        <v>0</v>
      </c>
      <c r="Q1196">
        <f t="shared" si="202"/>
        <v>0</v>
      </c>
      <c r="R1196">
        <f t="shared" si="198"/>
        <v>0</v>
      </c>
    </row>
    <row r="1197" spans="1:18" x14ac:dyDescent="0.3">
      <c r="A1197">
        <f t="shared" si="203"/>
        <v>1194</v>
      </c>
      <c r="B1197">
        <f t="shared" si="204"/>
        <v>100</v>
      </c>
      <c r="C1197">
        <f t="shared" si="205"/>
        <v>1199</v>
      </c>
      <c r="D1197">
        <f t="shared" si="199"/>
        <v>100</v>
      </c>
      <c r="E1197">
        <f>[1]model_point!$C$2+D1197-1</f>
        <v>104</v>
      </c>
      <c r="F1197">
        <f>VLOOKUP(E1197,'[1]202512 BE mortality'!$A:$C,3,0)</f>
        <v>3.7660948612323508E-3</v>
      </c>
      <c r="G1197">
        <f>VLOOKUP(D1197,'[1]202512 BE lapse'!$C:$D,2,0)</f>
        <v>3.5633015525531431E-3</v>
      </c>
      <c r="H1197">
        <f>VLOOKUP($B1197,'[1]202512 RFR'!$A:$B,2,0)</f>
        <v>1.2E-2</v>
      </c>
      <c r="I1197">
        <f t="shared" si="206"/>
        <v>0.71071930885216428</v>
      </c>
      <c r="J1197">
        <f t="shared" si="207"/>
        <v>2.2350924262307074E-4</v>
      </c>
      <c r="K1197">
        <f t="shared" si="208"/>
        <v>0</v>
      </c>
      <c r="L1197">
        <f t="shared" si="200"/>
        <v>0.26433821819758002</v>
      </c>
      <c r="M1197">
        <f>IF(AND(MOD(C1197,12)=1,D1197&lt;='[1]Product parameters'!$C$2),I1196*[1]model_point!$G$2,0)</f>
        <v>0</v>
      </c>
      <c r="N1197">
        <f t="shared" si="201"/>
        <v>0</v>
      </c>
      <c r="O1197">
        <f>[2]results_sample_product_cf!G1196</f>
        <v>0</v>
      </c>
      <c r="P1197">
        <f>[2]results_sample_product_cf!H1196</f>
        <v>0</v>
      </c>
      <c r="Q1197">
        <f t="shared" si="202"/>
        <v>0</v>
      </c>
      <c r="R1197">
        <f t="shared" si="198"/>
        <v>0</v>
      </c>
    </row>
    <row r="1198" spans="1:18" x14ac:dyDescent="0.3">
      <c r="A1198">
        <f t="shared" si="203"/>
        <v>1195</v>
      </c>
      <c r="B1198">
        <f t="shared" si="204"/>
        <v>100</v>
      </c>
      <c r="C1198">
        <f t="shared" si="205"/>
        <v>1200</v>
      </c>
      <c r="D1198">
        <f t="shared" si="199"/>
        <v>100</v>
      </c>
      <c r="E1198">
        <f>[1]model_point!$C$2+D1198-1</f>
        <v>104</v>
      </c>
      <c r="F1198">
        <f>VLOOKUP(E1198,'[1]202512 BE mortality'!$A:$C,3,0)</f>
        <v>3.7660948612323508E-3</v>
      </c>
      <c r="G1198">
        <f>VLOOKUP(D1198,'[1]202512 BE lapse'!$C:$D,2,0)</f>
        <v>3.5633015525531431E-3</v>
      </c>
      <c r="H1198">
        <f>VLOOKUP($B1198,'[1]202512 RFR'!$A:$B,2,0)</f>
        <v>1.2E-2</v>
      </c>
      <c r="I1198">
        <f t="shared" si="206"/>
        <v>0.70796415884111596</v>
      </c>
      <c r="J1198">
        <f t="shared" si="207"/>
        <v>2.2343897483181318E-4</v>
      </c>
      <c r="K1198">
        <f t="shared" si="208"/>
        <v>2.5317110362164949E-3</v>
      </c>
      <c r="L1198">
        <f t="shared" si="200"/>
        <v>0.26407558399064013</v>
      </c>
      <c r="M1198">
        <f>IF(AND(MOD(C1198,12)=1,D1198&lt;='[1]Product parameters'!$C$2),I1197*[1]model_point!$G$2,0)</f>
        <v>0</v>
      </c>
      <c r="N1198">
        <f t="shared" si="201"/>
        <v>0</v>
      </c>
      <c r="O1198">
        <f>[2]results_sample_product_cf!G1197</f>
        <v>0</v>
      </c>
      <c r="P1198">
        <f>[2]results_sample_product_cf!H1197</f>
        <v>0</v>
      </c>
      <c r="Q1198">
        <f t="shared" si="202"/>
        <v>0</v>
      </c>
      <c r="R1198">
        <f t="shared" si="198"/>
        <v>0</v>
      </c>
    </row>
    <row r="1199" spans="1:18" x14ac:dyDescent="0.3">
      <c r="A1199">
        <f t="shared" si="203"/>
        <v>1196</v>
      </c>
      <c r="B1199">
        <f t="shared" si="204"/>
        <v>100</v>
      </c>
      <c r="C1199">
        <f t="shared" si="205"/>
        <v>1201</v>
      </c>
      <c r="D1199">
        <f t="shared" si="199"/>
        <v>101</v>
      </c>
      <c r="E1199">
        <f>[1]model_point!$C$2+D1199-1</f>
        <v>105</v>
      </c>
      <c r="F1199">
        <f>VLOOKUP(E1199,'[1]202512 BE mortality'!$A:$C,3,0)</f>
        <v>7.7779034994127972E-4</v>
      </c>
      <c r="G1199">
        <f>VLOOKUP(D1199,'[1]202512 BE lapse'!$C:$D,2,0)</f>
        <v>1.9506311120623932E-3</v>
      </c>
      <c r="H1199">
        <f>VLOOKUP($B1199,'[1]202512 RFR'!$A:$B,2,0)</f>
        <v>1.2E-2</v>
      </c>
      <c r="I1199">
        <f t="shared" si="206"/>
        <v>0.70791825516717188</v>
      </c>
      <c r="J1199">
        <f t="shared" si="207"/>
        <v>4.5903673944055867E-5</v>
      </c>
      <c r="K1199">
        <f t="shared" si="208"/>
        <v>0</v>
      </c>
      <c r="L1199">
        <f t="shared" si="200"/>
        <v>0.26381321072488056</v>
      </c>
      <c r="M1199">
        <f>IF(AND(MOD(C1199,12)=1,D1199&lt;='[1]Product parameters'!$C$2),I1198*[1]model_point!$G$2,0)</f>
        <v>0</v>
      </c>
      <c r="N1199">
        <f t="shared" si="201"/>
        <v>0</v>
      </c>
      <c r="O1199">
        <f>[2]results_sample_product_cf!G1198</f>
        <v>0</v>
      </c>
      <c r="P1199">
        <f>[2]results_sample_product_cf!H1198</f>
        <v>0</v>
      </c>
      <c r="Q1199">
        <f t="shared" si="202"/>
        <v>0</v>
      </c>
      <c r="R1199">
        <f t="shared" si="198"/>
        <v>0</v>
      </c>
    </row>
    <row r="1200" spans="1:18" x14ac:dyDescent="0.3">
      <c r="A1200">
        <f t="shared" si="203"/>
        <v>1197</v>
      </c>
      <c r="B1200">
        <f t="shared" si="204"/>
        <v>100</v>
      </c>
      <c r="C1200">
        <f t="shared" si="205"/>
        <v>1202</v>
      </c>
      <c r="D1200">
        <f t="shared" si="199"/>
        <v>101</v>
      </c>
      <c r="E1200">
        <f>[1]model_point!$C$2+D1200-1</f>
        <v>105</v>
      </c>
      <c r="F1200">
        <f>VLOOKUP(E1200,'[1]202512 BE mortality'!$A:$C,3,0)</f>
        <v>7.7779034994127972E-4</v>
      </c>
      <c r="G1200">
        <f>VLOOKUP(D1200,'[1]202512 BE lapse'!$C:$D,2,0)</f>
        <v>1.9506311120623932E-3</v>
      </c>
      <c r="H1200">
        <f>VLOOKUP($B1200,'[1]202512 RFR'!$A:$B,2,0)</f>
        <v>1.2E-2</v>
      </c>
      <c r="I1200">
        <f t="shared" si="206"/>
        <v>0.70787235446957519</v>
      </c>
      <c r="J1200">
        <f t="shared" si="207"/>
        <v>4.5900697596658544E-5</v>
      </c>
      <c r="K1200">
        <f t="shared" si="208"/>
        <v>0</v>
      </c>
      <c r="L1200">
        <f t="shared" si="200"/>
        <v>0.26355109814104222</v>
      </c>
      <c r="M1200">
        <f>IF(AND(MOD(C1200,12)=1,D1200&lt;='[1]Product parameters'!$C$2),I1199*[1]model_point!$G$2,0)</f>
        <v>0</v>
      </c>
      <c r="N1200">
        <f t="shared" si="201"/>
        <v>0</v>
      </c>
      <c r="O1200">
        <f>[2]results_sample_product_cf!G1199</f>
        <v>0</v>
      </c>
      <c r="P1200">
        <f>[2]results_sample_product_cf!H1199</f>
        <v>0</v>
      </c>
      <c r="Q1200">
        <f t="shared" si="202"/>
        <v>0</v>
      </c>
      <c r="R1200">
        <f t="shared" si="198"/>
        <v>0</v>
      </c>
    </row>
    <row r="1201" spans="1:18" x14ac:dyDescent="0.3">
      <c r="A1201">
        <f t="shared" si="203"/>
        <v>1198</v>
      </c>
      <c r="B1201">
        <f t="shared" si="204"/>
        <v>100</v>
      </c>
      <c r="C1201">
        <f t="shared" si="205"/>
        <v>1203</v>
      </c>
      <c r="D1201">
        <f t="shared" si="199"/>
        <v>101</v>
      </c>
      <c r="E1201">
        <f>[1]model_point!$C$2+D1201-1</f>
        <v>105</v>
      </c>
      <c r="F1201">
        <f>VLOOKUP(E1201,'[1]202512 BE mortality'!$A:$C,3,0)</f>
        <v>7.7779034994127972E-4</v>
      </c>
      <c r="G1201">
        <f>VLOOKUP(D1201,'[1]202512 BE lapse'!$C:$D,2,0)</f>
        <v>1.9506311120623932E-3</v>
      </c>
      <c r="H1201">
        <f>VLOOKUP($B1201,'[1]202512 RFR'!$A:$B,2,0)</f>
        <v>1.2E-2</v>
      </c>
      <c r="I1201">
        <f t="shared" si="206"/>
        <v>0.70782645674813294</v>
      </c>
      <c r="J1201">
        <f t="shared" si="207"/>
        <v>4.5897721442244552E-5</v>
      </c>
      <c r="K1201">
        <f t="shared" si="208"/>
        <v>0</v>
      </c>
      <c r="L1201">
        <f t="shared" si="200"/>
        <v>0.2632892459801236</v>
      </c>
      <c r="M1201">
        <f>IF(AND(MOD(C1201,12)=1,D1201&lt;='[1]Product parameters'!$C$2),I1200*[1]model_point!$G$2,0)</f>
        <v>0</v>
      </c>
      <c r="N1201">
        <f t="shared" si="201"/>
        <v>0</v>
      </c>
      <c r="O1201">
        <f>[2]results_sample_product_cf!G1200</f>
        <v>0</v>
      </c>
      <c r="P1201">
        <f>[2]results_sample_product_cf!H1200</f>
        <v>0</v>
      </c>
      <c r="Q1201">
        <f t="shared" si="202"/>
        <v>0</v>
      </c>
      <c r="R1201">
        <f t="shared" si="198"/>
        <v>0</v>
      </c>
    </row>
    <row r="1202" spans="1:18" x14ac:dyDescent="0.3">
      <c r="A1202">
        <f t="shared" si="203"/>
        <v>1199</v>
      </c>
      <c r="B1202">
        <f t="shared" si="204"/>
        <v>100</v>
      </c>
      <c r="C1202">
        <f t="shared" si="205"/>
        <v>1204</v>
      </c>
      <c r="D1202">
        <f t="shared" si="199"/>
        <v>101</v>
      </c>
      <c r="E1202">
        <f>[1]model_point!$C$2+D1202-1</f>
        <v>105</v>
      </c>
      <c r="F1202">
        <f>VLOOKUP(E1202,'[1]202512 BE mortality'!$A:$C,3,0)</f>
        <v>7.7779034994127972E-4</v>
      </c>
      <c r="G1202">
        <f>VLOOKUP(D1202,'[1]202512 BE lapse'!$C:$D,2,0)</f>
        <v>1.9506311120623932E-3</v>
      </c>
      <c r="H1202">
        <f>VLOOKUP($B1202,'[1]202512 RFR'!$A:$B,2,0)</f>
        <v>1.2E-2</v>
      </c>
      <c r="I1202">
        <f t="shared" si="206"/>
        <v>0.70778056200265216</v>
      </c>
      <c r="J1202">
        <f t="shared" si="207"/>
        <v>4.5894745480801382E-5</v>
      </c>
      <c r="K1202">
        <f t="shared" si="208"/>
        <v>0</v>
      </c>
      <c r="L1202">
        <f t="shared" si="200"/>
        <v>0.26302765398338063</v>
      </c>
      <c r="M1202">
        <f>IF(AND(MOD(C1202,12)=1,D1202&lt;='[1]Product parameters'!$C$2),I1201*[1]model_point!$G$2,0)</f>
        <v>0</v>
      </c>
      <c r="N1202">
        <f t="shared" si="201"/>
        <v>0</v>
      </c>
      <c r="O1202">
        <f>[2]results_sample_product_cf!G1201</f>
        <v>0</v>
      </c>
      <c r="P1202">
        <f>[2]results_sample_product_cf!H1201</f>
        <v>0</v>
      </c>
      <c r="Q1202">
        <f t="shared" si="202"/>
        <v>0</v>
      </c>
      <c r="R1202">
        <f t="shared" si="198"/>
        <v>0</v>
      </c>
    </row>
    <row r="1203" spans="1:18" x14ac:dyDescent="0.3">
      <c r="A1203">
        <f t="shared" si="203"/>
        <v>1200</v>
      </c>
      <c r="B1203">
        <f t="shared" si="204"/>
        <v>100</v>
      </c>
      <c r="C1203">
        <f t="shared" si="205"/>
        <v>1205</v>
      </c>
      <c r="D1203">
        <f t="shared" si="199"/>
        <v>101</v>
      </c>
      <c r="E1203">
        <f>[1]model_point!$C$2+D1203-1</f>
        <v>105</v>
      </c>
      <c r="F1203">
        <f>VLOOKUP(E1203,'[1]202512 BE mortality'!$A:$C,3,0)</f>
        <v>7.7779034994127972E-4</v>
      </c>
      <c r="G1203">
        <f>VLOOKUP(D1203,'[1]202512 BE lapse'!$C:$D,2,0)</f>
        <v>1.9506311120623932E-3</v>
      </c>
      <c r="H1203">
        <f>VLOOKUP($B1203,'[1]202512 RFR'!$A:$B,2,0)</f>
        <v>1.2E-2</v>
      </c>
      <c r="I1203">
        <f t="shared" si="206"/>
        <v>0.70773467023293979</v>
      </c>
      <c r="J1203">
        <f t="shared" si="207"/>
        <v>4.5891769712316513E-5</v>
      </c>
      <c r="K1203">
        <f t="shared" si="208"/>
        <v>0</v>
      </c>
      <c r="L1203">
        <f t="shared" si="200"/>
        <v>0.26276632189232618</v>
      </c>
      <c r="M1203">
        <f>IF(AND(MOD(C1203,12)=1,D1203&lt;='[1]Product parameters'!$C$2),I1202*[1]model_point!$G$2,0)</f>
        <v>0</v>
      </c>
      <c r="N1203">
        <f t="shared" si="201"/>
        <v>0</v>
      </c>
      <c r="O1203">
        <f>[2]results_sample_product_cf!G1202</f>
        <v>0</v>
      </c>
      <c r="P1203">
        <f>[2]results_sample_product_cf!H1202</f>
        <v>0</v>
      </c>
      <c r="Q1203">
        <f t="shared" si="202"/>
        <v>0</v>
      </c>
      <c r="R1203">
        <f t="shared" si="19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Chen</dc:creator>
  <cp:lastModifiedBy>Kyle Chen</cp:lastModifiedBy>
  <dcterms:created xsi:type="dcterms:W3CDTF">2015-06-05T18:17:20Z</dcterms:created>
  <dcterms:modified xsi:type="dcterms:W3CDTF">2026-04-12T16:37:17Z</dcterms:modified>
</cp:coreProperties>
</file>